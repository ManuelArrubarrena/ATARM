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Admin\Documents\measured risk\Inversiones\Robot\"/>
    </mc:Choice>
  </mc:AlternateContent>
  <xr:revisionPtr revIDLastSave="0" documentId="13_ncr:1_{C9F754E5-4C78-4DE0-9D48-38484279050B}" xr6:coauthVersionLast="45" xr6:coauthVersionMax="45" xr10:uidLastSave="{00000000-0000-0000-0000-000000000000}"/>
  <bookViews>
    <workbookView xWindow="-120" yWindow="-120" windowWidth="24240" windowHeight="13140" tabRatio="869" activeTab="2" xr2:uid="{00000000-000D-0000-FFFF-FFFF00000000}"/>
  </bookViews>
  <sheets>
    <sheet name="Resumen" sheetId="37" r:id="rId1"/>
    <sheet name="AcomCE" sheetId="6" r:id="rId2"/>
    <sheet name="Real" sheetId="35" r:id="rId3"/>
    <sheet name="Plant" sheetId="25" r:id="rId4"/>
  </sheets>
  <definedNames>
    <definedName name="solver_eng" localSheetId="1" hidden="1">1</definedName>
    <definedName name="solver_neg" localSheetId="1" hidden="1">2</definedName>
    <definedName name="solver_num" localSheetId="1" hidden="1">0</definedName>
    <definedName name="solver_typ" localSheetId="1" hidden="1">1</definedName>
    <definedName name="solver_val" localSheetId="1" hidden="1">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A27" i="35" l="1"/>
  <c r="HZ27" i="35"/>
  <c r="HY27" i="35"/>
  <c r="HX27" i="35"/>
  <c r="XV104" i="6"/>
  <c r="XV101" i="6"/>
  <c r="XV98" i="6"/>
  <c r="XT104" i="6" l="1"/>
  <c r="XT101" i="6"/>
  <c r="XT98" i="6"/>
  <c r="XR104" i="6" l="1"/>
  <c r="XR101" i="6"/>
  <c r="XR98" i="6"/>
  <c r="XP104" i="6" l="1"/>
  <c r="XP101" i="6"/>
  <c r="XP98" i="6"/>
  <c r="HJ32" i="35" l="1"/>
  <c r="HK32" i="35" s="1"/>
  <c r="HJ31" i="35"/>
  <c r="HK31" i="35" s="1"/>
  <c r="HJ30" i="35"/>
  <c r="HK30" i="35" s="1"/>
  <c r="HL32" i="35"/>
  <c r="HL31" i="35"/>
  <c r="HL30" i="35"/>
  <c r="HL29" i="35"/>
  <c r="HL28" i="35"/>
  <c r="HM32" i="35"/>
  <c r="HM31" i="35"/>
  <c r="HM30" i="35"/>
  <c r="HM29" i="35"/>
  <c r="HK29" i="35"/>
  <c r="HJ29" i="35"/>
  <c r="HM28" i="35"/>
  <c r="HK28" i="35"/>
  <c r="HJ28" i="35"/>
  <c r="HM27" i="35"/>
  <c r="HL27" i="35"/>
  <c r="HK27" i="35"/>
  <c r="HJ27" i="35"/>
  <c r="XN104" i="6"/>
  <c r="XN101" i="6"/>
  <c r="XN98" i="6"/>
  <c r="XL104" i="6"/>
  <c r="XL101" i="6"/>
  <c r="XL98" i="6"/>
  <c r="XJ104" i="6"/>
  <c r="XJ101" i="6"/>
  <c r="XJ98" i="6"/>
  <c r="BA103" i="37" l="1"/>
  <c r="AZ103" i="37"/>
  <c r="BA102" i="37"/>
  <c r="AZ102" i="37"/>
  <c r="BA101" i="37"/>
  <c r="AZ101" i="37"/>
  <c r="BA100" i="37"/>
  <c r="AZ100" i="37"/>
  <c r="BA99" i="37"/>
  <c r="AZ99" i="37"/>
  <c r="BA98" i="37"/>
  <c r="AZ98" i="37"/>
  <c r="BA97" i="37"/>
  <c r="AZ97" i="37"/>
  <c r="BA96" i="37"/>
  <c r="AZ96" i="37"/>
  <c r="BA95" i="37"/>
  <c r="AZ95" i="37"/>
  <c r="BA94" i="37"/>
  <c r="AZ94" i="37"/>
  <c r="BA93" i="37"/>
  <c r="AZ93" i="37"/>
  <c r="BA92" i="37"/>
  <c r="AZ92" i="37"/>
  <c r="BA91" i="37"/>
  <c r="AZ91" i="37"/>
  <c r="BA90" i="37"/>
  <c r="AZ90" i="37"/>
  <c r="BA89" i="37"/>
  <c r="AZ89" i="37"/>
  <c r="BA88" i="37"/>
  <c r="AZ88" i="37"/>
  <c r="BA87" i="37"/>
  <c r="AZ87" i="37"/>
  <c r="BA86" i="37"/>
  <c r="AZ86" i="37"/>
  <c r="BA85" i="37"/>
  <c r="AZ85" i="37"/>
  <c r="BA84" i="37"/>
  <c r="AZ84" i="37"/>
  <c r="BA83" i="37"/>
  <c r="AZ83" i="37"/>
  <c r="BA82" i="37"/>
  <c r="AZ82" i="37"/>
  <c r="BA81" i="37"/>
  <c r="AZ81" i="37"/>
  <c r="BA80" i="37"/>
  <c r="AZ80" i="37"/>
  <c r="BA79" i="37"/>
  <c r="AZ79" i="37"/>
  <c r="BA78" i="37"/>
  <c r="AZ78" i="37"/>
  <c r="BA77" i="37"/>
  <c r="AZ77" i="37"/>
  <c r="BA76" i="37"/>
  <c r="AZ76" i="37"/>
  <c r="BA75" i="37"/>
  <c r="AZ75" i="37"/>
  <c r="BA74" i="37"/>
  <c r="AZ74" i="37"/>
  <c r="BA73" i="37"/>
  <c r="AZ73" i="37"/>
  <c r="BA72" i="37"/>
  <c r="AZ72" i="37"/>
  <c r="BA71" i="37"/>
  <c r="AZ71" i="37"/>
  <c r="BA70" i="37"/>
  <c r="AZ70" i="37"/>
  <c r="BA69" i="37"/>
  <c r="AZ69" i="37"/>
  <c r="BA68" i="37"/>
  <c r="AZ68" i="37"/>
  <c r="BA67" i="37"/>
  <c r="AZ67" i="37"/>
  <c r="BA66" i="37"/>
  <c r="AZ66" i="37"/>
  <c r="BA65" i="37"/>
  <c r="AZ65" i="37"/>
  <c r="BA64" i="37"/>
  <c r="AZ64" i="37"/>
  <c r="BA63" i="37"/>
  <c r="AZ63" i="37"/>
  <c r="BA62" i="37"/>
  <c r="AZ62" i="37"/>
  <c r="BA61" i="37"/>
  <c r="AZ61" i="37"/>
  <c r="BA60" i="37"/>
  <c r="AZ60" i="37"/>
  <c r="BA59" i="37"/>
  <c r="AZ59" i="37"/>
  <c r="BA58" i="37"/>
  <c r="AZ58" i="37"/>
  <c r="BA57" i="37"/>
  <c r="AZ57" i="37"/>
  <c r="BA56" i="37"/>
  <c r="AZ56" i="37"/>
  <c r="BA55" i="37"/>
  <c r="AZ55" i="37"/>
  <c r="BA54" i="37"/>
  <c r="AZ54" i="37"/>
  <c r="BA53" i="37"/>
  <c r="AZ53" i="37"/>
  <c r="BA52" i="37"/>
  <c r="AZ52" i="37"/>
  <c r="BA51" i="37"/>
  <c r="AZ51" i="37"/>
  <c r="BA50" i="37"/>
  <c r="AZ50" i="37"/>
  <c r="BA49" i="37"/>
  <c r="AZ49" i="37"/>
  <c r="XH104" i="6" l="1"/>
  <c r="XH101" i="6"/>
  <c r="XH98" i="6"/>
  <c r="XF104" i="6" l="1"/>
  <c r="XF101" i="6"/>
  <c r="XF98" i="6"/>
  <c r="XD104" i="6" l="1"/>
  <c r="XD101" i="6"/>
  <c r="XD98" i="6"/>
  <c r="XB104" i="6" l="1"/>
  <c r="XB101" i="6"/>
  <c r="XB98" i="6"/>
  <c r="WZ104" i="6" l="1"/>
  <c r="WZ101" i="6"/>
  <c r="WZ98" i="6"/>
  <c r="C32" i="35" l="1"/>
  <c r="C31" i="35"/>
  <c r="C30" i="35"/>
  <c r="C29" i="35"/>
  <c r="C28" i="35"/>
  <c r="C27" i="35"/>
  <c r="WX104" i="6"/>
  <c r="WX101" i="6"/>
  <c r="WX98" i="6"/>
  <c r="WV104" i="6" l="1"/>
  <c r="WV101" i="6"/>
  <c r="WV98" i="6"/>
  <c r="WT104" i="6"/>
  <c r="WT101" i="6"/>
  <c r="WT98" i="6"/>
  <c r="HD32" i="35" l="1"/>
  <c r="HC32" i="35" s="1"/>
  <c r="HB32" i="35"/>
  <c r="HA32" i="35"/>
  <c r="HD31" i="35"/>
  <c r="HC31" i="35"/>
  <c r="HB31" i="35"/>
  <c r="HA31" i="35"/>
  <c r="HD30" i="35"/>
  <c r="HC30" i="35"/>
  <c r="HB30" i="35"/>
  <c r="HA30" i="35"/>
  <c r="HD29" i="35"/>
  <c r="HC29" i="35"/>
  <c r="HB29" i="35"/>
  <c r="HA29" i="35"/>
  <c r="HD28" i="35"/>
  <c r="HC28" i="35"/>
  <c r="HB28" i="35"/>
  <c r="HA28" i="35"/>
  <c r="HD27" i="35"/>
  <c r="HC27" i="35"/>
  <c r="HB27" i="35"/>
  <c r="HA27" i="35"/>
  <c r="WR104" i="6" l="1"/>
  <c r="WR101" i="6"/>
  <c r="WR98" i="6"/>
  <c r="WP104" i="6" l="1"/>
  <c r="WP101" i="6"/>
  <c r="WP98" i="6"/>
  <c r="WN104" i="6" l="1"/>
  <c r="WN101" i="6"/>
  <c r="WN98" i="6"/>
  <c r="WL104" i="6" l="1"/>
  <c r="WL101" i="6"/>
  <c r="WL98" i="6"/>
  <c r="WJ104" i="6" l="1"/>
  <c r="WJ101" i="6"/>
  <c r="WJ98" i="6"/>
  <c r="WH104" i="6" l="1"/>
  <c r="WH101" i="6"/>
  <c r="WH98" i="6"/>
  <c r="WF104" i="6" l="1"/>
  <c r="WF101" i="6"/>
  <c r="WF98" i="6"/>
  <c r="GR32" i="35" l="1"/>
  <c r="GQ32" i="35" s="1"/>
  <c r="GR31" i="35"/>
  <c r="GR30" i="35"/>
  <c r="GQ30" i="35" s="1"/>
  <c r="GR29" i="35"/>
  <c r="GQ29" i="35" s="1"/>
  <c r="GR28" i="35"/>
  <c r="GQ28" i="35" s="1"/>
  <c r="GQ31" i="35"/>
  <c r="GO32" i="35"/>
  <c r="GP32" i="35" s="1"/>
  <c r="GO31" i="35"/>
  <c r="GP31" i="35" s="1"/>
  <c r="GO30" i="35"/>
  <c r="GP30" i="35" s="1"/>
  <c r="GO29" i="35"/>
  <c r="GP29" i="35" s="1"/>
  <c r="GO28" i="35"/>
  <c r="GP28" i="35" s="1"/>
  <c r="GR27" i="35"/>
  <c r="GQ27" i="35" s="1"/>
  <c r="GO27" i="35"/>
  <c r="GP27" i="35" s="1"/>
  <c r="FJ27" i="35" l="1"/>
  <c r="FJ28" i="35"/>
  <c r="FJ29" i="35"/>
  <c r="FI29" i="35" s="1"/>
  <c r="FJ30" i="35"/>
  <c r="FI30" i="35" s="1"/>
  <c r="FJ31" i="35"/>
  <c r="FI31" i="35" s="1"/>
  <c r="FJ32" i="35"/>
  <c r="FI32" i="35"/>
  <c r="FI28" i="35"/>
  <c r="FI27" i="35"/>
  <c r="FH32" i="35"/>
  <c r="FH29" i="35"/>
  <c r="FH28" i="35"/>
  <c r="FG32" i="35"/>
  <c r="FG31" i="35"/>
  <c r="FH31" i="35" s="1"/>
  <c r="FG30" i="35"/>
  <c r="FH30" i="35" s="1"/>
  <c r="FG29" i="35"/>
  <c r="FG28" i="35"/>
  <c r="FG27" i="35"/>
  <c r="FH27" i="35" s="1"/>
  <c r="EI32" i="35" l="1"/>
  <c r="EH32" i="35" s="1"/>
  <c r="EI31" i="35"/>
  <c r="EH31" i="35"/>
  <c r="EF32" i="35"/>
  <c r="EG32" i="35" s="1"/>
  <c r="EF31" i="35"/>
  <c r="EG31" i="35" s="1"/>
  <c r="EI30" i="35"/>
  <c r="EH30" i="35"/>
  <c r="EF30" i="35"/>
  <c r="EG30" i="35" s="1"/>
  <c r="EI29" i="35"/>
  <c r="EH29" i="35" s="1"/>
  <c r="EF29" i="35"/>
  <c r="EG29" i="35" s="1"/>
  <c r="EI28" i="35"/>
  <c r="EH28" i="35" s="1"/>
  <c r="EF28" i="35"/>
  <c r="EG28" i="35" s="1"/>
  <c r="EF27" i="35"/>
  <c r="EG27" i="35" s="1"/>
  <c r="EI27" i="35" l="1"/>
  <c r="EH27" i="35" s="1"/>
  <c r="DA27" i="35" l="1"/>
  <c r="DB27" i="35" s="1"/>
  <c r="DA31" i="35"/>
  <c r="DB31" i="35" s="1"/>
  <c r="DD27" i="35" l="1"/>
  <c r="DC27" i="35" s="1"/>
  <c r="DD32" i="35" l="1"/>
  <c r="DC32" i="35" s="1"/>
  <c r="DA32" i="35"/>
  <c r="DB32" i="35" s="1"/>
  <c r="DD31" i="35"/>
  <c r="DC31" i="35" s="1"/>
  <c r="DD30" i="35" l="1"/>
  <c r="DC30" i="35" s="1"/>
  <c r="DA30" i="35"/>
  <c r="DB30" i="35" s="1"/>
  <c r="DD29" i="35"/>
  <c r="DC29" i="35" s="1"/>
  <c r="DA29" i="35"/>
  <c r="DB29" i="35" s="1"/>
  <c r="DD28" i="35"/>
  <c r="DC28" i="35" s="1"/>
  <c r="DA28" i="35"/>
  <c r="DB28" i="35" s="1"/>
  <c r="BZ31" i="35"/>
  <c r="BY31" i="35" s="1"/>
  <c r="BX31" i="35"/>
  <c r="BW31" i="35"/>
  <c r="BZ30" i="35"/>
  <c r="BY30" i="35" s="1"/>
  <c r="BW30" i="35"/>
  <c r="BX30" i="35" s="1"/>
  <c r="BZ28" i="35"/>
  <c r="BY28" i="35" s="1"/>
  <c r="BZ29" i="35"/>
  <c r="BY29" i="35" s="1"/>
  <c r="BW29" i="35"/>
  <c r="BX29" i="35" s="1"/>
  <c r="BW28" i="35"/>
  <c r="BX28" i="35" s="1"/>
  <c r="BZ27" i="35"/>
  <c r="BY27" i="35" s="1"/>
  <c r="BW27" i="35"/>
  <c r="BX27" i="35" s="1"/>
  <c r="AT10" i="35" l="1"/>
  <c r="AS6" i="35"/>
  <c r="AR10" i="35" l="1"/>
  <c r="AQ6" i="35"/>
  <c r="AP10" i="35" l="1"/>
  <c r="AO6" i="35"/>
  <c r="AN10" i="35" l="1"/>
  <c r="AT14" i="35" s="1"/>
  <c r="AM6" i="35"/>
  <c r="AT12" i="35" s="1"/>
  <c r="AT16" i="35" l="1"/>
  <c r="AT15" i="35"/>
  <c r="AL10" i="35" l="1"/>
  <c r="AK6" i="35"/>
  <c r="AJ10" i="35" l="1"/>
  <c r="AI6" i="35"/>
  <c r="AH10" i="35" l="1"/>
  <c r="AG6" i="35"/>
  <c r="AF10" i="35" l="1"/>
  <c r="AE6" i="35"/>
  <c r="AD10" i="35" l="1"/>
  <c r="AC6" i="35"/>
  <c r="AB10" i="35" l="1"/>
  <c r="AA6" i="35"/>
  <c r="Z10" i="35" l="1"/>
  <c r="Y6" i="35"/>
  <c r="X10" i="35" l="1"/>
  <c r="W6" i="35"/>
  <c r="V10" i="35" l="1"/>
  <c r="U6" i="35"/>
  <c r="T10" i="35" l="1"/>
  <c r="S6" i="35"/>
  <c r="R10" i="35" l="1"/>
  <c r="Q6" i="35"/>
  <c r="P10" i="35" l="1"/>
  <c r="AL14" i="35" s="1"/>
  <c r="O6" i="35"/>
  <c r="AL12" i="35" s="1"/>
  <c r="AL15" i="35" l="1"/>
  <c r="AL16" i="35"/>
  <c r="N10" i="35"/>
  <c r="M6" i="35"/>
  <c r="L10" i="35" l="1"/>
  <c r="K6" i="35"/>
  <c r="J10" i="35" l="1"/>
  <c r="I6" i="35"/>
  <c r="H10" i="35" l="1"/>
  <c r="G6" i="35"/>
  <c r="F10" i="35" l="1"/>
  <c r="N14" i="35" s="1"/>
  <c r="E6" i="35"/>
  <c r="N12" i="35" s="1"/>
  <c r="N16" i="35" l="1"/>
  <c r="N15" i="35"/>
  <c r="GJ105" i="6" l="1"/>
  <c r="GL104" i="6" s="1"/>
  <c r="GN104" i="6" s="1"/>
  <c r="GP104" i="6" s="1"/>
  <c r="GR104" i="6" s="1"/>
  <c r="GT104" i="6" s="1"/>
  <c r="GV104" i="6" s="1"/>
  <c r="GX104" i="6" s="1"/>
  <c r="GZ104" i="6" s="1"/>
  <c r="HB104" i="6" s="1"/>
  <c r="HD104" i="6" s="1"/>
  <c r="HF104" i="6" s="1"/>
  <c r="HH104" i="6" s="1"/>
  <c r="HJ104" i="6" s="1"/>
  <c r="HL104" i="6" s="1"/>
  <c r="HN104" i="6" s="1"/>
  <c r="HP104" i="6" s="1"/>
  <c r="HR104" i="6" s="1"/>
  <c r="HT104" i="6" s="1"/>
  <c r="HV104" i="6" s="1"/>
  <c r="HX104" i="6" s="1"/>
  <c r="HZ104" i="6" s="1"/>
  <c r="IB104" i="6" s="1"/>
  <c r="ID104" i="6" s="1"/>
  <c r="IF104" i="6" s="1"/>
  <c r="IH104" i="6" s="1"/>
  <c r="IJ104" i="6" s="1"/>
  <c r="IL104" i="6" s="1"/>
  <c r="IN104" i="6" s="1"/>
  <c r="IP104" i="6" s="1"/>
  <c r="IR104" i="6" s="1"/>
  <c r="IT104" i="6" s="1"/>
  <c r="IV104" i="6" s="1"/>
  <c r="IX104" i="6" s="1"/>
  <c r="IZ104" i="6" s="1"/>
  <c r="JB104" i="6" s="1"/>
  <c r="JD104" i="6" s="1"/>
  <c r="JF104" i="6" s="1"/>
  <c r="JH104" i="6" s="1"/>
  <c r="JJ104" i="6" s="1"/>
  <c r="JL104" i="6" s="1"/>
  <c r="JN104" i="6" s="1"/>
  <c r="JP104" i="6" s="1"/>
  <c r="JR104" i="6" s="1"/>
  <c r="JT104" i="6" s="1"/>
  <c r="JV104" i="6" s="1"/>
  <c r="JX104" i="6" s="1"/>
  <c r="JZ104" i="6" s="1"/>
  <c r="KB104" i="6" s="1"/>
  <c r="KD104" i="6" s="1"/>
  <c r="KF104" i="6" s="1"/>
  <c r="KH104" i="6" s="1"/>
  <c r="KJ104" i="6" s="1"/>
  <c r="KL104" i="6" s="1"/>
  <c r="KN104" i="6" s="1"/>
  <c r="KP104" i="6" s="1"/>
  <c r="KR104" i="6" s="1"/>
  <c r="KT104" i="6" s="1"/>
  <c r="KV104" i="6" s="1"/>
  <c r="KX104" i="6" s="1"/>
  <c r="KZ104" i="6" s="1"/>
  <c r="LB104" i="6" s="1"/>
  <c r="LD104" i="6" s="1"/>
  <c r="LF104" i="6" s="1"/>
  <c r="LH104" i="6" s="1"/>
  <c r="LJ104" i="6" s="1"/>
  <c r="LL104" i="6" s="1"/>
  <c r="LN104" i="6" s="1"/>
  <c r="LP104" i="6" s="1"/>
  <c r="LR104" i="6" s="1"/>
  <c r="LT104" i="6" s="1"/>
  <c r="LV104" i="6" s="1"/>
  <c r="LX104" i="6" s="1"/>
  <c r="LZ104" i="6" s="1"/>
  <c r="MB104" i="6" s="1"/>
  <c r="MD104" i="6" s="1"/>
  <c r="MF104" i="6" s="1"/>
  <c r="MH104" i="6" s="1"/>
  <c r="MJ104" i="6" s="1"/>
  <c r="ML104" i="6" s="1"/>
  <c r="MN104" i="6" s="1"/>
  <c r="MP104" i="6" s="1"/>
  <c r="MR104" i="6" s="1"/>
  <c r="MT104" i="6" s="1"/>
  <c r="MV104" i="6" s="1"/>
  <c r="MX104" i="6" s="1"/>
  <c r="MZ104" i="6" s="1"/>
  <c r="NB104" i="6" s="1"/>
  <c r="ND104" i="6" s="1"/>
  <c r="NF104" i="6" s="1"/>
  <c r="NH104" i="6" s="1"/>
  <c r="NJ104" i="6" s="1"/>
  <c r="NL104" i="6" s="1"/>
  <c r="NN104" i="6" s="1"/>
  <c r="NP104" i="6" s="1"/>
  <c r="NR104" i="6" s="1"/>
  <c r="NT104" i="6" s="1"/>
  <c r="NV104" i="6" s="1"/>
  <c r="NX104" i="6" s="1"/>
  <c r="NZ104" i="6" s="1"/>
  <c r="OB104" i="6" s="1"/>
  <c r="OD104" i="6" s="1"/>
  <c r="OF104" i="6" s="1"/>
  <c r="OH104" i="6" s="1"/>
  <c r="OJ104" i="6" s="1"/>
  <c r="OL104" i="6" s="1"/>
  <c r="ON104" i="6" s="1"/>
  <c r="OP104" i="6" s="1"/>
  <c r="OR104" i="6" s="1"/>
  <c r="OT104" i="6" s="1"/>
  <c r="OV104" i="6" s="1"/>
  <c r="OX104" i="6" s="1"/>
  <c r="OZ104" i="6" s="1"/>
  <c r="PB104" i="6" s="1"/>
  <c r="PD104" i="6" s="1"/>
  <c r="PF104" i="6" s="1"/>
  <c r="PH104" i="6" s="1"/>
  <c r="PJ104" i="6" s="1"/>
  <c r="PL104" i="6" s="1"/>
  <c r="PN104" i="6" s="1"/>
  <c r="PP104" i="6" s="1"/>
  <c r="PR104" i="6" s="1"/>
  <c r="PT104" i="6" s="1"/>
  <c r="PV104" i="6" s="1"/>
  <c r="PX104" i="6" s="1"/>
  <c r="PZ104" i="6" s="1"/>
  <c r="QB104" i="6" s="1"/>
  <c r="QD104" i="6" s="1"/>
  <c r="QF104" i="6" s="1"/>
  <c r="QH104" i="6" s="1"/>
  <c r="QJ104" i="6" s="1"/>
  <c r="QL104" i="6" s="1"/>
  <c r="QN104" i="6" s="1"/>
  <c r="QP104" i="6" s="1"/>
  <c r="QR104" i="6" s="1"/>
  <c r="QT104" i="6" s="1"/>
  <c r="QV104" i="6" s="1"/>
  <c r="QX104" i="6" s="1"/>
  <c r="QZ104" i="6" s="1"/>
  <c r="RB104" i="6" s="1"/>
  <c r="RD104" i="6" s="1"/>
  <c r="RF104" i="6" s="1"/>
  <c r="RH104" i="6" s="1"/>
  <c r="RJ104" i="6" s="1"/>
  <c r="RL104" i="6" s="1"/>
  <c r="RN104" i="6" s="1"/>
  <c r="RP104" i="6" s="1"/>
  <c r="RR104" i="6" s="1"/>
  <c r="RT104" i="6" s="1"/>
  <c r="RV104" i="6" s="1"/>
  <c r="RX104" i="6" s="1"/>
  <c r="RZ104" i="6" s="1"/>
  <c r="SB104" i="6" s="1"/>
  <c r="SD104" i="6" s="1"/>
  <c r="SF104" i="6" s="1"/>
  <c r="SH104" i="6" s="1"/>
  <c r="SJ104" i="6" s="1"/>
  <c r="SL104" i="6" s="1"/>
  <c r="SN104" i="6" s="1"/>
  <c r="SP104" i="6" s="1"/>
  <c r="SR104" i="6" s="1"/>
  <c r="ST104" i="6" s="1"/>
  <c r="SV104" i="6" s="1"/>
  <c r="SX104" i="6" s="1"/>
  <c r="SZ104" i="6" s="1"/>
  <c r="TB104" i="6" s="1"/>
  <c r="TD104" i="6" s="1"/>
  <c r="TF104" i="6" s="1"/>
  <c r="TH104" i="6" s="1"/>
  <c r="TJ104" i="6" s="1"/>
  <c r="TL104" i="6" s="1"/>
  <c r="TN104" i="6" s="1"/>
  <c r="TP104" i="6" s="1"/>
  <c r="TR104" i="6" s="1"/>
  <c r="TT104" i="6" s="1"/>
  <c r="TV104" i="6" s="1"/>
  <c r="TX104" i="6" s="1"/>
  <c r="TZ104" i="6" s="1"/>
  <c r="UB104" i="6" s="1"/>
  <c r="UD104" i="6" s="1"/>
  <c r="UF104" i="6" s="1"/>
  <c r="UH104" i="6" s="1"/>
  <c r="UJ104" i="6" s="1"/>
  <c r="UL104" i="6" s="1"/>
  <c r="UN104" i="6" s="1"/>
  <c r="UP104" i="6" s="1"/>
  <c r="UR104" i="6" s="1"/>
  <c r="UT104" i="6" s="1"/>
  <c r="UV104" i="6" s="1"/>
  <c r="UX104" i="6" s="1"/>
  <c r="UZ104" i="6" s="1"/>
  <c r="VB104" i="6" s="1"/>
  <c r="VD104" i="6" s="1"/>
  <c r="VF104" i="6" s="1"/>
  <c r="VH104" i="6" s="1"/>
  <c r="VJ104" i="6" s="1"/>
  <c r="VL104" i="6" s="1"/>
  <c r="VN104" i="6" s="1"/>
  <c r="VP104" i="6" s="1"/>
  <c r="VR104" i="6" s="1"/>
  <c r="VT104" i="6" s="1"/>
  <c r="VV104" i="6" s="1"/>
  <c r="VX104" i="6" s="1"/>
  <c r="VZ104" i="6" s="1"/>
  <c r="WB104" i="6" s="1"/>
  <c r="WD104" i="6" s="1"/>
  <c r="FD104" i="6"/>
  <c r="FF104" i="6" s="1"/>
  <c r="FH104" i="6" s="1"/>
  <c r="FJ104" i="6" s="1"/>
  <c r="FL104" i="6" s="1"/>
  <c r="FN104" i="6" s="1"/>
  <c r="FP104" i="6" s="1"/>
  <c r="FR104" i="6" s="1"/>
  <c r="FT104" i="6" s="1"/>
  <c r="FV104" i="6" s="1"/>
  <c r="FX104" i="6" s="1"/>
  <c r="FZ104" i="6" s="1"/>
  <c r="GB104" i="6" s="1"/>
  <c r="GD104" i="6" s="1"/>
  <c r="GF104" i="6" s="1"/>
  <c r="GH104" i="6" s="1"/>
  <c r="GJ104" i="6" s="1"/>
  <c r="FD101" i="6" l="1"/>
  <c r="FF101" i="6" s="1"/>
  <c r="FH101" i="6" s="1"/>
  <c r="FJ101" i="6" s="1"/>
  <c r="FL101" i="6" s="1"/>
  <c r="FN101" i="6" s="1"/>
  <c r="FP101" i="6" s="1"/>
  <c r="FR101" i="6" s="1"/>
  <c r="FT101" i="6" s="1"/>
  <c r="FV101" i="6" s="1"/>
  <c r="FX101" i="6" s="1"/>
  <c r="FZ101" i="6" s="1"/>
  <c r="GB101" i="6" s="1"/>
  <c r="GD101" i="6" s="1"/>
  <c r="GF101" i="6" s="1"/>
  <c r="GH101" i="6" s="1"/>
  <c r="GJ101" i="6" s="1"/>
  <c r="GJ102" i="6"/>
  <c r="GL101" i="6" s="1"/>
  <c r="GN101" i="6" s="1"/>
  <c r="GP101" i="6" s="1"/>
  <c r="GR101" i="6" s="1"/>
  <c r="GT101" i="6" s="1"/>
  <c r="GV101" i="6" s="1"/>
  <c r="GX101" i="6" s="1"/>
  <c r="GZ101" i="6" s="1"/>
  <c r="HB101" i="6" s="1"/>
  <c r="HD101" i="6" s="1"/>
  <c r="HF101" i="6" s="1"/>
  <c r="HH101" i="6" s="1"/>
  <c r="HJ101" i="6" s="1"/>
  <c r="HL101" i="6" s="1"/>
  <c r="HN101" i="6" s="1"/>
  <c r="HP101" i="6" s="1"/>
  <c r="HR101" i="6" s="1"/>
  <c r="HT101" i="6" s="1"/>
  <c r="HV101" i="6" s="1"/>
  <c r="HX101" i="6" s="1"/>
  <c r="HZ101" i="6" s="1"/>
  <c r="IB101" i="6" s="1"/>
  <c r="ID101" i="6" s="1"/>
  <c r="IF101" i="6" s="1"/>
  <c r="IH101" i="6" s="1"/>
  <c r="IJ101" i="6" s="1"/>
  <c r="IL101" i="6" s="1"/>
  <c r="IN101" i="6" s="1"/>
  <c r="IP101" i="6" s="1"/>
  <c r="IR101" i="6" s="1"/>
  <c r="IT101" i="6" s="1"/>
  <c r="IV101" i="6" s="1"/>
  <c r="IX101" i="6" s="1"/>
  <c r="IZ101" i="6" s="1"/>
  <c r="JB101" i="6" s="1"/>
  <c r="JD101" i="6" s="1"/>
  <c r="JF101" i="6" s="1"/>
  <c r="JH101" i="6" s="1"/>
  <c r="JJ101" i="6" s="1"/>
  <c r="JL101" i="6" s="1"/>
  <c r="JN101" i="6" s="1"/>
  <c r="JP101" i="6" s="1"/>
  <c r="JR101" i="6" s="1"/>
  <c r="JT101" i="6" s="1"/>
  <c r="JV101" i="6" s="1"/>
  <c r="JX101" i="6" s="1"/>
  <c r="JZ101" i="6" s="1"/>
  <c r="KB101" i="6" s="1"/>
  <c r="KD101" i="6" s="1"/>
  <c r="KF101" i="6" s="1"/>
  <c r="KH101" i="6" s="1"/>
  <c r="KJ101" i="6" s="1"/>
  <c r="KL101" i="6" s="1"/>
  <c r="KN101" i="6" s="1"/>
  <c r="KP101" i="6" s="1"/>
  <c r="KR101" i="6" s="1"/>
  <c r="KT101" i="6" s="1"/>
  <c r="KV101" i="6" s="1"/>
  <c r="KX101" i="6" s="1"/>
  <c r="KZ101" i="6" s="1"/>
  <c r="LB101" i="6" s="1"/>
  <c r="LD101" i="6" s="1"/>
  <c r="LF101" i="6" s="1"/>
  <c r="LH101" i="6" s="1"/>
  <c r="LJ101" i="6" s="1"/>
  <c r="LL101" i="6" s="1"/>
  <c r="LN101" i="6" s="1"/>
  <c r="LP101" i="6" s="1"/>
  <c r="LR101" i="6" s="1"/>
  <c r="LT101" i="6" s="1"/>
  <c r="LV101" i="6" s="1"/>
  <c r="LX101" i="6" s="1"/>
  <c r="LZ101" i="6" s="1"/>
  <c r="MB101" i="6" s="1"/>
  <c r="MD101" i="6" s="1"/>
  <c r="MF101" i="6" s="1"/>
  <c r="MH101" i="6" s="1"/>
  <c r="MJ101" i="6" s="1"/>
  <c r="ML101" i="6" s="1"/>
  <c r="MN101" i="6" s="1"/>
  <c r="MP101" i="6" s="1"/>
  <c r="MR101" i="6" s="1"/>
  <c r="MT101" i="6" s="1"/>
  <c r="MV101" i="6" s="1"/>
  <c r="MX101" i="6" s="1"/>
  <c r="MZ101" i="6" s="1"/>
  <c r="NB101" i="6" s="1"/>
  <c r="ND101" i="6" s="1"/>
  <c r="NF101" i="6" s="1"/>
  <c r="NH101" i="6" s="1"/>
  <c r="NJ101" i="6" s="1"/>
  <c r="NL101" i="6" s="1"/>
  <c r="NN101" i="6" s="1"/>
  <c r="NP101" i="6" s="1"/>
  <c r="NR101" i="6" s="1"/>
  <c r="NT101" i="6" s="1"/>
  <c r="NV101" i="6" s="1"/>
  <c r="NX101" i="6" s="1"/>
  <c r="NZ101" i="6" s="1"/>
  <c r="OB101" i="6" s="1"/>
  <c r="OD101" i="6" s="1"/>
  <c r="OF101" i="6" s="1"/>
  <c r="OH101" i="6" s="1"/>
  <c r="OJ101" i="6" s="1"/>
  <c r="OL101" i="6" s="1"/>
  <c r="ON101" i="6" s="1"/>
  <c r="OP101" i="6" s="1"/>
  <c r="OR101" i="6" s="1"/>
  <c r="OT101" i="6" s="1"/>
  <c r="OV101" i="6" s="1"/>
  <c r="OX101" i="6" s="1"/>
  <c r="OZ101" i="6" s="1"/>
  <c r="PB101" i="6" s="1"/>
  <c r="PD101" i="6" s="1"/>
  <c r="PF101" i="6" s="1"/>
  <c r="PH101" i="6" s="1"/>
  <c r="PJ101" i="6" s="1"/>
  <c r="PL101" i="6" s="1"/>
  <c r="PN101" i="6" s="1"/>
  <c r="PP101" i="6" s="1"/>
  <c r="PR101" i="6" s="1"/>
  <c r="PT101" i="6" s="1"/>
  <c r="PV101" i="6" s="1"/>
  <c r="PX101" i="6" s="1"/>
  <c r="PZ101" i="6" s="1"/>
  <c r="QB101" i="6" s="1"/>
  <c r="QD101" i="6" s="1"/>
  <c r="QF101" i="6" s="1"/>
  <c r="QH101" i="6" s="1"/>
  <c r="QJ101" i="6" s="1"/>
  <c r="QL101" i="6" s="1"/>
  <c r="QN101" i="6" s="1"/>
  <c r="QP101" i="6" s="1"/>
  <c r="QR101" i="6" s="1"/>
  <c r="QT101" i="6" s="1"/>
  <c r="QV101" i="6" s="1"/>
  <c r="QX101" i="6" s="1"/>
  <c r="QZ101" i="6" s="1"/>
  <c r="RB101" i="6" s="1"/>
  <c r="RD101" i="6" s="1"/>
  <c r="RF101" i="6" s="1"/>
  <c r="RH101" i="6" s="1"/>
  <c r="RJ101" i="6" s="1"/>
  <c r="RL101" i="6" s="1"/>
  <c r="RN101" i="6" s="1"/>
  <c r="RP101" i="6" s="1"/>
  <c r="RR101" i="6" s="1"/>
  <c r="RT101" i="6" s="1"/>
  <c r="RV101" i="6" s="1"/>
  <c r="RX101" i="6" s="1"/>
  <c r="RZ101" i="6" s="1"/>
  <c r="SB101" i="6" s="1"/>
  <c r="SD101" i="6" s="1"/>
  <c r="SF101" i="6" s="1"/>
  <c r="SH101" i="6" s="1"/>
  <c r="SJ101" i="6" s="1"/>
  <c r="SL101" i="6" s="1"/>
  <c r="SN101" i="6" s="1"/>
  <c r="SP101" i="6" s="1"/>
  <c r="SR101" i="6" s="1"/>
  <c r="ST101" i="6" s="1"/>
  <c r="SV101" i="6" s="1"/>
  <c r="SX101" i="6" s="1"/>
  <c r="SZ101" i="6" s="1"/>
  <c r="TB101" i="6" s="1"/>
  <c r="TD101" i="6" s="1"/>
  <c r="TF101" i="6" s="1"/>
  <c r="TH101" i="6" s="1"/>
  <c r="TJ101" i="6" s="1"/>
  <c r="TL101" i="6" s="1"/>
  <c r="TN101" i="6" s="1"/>
  <c r="TP101" i="6" s="1"/>
  <c r="TR101" i="6" s="1"/>
  <c r="TT101" i="6" s="1"/>
  <c r="TV101" i="6" s="1"/>
  <c r="TX101" i="6" s="1"/>
  <c r="TZ101" i="6" s="1"/>
  <c r="UB101" i="6" s="1"/>
  <c r="UD101" i="6" s="1"/>
  <c r="UF101" i="6" s="1"/>
  <c r="UH101" i="6" s="1"/>
  <c r="UJ101" i="6" s="1"/>
  <c r="UL101" i="6" s="1"/>
  <c r="UN101" i="6" s="1"/>
  <c r="UP101" i="6" s="1"/>
  <c r="UR101" i="6" s="1"/>
  <c r="UT101" i="6" s="1"/>
  <c r="UV101" i="6" s="1"/>
  <c r="UX101" i="6" s="1"/>
  <c r="UZ101" i="6" s="1"/>
  <c r="VB101" i="6" s="1"/>
  <c r="VD101" i="6" s="1"/>
  <c r="VF101" i="6" s="1"/>
  <c r="VH101" i="6" s="1"/>
  <c r="VJ101" i="6" s="1"/>
  <c r="VL101" i="6" s="1"/>
  <c r="VN101" i="6" s="1"/>
  <c r="VP101" i="6" s="1"/>
  <c r="VR101" i="6" s="1"/>
  <c r="VT101" i="6" s="1"/>
  <c r="VV101" i="6" s="1"/>
  <c r="VX101" i="6" s="1"/>
  <c r="VZ101" i="6" s="1"/>
  <c r="WB101" i="6" s="1"/>
  <c r="WD101" i="6" s="1"/>
  <c r="FD98" i="6"/>
  <c r="FF98" i="6" s="1"/>
  <c r="FH98" i="6" s="1"/>
  <c r="FJ98" i="6" s="1"/>
  <c r="FL98" i="6" s="1"/>
  <c r="FN98" i="6" s="1"/>
  <c r="FP98" i="6" s="1"/>
  <c r="FR98" i="6" s="1"/>
  <c r="FT98" i="6" s="1"/>
  <c r="FV98" i="6" s="1"/>
  <c r="FX98" i="6" s="1"/>
  <c r="FZ98" i="6" s="1"/>
  <c r="GB98" i="6" s="1"/>
  <c r="GD98" i="6" s="1"/>
  <c r="GF98" i="6" s="1"/>
  <c r="GH98" i="6" s="1"/>
  <c r="GJ98" i="6" s="1"/>
  <c r="GJ99" i="6"/>
  <c r="GL98" i="6" s="1"/>
  <c r="GN98" i="6" l="1"/>
  <c r="GP98" i="6" s="1"/>
  <c r="GR98" i="6" s="1"/>
  <c r="GT98" i="6" s="1"/>
  <c r="GV98" i="6" s="1"/>
  <c r="GX98" i="6" s="1"/>
  <c r="GZ98" i="6" s="1"/>
  <c r="HB98" i="6" s="1"/>
  <c r="HD98" i="6" s="1"/>
  <c r="HF98" i="6" s="1"/>
  <c r="HH98" i="6" s="1"/>
  <c r="HJ98" i="6" s="1"/>
  <c r="HL98" i="6" s="1"/>
  <c r="HN98" i="6" s="1"/>
  <c r="HP98" i="6" s="1"/>
  <c r="HR98" i="6" s="1"/>
  <c r="HT98" i="6" s="1"/>
  <c r="HV98" i="6" s="1"/>
  <c r="HX98" i="6" s="1"/>
  <c r="HZ98" i="6" s="1"/>
  <c r="IB98" i="6" s="1"/>
  <c r="ID98" i="6" s="1"/>
  <c r="IF98" i="6" s="1"/>
  <c r="IH98" i="6" s="1"/>
  <c r="IJ98" i="6" s="1"/>
  <c r="IL98" i="6" s="1"/>
  <c r="IN98" i="6" s="1"/>
  <c r="IP98" i="6" s="1"/>
  <c r="IR98" i="6" s="1"/>
  <c r="IT98" i="6" s="1"/>
  <c r="IV98" i="6" s="1"/>
  <c r="IX98" i="6" s="1"/>
  <c r="IZ98" i="6" s="1"/>
  <c r="JB98" i="6" s="1"/>
  <c r="JD98" i="6" s="1"/>
  <c r="JF98" i="6" s="1"/>
  <c r="JH98" i="6" s="1"/>
  <c r="JJ98" i="6" s="1"/>
  <c r="JL98" i="6" s="1"/>
  <c r="JN98" i="6" s="1"/>
  <c r="JP98" i="6" s="1"/>
  <c r="JR98" i="6" s="1"/>
  <c r="JT98" i="6" s="1"/>
  <c r="JV98" i="6" s="1"/>
  <c r="JX98" i="6" s="1"/>
  <c r="JZ98" i="6" s="1"/>
  <c r="KB98" i="6" s="1"/>
  <c r="KD98" i="6" s="1"/>
  <c r="KF98" i="6" s="1"/>
  <c r="KH98" i="6" s="1"/>
  <c r="KJ98" i="6" s="1"/>
  <c r="KL98" i="6" s="1"/>
  <c r="KN98" i="6" s="1"/>
  <c r="KP98" i="6" s="1"/>
  <c r="KR98" i="6" s="1"/>
  <c r="KT98" i="6" s="1"/>
  <c r="KV98" i="6" s="1"/>
  <c r="KX98" i="6" s="1"/>
  <c r="KZ98" i="6" s="1"/>
  <c r="LB98" i="6" s="1"/>
  <c r="LD98" i="6" s="1"/>
  <c r="LF98" i="6" s="1"/>
  <c r="LH98" i="6" s="1"/>
  <c r="LJ98" i="6" s="1"/>
  <c r="LL98" i="6" s="1"/>
  <c r="LN98" i="6" s="1"/>
  <c r="LP98" i="6" s="1"/>
  <c r="LR98" i="6" s="1"/>
  <c r="LT98" i="6" s="1"/>
  <c r="LV98" i="6" s="1"/>
  <c r="LX98" i="6" s="1"/>
  <c r="LZ98" i="6" s="1"/>
  <c r="MB98" i="6" s="1"/>
  <c r="MD98" i="6" s="1"/>
  <c r="MF98" i="6" s="1"/>
  <c r="MH98" i="6" s="1"/>
  <c r="MJ98" i="6" s="1"/>
  <c r="ML98" i="6" s="1"/>
  <c r="MN98" i="6" s="1"/>
  <c r="MP98" i="6" s="1"/>
  <c r="MR98" i="6" s="1"/>
  <c r="MT98" i="6" s="1"/>
  <c r="MV98" i="6" s="1"/>
  <c r="MX98" i="6" s="1"/>
  <c r="MZ98" i="6" s="1"/>
  <c r="NB98" i="6" s="1"/>
  <c r="ND98" i="6" s="1"/>
  <c r="NF98" i="6" s="1"/>
  <c r="NH98" i="6" s="1"/>
  <c r="NJ98" i="6" s="1"/>
  <c r="NL98" i="6" s="1"/>
  <c r="NN98" i="6" s="1"/>
  <c r="NP98" i="6" s="1"/>
  <c r="NR98" i="6" s="1"/>
  <c r="NT98" i="6" s="1"/>
  <c r="NV98" i="6" s="1"/>
  <c r="NX98" i="6" s="1"/>
  <c r="NZ98" i="6" s="1"/>
  <c r="OB98" i="6" s="1"/>
  <c r="OD98" i="6" s="1"/>
  <c r="OF98" i="6" s="1"/>
  <c r="OH98" i="6" s="1"/>
  <c r="OJ98" i="6" s="1"/>
  <c r="OL98" i="6" s="1"/>
  <c r="ON98" i="6" s="1"/>
  <c r="OP98" i="6" s="1"/>
  <c r="OR98" i="6" s="1"/>
  <c r="OT98" i="6" s="1"/>
  <c r="OV98" i="6" s="1"/>
  <c r="OX98" i="6" s="1"/>
  <c r="OZ98" i="6" s="1"/>
  <c r="PB98" i="6" s="1"/>
  <c r="PD98" i="6" s="1"/>
  <c r="PF98" i="6" s="1"/>
  <c r="PH98" i="6" s="1"/>
  <c r="PJ98" i="6" s="1"/>
  <c r="PL98" i="6" s="1"/>
  <c r="PN98" i="6" s="1"/>
  <c r="PP98" i="6" s="1"/>
  <c r="PR98" i="6" s="1"/>
  <c r="PT98" i="6" s="1"/>
  <c r="PV98" i="6" s="1"/>
  <c r="PX98" i="6" s="1"/>
  <c r="PZ98" i="6" s="1"/>
  <c r="QB98" i="6" s="1"/>
  <c r="QD98" i="6" s="1"/>
  <c r="QF98" i="6" s="1"/>
  <c r="QH98" i="6" s="1"/>
  <c r="QJ98" i="6" s="1"/>
  <c r="QL98" i="6" s="1"/>
  <c r="QN98" i="6" s="1"/>
  <c r="QP98" i="6" s="1"/>
  <c r="QR98" i="6" s="1"/>
  <c r="QT98" i="6" s="1"/>
  <c r="QV98" i="6" s="1"/>
  <c r="QX98" i="6" s="1"/>
  <c r="QZ98" i="6" s="1"/>
  <c r="RB98" i="6" s="1"/>
  <c r="RD98" i="6" s="1"/>
  <c r="RF98" i="6" s="1"/>
  <c r="RH98" i="6" s="1"/>
  <c r="RJ98" i="6" s="1"/>
  <c r="RL98" i="6" s="1"/>
  <c r="RN98" i="6" s="1"/>
  <c r="RP98" i="6" s="1"/>
  <c r="RR98" i="6" s="1"/>
  <c r="RT98" i="6" s="1"/>
  <c r="RV98" i="6" s="1"/>
  <c r="RX98" i="6" s="1"/>
  <c r="RZ98" i="6" s="1"/>
  <c r="SB98" i="6" s="1"/>
  <c r="SD98" i="6" s="1"/>
  <c r="SF98" i="6" s="1"/>
  <c r="SH98" i="6" s="1"/>
  <c r="SJ98" i="6" s="1"/>
  <c r="SL98" i="6" s="1"/>
  <c r="SN98" i="6" s="1"/>
  <c r="SP98" i="6" s="1"/>
  <c r="SR98" i="6" s="1"/>
  <c r="ST98" i="6" s="1"/>
  <c r="SV98" i="6" s="1"/>
  <c r="SX98" i="6" s="1"/>
  <c r="SZ98" i="6" s="1"/>
  <c r="TB98" i="6" s="1"/>
  <c r="TD98" i="6" s="1"/>
  <c r="TF98" i="6" s="1"/>
  <c r="TH98" i="6" s="1"/>
  <c r="TJ98" i="6" s="1"/>
  <c r="TL98" i="6" s="1"/>
  <c r="TN98" i="6" s="1"/>
  <c r="TP98" i="6" s="1"/>
  <c r="TR98" i="6" s="1"/>
  <c r="TT98" i="6" s="1"/>
  <c r="TV98" i="6" s="1"/>
  <c r="TX98" i="6" s="1"/>
  <c r="TZ98" i="6" s="1"/>
  <c r="UB98" i="6" s="1"/>
  <c r="UD98" i="6" s="1"/>
  <c r="UF98" i="6" s="1"/>
  <c r="UH98" i="6" s="1"/>
  <c r="UJ98" i="6" s="1"/>
  <c r="UL98" i="6" s="1"/>
  <c r="UN98" i="6" s="1"/>
  <c r="UP98" i="6" s="1"/>
  <c r="UR98" i="6" s="1"/>
  <c r="UT98" i="6" s="1"/>
  <c r="UV98" i="6" s="1"/>
  <c r="UX98" i="6" s="1"/>
  <c r="UZ98" i="6" s="1"/>
  <c r="VB98" i="6" s="1"/>
  <c r="VD98" i="6" s="1"/>
  <c r="VF98" i="6" s="1"/>
  <c r="VH98" i="6" s="1"/>
  <c r="VJ98" i="6" s="1"/>
  <c r="VL98" i="6" s="1"/>
  <c r="VN98" i="6" s="1"/>
  <c r="VP98" i="6" s="1"/>
  <c r="VR98" i="6" s="1"/>
  <c r="VT98" i="6" s="1"/>
  <c r="VV98" i="6" s="1"/>
  <c r="VX98" i="6" s="1"/>
  <c r="VZ98" i="6" s="1"/>
  <c r="WB98" i="6" s="1"/>
  <c r="WD98" i="6" s="1"/>
  <c r="BS2" i="25" l="1"/>
  <c r="BP2" i="25" s="1"/>
  <c r="BR2" i="25" l="1"/>
  <c r="BQ2" i="25" s="1"/>
  <c r="BO2" i="25"/>
  <c r="BN2" i="25" l="1"/>
  <c r="BM2" i="25" s="1"/>
  <c r="BL2" i="25" s="1"/>
  <c r="BJ2" i="25"/>
  <c r="BK2"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Gerardo Arrubarrena</author>
  </authors>
  <commentList>
    <comment ref="DS16" authorId="0" shapeId="0" xr:uid="{A4A440CC-FFA7-47EB-8069-8567E8683B45}">
      <text>
        <r>
          <rPr>
            <b/>
            <sz val="9"/>
            <color indexed="81"/>
            <rFont val="Tahoma"/>
            <family val="2"/>
          </rPr>
          <t>Admin:</t>
        </r>
        <r>
          <rPr>
            <sz val="9"/>
            <color indexed="81"/>
            <rFont val="Tahoma"/>
            <family val="2"/>
          </rPr>
          <t xml:space="preserve">
1 OP</t>
        </r>
      </text>
    </comment>
    <comment ref="DU16" authorId="0" shapeId="0" xr:uid="{86600FB4-6836-4922-80D1-AF4B26A190E1}">
      <text>
        <r>
          <rPr>
            <b/>
            <sz val="9"/>
            <color indexed="81"/>
            <rFont val="Tahoma"/>
            <family val="2"/>
          </rPr>
          <t>Admin:</t>
        </r>
        <r>
          <rPr>
            <sz val="9"/>
            <color indexed="81"/>
            <rFont val="Tahoma"/>
            <family val="2"/>
          </rPr>
          <t xml:space="preserve">
1 op</t>
        </r>
      </text>
    </comment>
    <comment ref="CW37" authorId="0" shapeId="0" xr:uid="{46F89A5C-CF5C-446A-8AFA-014FEBF577C1}">
      <text>
        <r>
          <rPr>
            <b/>
            <sz val="9"/>
            <color indexed="81"/>
            <rFont val="Tahoma"/>
            <family val="2"/>
          </rPr>
          <t>Admin:</t>
        </r>
        <r>
          <rPr>
            <sz val="9"/>
            <color indexed="81"/>
            <rFont val="Tahoma"/>
            <family val="2"/>
          </rPr>
          <t xml:space="preserve">
1 op</t>
        </r>
      </text>
    </comment>
    <comment ref="ES37" authorId="0" shapeId="0" xr:uid="{C92CCA89-CD2D-4F24-9707-CBE134AA4864}">
      <text>
        <r>
          <rPr>
            <b/>
            <sz val="9"/>
            <color indexed="81"/>
            <rFont val="Tahoma"/>
            <family val="2"/>
          </rPr>
          <t>Admin:</t>
        </r>
        <r>
          <rPr>
            <sz val="9"/>
            <color indexed="81"/>
            <rFont val="Tahoma"/>
            <family val="2"/>
          </rPr>
          <t xml:space="preserve">
1 op</t>
        </r>
      </text>
    </comment>
    <comment ref="CY47" authorId="0" shapeId="0" xr:uid="{BBE5C916-839F-48FE-83BA-DE6680000FA7}">
      <text>
        <r>
          <rPr>
            <b/>
            <sz val="9"/>
            <color indexed="81"/>
            <rFont val="Tahoma"/>
            <family val="2"/>
          </rPr>
          <t>Admin:</t>
        </r>
        <r>
          <rPr>
            <sz val="9"/>
            <color indexed="81"/>
            <rFont val="Tahoma"/>
            <family val="2"/>
          </rPr>
          <t xml:space="preserve">
1 op</t>
        </r>
      </text>
    </comment>
    <comment ref="EO59" authorId="0" shapeId="0" xr:uid="{616B3573-1057-4024-97C8-C97DA49B2434}">
      <text>
        <r>
          <rPr>
            <b/>
            <sz val="9"/>
            <color indexed="81"/>
            <rFont val="Tahoma"/>
            <family val="2"/>
          </rPr>
          <t>Admin:</t>
        </r>
        <r>
          <rPr>
            <sz val="9"/>
            <color indexed="81"/>
            <rFont val="Tahoma"/>
            <family val="2"/>
          </rPr>
          <t xml:space="preserve">
1 op</t>
        </r>
      </text>
    </comment>
    <comment ref="EQ59" authorId="0" shapeId="0" xr:uid="{D0082267-1EF2-4DB9-85AD-52BB86922B6F}">
      <text>
        <r>
          <rPr>
            <b/>
            <sz val="9"/>
            <color indexed="81"/>
            <rFont val="Tahoma"/>
            <family val="2"/>
          </rPr>
          <t>Admin:</t>
        </r>
        <r>
          <rPr>
            <sz val="9"/>
            <color indexed="81"/>
            <rFont val="Tahoma"/>
            <family val="2"/>
          </rPr>
          <t xml:space="preserve">
Cambie limitado a 1000 datos</t>
        </r>
      </text>
    </comment>
    <comment ref="II59" authorId="0" shapeId="0" xr:uid="{65515477-0671-4784-B0DE-2D864EE0836F}">
      <text>
        <r>
          <rPr>
            <b/>
            <sz val="9"/>
            <color indexed="81"/>
            <rFont val="Tahoma"/>
            <family val="2"/>
          </rPr>
          <t>Admin:</t>
        </r>
        <r>
          <rPr>
            <sz val="9"/>
            <color indexed="81"/>
            <rFont val="Tahoma"/>
            <family val="2"/>
          </rPr>
          <t xml:space="preserve">
1 op</t>
        </r>
      </text>
    </comment>
    <comment ref="IU59" authorId="1" shapeId="0" xr:uid="{B9508BCD-ABAE-4B38-AAC7-E9505F3E49BF}">
      <text>
        <r>
          <rPr>
            <b/>
            <sz val="9"/>
            <color indexed="81"/>
            <rFont val="Tahoma"/>
            <family val="2"/>
          </rPr>
          <t>Gerardo Arrubarrena:</t>
        </r>
        <r>
          <rPr>
            <sz val="9"/>
            <color indexed="81"/>
            <rFont val="Tahoma"/>
            <family val="2"/>
          </rPr>
          <t xml:space="preserve">
1 op</t>
        </r>
      </text>
    </comment>
    <comment ref="JG59" authorId="0" shapeId="0" xr:uid="{2F43F627-449E-48B6-9233-8AA569890271}">
      <text>
        <r>
          <rPr>
            <b/>
            <sz val="9"/>
            <color indexed="81"/>
            <rFont val="Tahoma"/>
            <family val="2"/>
          </rPr>
          <t>Admin:</t>
        </r>
        <r>
          <rPr>
            <sz val="9"/>
            <color indexed="81"/>
            <rFont val="Tahoma"/>
            <family val="2"/>
          </rPr>
          <t xml:space="preserve">
1 op</t>
        </r>
      </text>
    </comment>
    <comment ref="JI59" authorId="0" shapeId="0" xr:uid="{7F393F12-E929-4769-9314-DC750C6926D1}">
      <text>
        <r>
          <rPr>
            <b/>
            <sz val="9"/>
            <color indexed="81"/>
            <rFont val="Tahoma"/>
            <family val="2"/>
          </rPr>
          <t>Admin:</t>
        </r>
        <r>
          <rPr>
            <sz val="9"/>
            <color indexed="81"/>
            <rFont val="Tahoma"/>
            <family val="2"/>
          </rPr>
          <t xml:space="preserve">
1 op</t>
        </r>
      </text>
    </comment>
    <comment ref="LQ59" authorId="0" shapeId="0" xr:uid="{4F8BC31A-0394-4B3C-B47F-6C918806CE7D}">
      <text>
        <r>
          <rPr>
            <b/>
            <sz val="9"/>
            <color indexed="81"/>
            <rFont val="Tahoma"/>
            <family val="2"/>
          </rPr>
          <t>Admin:</t>
        </r>
        <r>
          <rPr>
            <sz val="9"/>
            <color indexed="81"/>
            <rFont val="Tahoma"/>
            <family val="2"/>
          </rPr>
          <t xml:space="preserve">
1 op</t>
        </r>
      </text>
    </comment>
    <comment ref="LW59" authorId="0" shapeId="0" xr:uid="{457AB0E3-544B-4163-9A32-EBE827C44A18}">
      <text>
        <r>
          <rPr>
            <b/>
            <sz val="9"/>
            <color indexed="81"/>
            <rFont val="Tahoma"/>
            <family val="2"/>
          </rPr>
          <t>Admin:</t>
        </r>
        <r>
          <rPr>
            <sz val="9"/>
            <color indexed="81"/>
            <rFont val="Tahoma"/>
            <family val="2"/>
          </rPr>
          <t xml:space="preserve">
1 op</t>
        </r>
      </text>
    </comment>
    <comment ref="HU60" authorId="0" shapeId="0" xr:uid="{8B0D7BF8-E793-4685-90C6-8AB59DBC909A}">
      <text>
        <r>
          <rPr>
            <b/>
            <sz val="9"/>
            <color indexed="81"/>
            <rFont val="Tahoma"/>
            <family val="2"/>
          </rPr>
          <t>Admin:</t>
        </r>
        <r>
          <rPr>
            <sz val="9"/>
            <color indexed="81"/>
            <rFont val="Tahoma"/>
            <family val="2"/>
          </rPr>
          <t xml:space="preserve">
perdio mas que sp kksan normal</t>
        </r>
      </text>
    </comment>
    <comment ref="IA60" authorId="0" shapeId="0" xr:uid="{720D1E82-DDC9-496B-B77B-56A0DD7978C3}">
      <text>
        <r>
          <rPr>
            <b/>
            <sz val="9"/>
            <color indexed="81"/>
            <rFont val="Tahoma"/>
            <family val="2"/>
          </rPr>
          <t>Admin:</t>
        </r>
        <r>
          <rPr>
            <sz val="9"/>
            <color indexed="81"/>
            <rFont val="Tahoma"/>
            <family val="2"/>
          </rPr>
          <t xml:space="preserve">
Perdio mucho mas que kksan normal</t>
        </r>
      </text>
    </comment>
    <comment ref="IE60" authorId="0" shapeId="0" xr:uid="{E421EA5F-15E1-46AA-89AE-2DDC4C17BFB1}">
      <text>
        <r>
          <rPr>
            <b/>
            <sz val="9"/>
            <color indexed="81"/>
            <rFont val="Tahoma"/>
            <family val="2"/>
          </rPr>
          <t>Admin:</t>
        </r>
        <r>
          <rPr>
            <sz val="9"/>
            <color indexed="81"/>
            <rFont val="Tahoma"/>
            <family val="2"/>
          </rPr>
          <t xml:space="preserve">
Perdio mas que el normal</t>
        </r>
      </text>
    </comment>
    <comment ref="II60" authorId="0" shapeId="0" xr:uid="{8630F0D5-7EC9-4128-AEBD-972866EB78E3}">
      <text>
        <r>
          <rPr>
            <b/>
            <sz val="9"/>
            <color indexed="81"/>
            <rFont val="Tahoma"/>
            <family val="2"/>
          </rPr>
          <t>Admin:</t>
        </r>
        <r>
          <rPr>
            <sz val="9"/>
            <color indexed="81"/>
            <rFont val="Tahoma"/>
            <family val="2"/>
          </rPr>
          <t xml:space="preserve">
1 op</t>
        </r>
      </text>
    </comment>
    <comment ref="IU60" authorId="1" shapeId="0" xr:uid="{85AC4258-926C-450D-B2E7-34C08C8D7764}">
      <text>
        <r>
          <rPr>
            <b/>
            <sz val="9"/>
            <color indexed="81"/>
            <rFont val="Tahoma"/>
            <family val="2"/>
          </rPr>
          <t>Gerardo Arrubarrena:</t>
        </r>
        <r>
          <rPr>
            <sz val="9"/>
            <color indexed="81"/>
            <rFont val="Tahoma"/>
            <family val="2"/>
          </rPr>
          <t xml:space="preserve">
1 op</t>
        </r>
      </text>
    </comment>
    <comment ref="JG60" authorId="0" shapeId="0" xr:uid="{908178AC-085F-44CD-BDE7-4DB7DA10B3E3}">
      <text>
        <r>
          <rPr>
            <b/>
            <sz val="9"/>
            <color indexed="81"/>
            <rFont val="Tahoma"/>
            <family val="2"/>
          </rPr>
          <t>Admin:</t>
        </r>
        <r>
          <rPr>
            <sz val="9"/>
            <color indexed="81"/>
            <rFont val="Tahoma"/>
            <family val="2"/>
          </rPr>
          <t xml:space="preserve">
1 op</t>
        </r>
      </text>
    </comment>
    <comment ref="JI60" authorId="0" shapeId="0" xr:uid="{822C8BCF-8C8B-429A-987F-33810AA0AC5D}">
      <text>
        <r>
          <rPr>
            <b/>
            <sz val="9"/>
            <color indexed="81"/>
            <rFont val="Tahoma"/>
            <family val="2"/>
          </rPr>
          <t>Admin:</t>
        </r>
        <r>
          <rPr>
            <sz val="9"/>
            <color indexed="81"/>
            <rFont val="Tahoma"/>
            <family val="2"/>
          </rPr>
          <t xml:space="preserve">
1 op</t>
        </r>
      </text>
    </comment>
    <comment ref="LQ60" authorId="0" shapeId="0" xr:uid="{D27D2C2E-6CA1-4D60-93E6-1614A1D6275C}">
      <text>
        <r>
          <rPr>
            <b/>
            <sz val="9"/>
            <color indexed="81"/>
            <rFont val="Tahoma"/>
            <family val="2"/>
          </rPr>
          <t>Admin:</t>
        </r>
        <r>
          <rPr>
            <sz val="9"/>
            <color indexed="81"/>
            <rFont val="Tahoma"/>
            <family val="2"/>
          </rPr>
          <t xml:space="preserve">
1 op</t>
        </r>
      </text>
    </comment>
    <comment ref="LW60" authorId="0" shapeId="0" xr:uid="{E266BBFB-E322-45F8-8530-1DE7227A1DDF}">
      <text>
        <r>
          <rPr>
            <b/>
            <sz val="9"/>
            <color indexed="81"/>
            <rFont val="Tahoma"/>
            <family val="2"/>
          </rPr>
          <t>Admin:</t>
        </r>
        <r>
          <rPr>
            <sz val="9"/>
            <color indexed="81"/>
            <rFont val="Tahoma"/>
            <family val="2"/>
          </rPr>
          <t xml:space="preserve">
1 op</t>
        </r>
      </text>
    </comment>
    <comment ref="II61" authorId="0" shapeId="0" xr:uid="{1F0D5049-66D6-46B2-864D-5EF305137041}">
      <text>
        <r>
          <rPr>
            <b/>
            <sz val="9"/>
            <color indexed="81"/>
            <rFont val="Tahoma"/>
            <family val="2"/>
          </rPr>
          <t>Admin:</t>
        </r>
        <r>
          <rPr>
            <sz val="9"/>
            <color indexed="81"/>
            <rFont val="Tahoma"/>
            <family val="2"/>
          </rPr>
          <t xml:space="preserve">
1 op</t>
        </r>
      </text>
    </comment>
    <comment ref="IU61" authorId="1" shapeId="0" xr:uid="{DD0D4564-B2F1-4CCA-BACE-D1ED06B80976}">
      <text>
        <r>
          <rPr>
            <b/>
            <sz val="9"/>
            <color indexed="81"/>
            <rFont val="Tahoma"/>
            <family val="2"/>
          </rPr>
          <t>Gerardo Arrubarrena:</t>
        </r>
        <r>
          <rPr>
            <sz val="9"/>
            <color indexed="81"/>
            <rFont val="Tahoma"/>
            <family val="2"/>
          </rPr>
          <t xml:space="preserve">
1 op</t>
        </r>
      </text>
    </comment>
    <comment ref="JG61" authorId="0" shapeId="0" xr:uid="{78BF4779-70D3-4901-94D5-211413337AD6}">
      <text>
        <r>
          <rPr>
            <b/>
            <sz val="9"/>
            <color indexed="81"/>
            <rFont val="Tahoma"/>
            <family val="2"/>
          </rPr>
          <t>Admin:</t>
        </r>
        <r>
          <rPr>
            <sz val="9"/>
            <color indexed="81"/>
            <rFont val="Tahoma"/>
            <family val="2"/>
          </rPr>
          <t xml:space="preserve">
1 op</t>
        </r>
      </text>
    </comment>
    <comment ref="JI61" authorId="0" shapeId="0" xr:uid="{0D28B84A-6481-49BA-81BB-0B0F32FAF589}">
      <text>
        <r>
          <rPr>
            <b/>
            <sz val="9"/>
            <color indexed="81"/>
            <rFont val="Tahoma"/>
            <family val="2"/>
          </rPr>
          <t>Admin:</t>
        </r>
        <r>
          <rPr>
            <sz val="9"/>
            <color indexed="81"/>
            <rFont val="Tahoma"/>
            <family val="2"/>
          </rPr>
          <t xml:space="preserve">
1 op</t>
        </r>
      </text>
    </comment>
    <comment ref="LQ61" authorId="0" shapeId="0" xr:uid="{C5C17710-7EAC-4CCB-86C7-65240A9A65FF}">
      <text>
        <r>
          <rPr>
            <b/>
            <sz val="9"/>
            <color indexed="81"/>
            <rFont val="Tahoma"/>
            <family val="2"/>
          </rPr>
          <t>Admin:</t>
        </r>
        <r>
          <rPr>
            <sz val="9"/>
            <color indexed="81"/>
            <rFont val="Tahoma"/>
            <family val="2"/>
          </rPr>
          <t xml:space="preserve">
1 op</t>
        </r>
      </text>
    </comment>
    <comment ref="LW61" authorId="0" shapeId="0" xr:uid="{8562381D-AABF-4CC0-B66E-CF5A6BAC3920}">
      <text>
        <r>
          <rPr>
            <b/>
            <sz val="9"/>
            <color indexed="81"/>
            <rFont val="Tahoma"/>
            <family val="2"/>
          </rPr>
          <t>Admin:</t>
        </r>
        <r>
          <rPr>
            <sz val="9"/>
            <color indexed="81"/>
            <rFont val="Tahoma"/>
            <family val="2"/>
          </rPr>
          <t xml:space="preserve">
1 op</t>
        </r>
      </text>
    </comment>
    <comment ref="IA62" authorId="0" shapeId="0" xr:uid="{2182C623-4581-478C-B1B4-70F82046A925}">
      <text>
        <r>
          <rPr>
            <b/>
            <sz val="9"/>
            <color indexed="81"/>
            <rFont val="Tahoma"/>
            <family val="2"/>
          </rPr>
          <t>Admin:</t>
        </r>
        <r>
          <rPr>
            <sz val="9"/>
            <color indexed="81"/>
            <rFont val="Tahoma"/>
            <family val="2"/>
          </rPr>
          <t xml:space="preserve">
Perdio menos que kk normal</t>
        </r>
      </text>
    </comment>
    <comment ref="II62" authorId="0" shapeId="0" xr:uid="{77216314-3CAB-4F6A-900D-964889AD58DB}">
      <text>
        <r>
          <rPr>
            <b/>
            <sz val="9"/>
            <color indexed="81"/>
            <rFont val="Tahoma"/>
            <family val="2"/>
          </rPr>
          <t>Admin:</t>
        </r>
        <r>
          <rPr>
            <sz val="9"/>
            <color indexed="81"/>
            <rFont val="Tahoma"/>
            <family val="2"/>
          </rPr>
          <t xml:space="preserve">
1 op</t>
        </r>
      </text>
    </comment>
    <comment ref="IY62" authorId="0" shapeId="0" xr:uid="{485C1E3F-4E15-4E1A-B689-81168E9F3537}">
      <text>
        <r>
          <rPr>
            <b/>
            <sz val="9"/>
            <color indexed="81"/>
            <rFont val="Tahoma"/>
            <family val="2"/>
          </rPr>
          <t>Admin:</t>
        </r>
        <r>
          <rPr>
            <sz val="9"/>
            <color indexed="81"/>
            <rFont val="Tahoma"/>
            <family val="2"/>
          </rPr>
          <t xml:space="preserve">
1 op</t>
        </r>
      </text>
    </comment>
    <comment ref="JE62" authorId="0" shapeId="0" xr:uid="{F27FE67E-15AE-4DE0-9CDA-26FD0BCC300C}">
      <text>
        <r>
          <rPr>
            <b/>
            <sz val="9"/>
            <color indexed="81"/>
            <rFont val="Tahoma"/>
            <family val="2"/>
          </rPr>
          <t>Admin:</t>
        </r>
        <r>
          <rPr>
            <sz val="9"/>
            <color indexed="81"/>
            <rFont val="Tahoma"/>
            <family val="2"/>
          </rPr>
          <t xml:space="preserve">
1 op</t>
        </r>
      </text>
    </comment>
    <comment ref="JG62" authorId="0" shapeId="0" xr:uid="{C449B59D-5688-49C7-8E64-C90EFC7ED053}">
      <text>
        <r>
          <rPr>
            <b/>
            <sz val="9"/>
            <color indexed="81"/>
            <rFont val="Tahoma"/>
            <family val="2"/>
          </rPr>
          <t>Admin:</t>
        </r>
        <r>
          <rPr>
            <sz val="9"/>
            <color indexed="81"/>
            <rFont val="Tahoma"/>
            <family val="2"/>
          </rPr>
          <t xml:space="preserve">
1 op</t>
        </r>
      </text>
    </comment>
    <comment ref="JI62" authorId="0" shapeId="0" xr:uid="{45A5602D-6512-44BE-8A92-075B8C941187}">
      <text>
        <r>
          <rPr>
            <b/>
            <sz val="9"/>
            <color indexed="81"/>
            <rFont val="Tahoma"/>
            <family val="2"/>
          </rPr>
          <t>Admin:</t>
        </r>
        <r>
          <rPr>
            <sz val="9"/>
            <color indexed="81"/>
            <rFont val="Tahoma"/>
            <family val="2"/>
          </rPr>
          <t xml:space="preserve">
1 op</t>
        </r>
      </text>
    </comment>
    <comment ref="JM62" authorId="0" shapeId="0" xr:uid="{21A4D617-1BAC-4783-97CB-42E1EAB2D77E}">
      <text>
        <r>
          <rPr>
            <b/>
            <sz val="9"/>
            <color indexed="81"/>
            <rFont val="Tahoma"/>
            <family val="2"/>
          </rPr>
          <t>Admin:</t>
        </r>
        <r>
          <rPr>
            <sz val="9"/>
            <color indexed="81"/>
            <rFont val="Tahoma"/>
            <family val="2"/>
          </rPr>
          <t xml:space="preserve">
1 op</t>
        </r>
      </text>
    </comment>
    <comment ref="KC62" authorId="0" shapeId="0" xr:uid="{F3779D0E-79C9-453E-B5CE-1099D5F9C99D}">
      <text>
        <r>
          <rPr>
            <b/>
            <sz val="9"/>
            <color indexed="81"/>
            <rFont val="Tahoma"/>
            <family val="2"/>
          </rPr>
          <t>Admin:</t>
        </r>
        <r>
          <rPr>
            <sz val="9"/>
            <color indexed="81"/>
            <rFont val="Tahoma"/>
            <family val="2"/>
          </rPr>
          <t xml:space="preserve">
1 op</t>
        </r>
      </text>
    </comment>
    <comment ref="KE62" authorId="0" shapeId="0" xr:uid="{B53C52DF-0C83-47A3-8F8B-2CEE6CA41EC8}">
      <text>
        <r>
          <rPr>
            <b/>
            <sz val="9"/>
            <color indexed="81"/>
            <rFont val="Tahoma"/>
            <family val="2"/>
          </rPr>
          <t>Admin:</t>
        </r>
        <r>
          <rPr>
            <sz val="9"/>
            <color indexed="81"/>
            <rFont val="Tahoma"/>
            <family val="2"/>
          </rPr>
          <t xml:space="preserve">
1 op</t>
        </r>
      </text>
    </comment>
    <comment ref="KI62" authorId="0" shapeId="0" xr:uid="{9BB1C492-94E5-425B-AF64-D3D00891AFA0}">
      <text>
        <r>
          <rPr>
            <b/>
            <sz val="9"/>
            <color indexed="81"/>
            <rFont val="Tahoma"/>
            <family val="2"/>
          </rPr>
          <t>Admin:</t>
        </r>
        <r>
          <rPr>
            <sz val="9"/>
            <color indexed="81"/>
            <rFont val="Tahoma"/>
            <family val="2"/>
          </rPr>
          <t xml:space="preserve">
1 op</t>
        </r>
      </text>
    </comment>
    <comment ref="LA62" authorId="0" shapeId="0" xr:uid="{13911E05-1A13-4EA8-82E2-DA87110BEBCB}">
      <text>
        <r>
          <rPr>
            <b/>
            <sz val="9"/>
            <color indexed="81"/>
            <rFont val="Tahoma"/>
            <family val="2"/>
          </rPr>
          <t>Admin:</t>
        </r>
        <r>
          <rPr>
            <sz val="9"/>
            <color indexed="81"/>
            <rFont val="Tahoma"/>
            <family val="2"/>
          </rPr>
          <t xml:space="preserve">
1 op</t>
        </r>
      </text>
    </comment>
    <comment ref="LW62" authorId="0" shapeId="0" xr:uid="{7BCD3ED7-443A-49AD-AB2C-27A74D58CCA2}">
      <text>
        <r>
          <rPr>
            <b/>
            <sz val="9"/>
            <color indexed="81"/>
            <rFont val="Tahoma"/>
            <family val="2"/>
          </rPr>
          <t>Admin:</t>
        </r>
        <r>
          <rPr>
            <sz val="9"/>
            <color indexed="81"/>
            <rFont val="Tahoma"/>
            <family val="2"/>
          </rPr>
          <t xml:space="preserve">
1 op</t>
        </r>
      </text>
    </comment>
    <comment ref="OG62" authorId="0" shapeId="0" xr:uid="{ACD50427-318F-473F-B765-723FACF8D8E3}">
      <text>
        <r>
          <rPr>
            <b/>
            <sz val="9"/>
            <color indexed="81"/>
            <rFont val="Tahoma"/>
            <family val="2"/>
          </rPr>
          <t>Admin:</t>
        </r>
        <r>
          <rPr>
            <sz val="9"/>
            <color indexed="81"/>
            <rFont val="Tahoma"/>
            <family val="2"/>
          </rPr>
          <t xml:space="preserve">
1 op</t>
        </r>
      </text>
    </comment>
    <comment ref="HW63" authorId="0" shapeId="0" xr:uid="{063C3626-C815-4588-927E-811E2EB850F2}">
      <text>
        <r>
          <rPr>
            <b/>
            <sz val="9"/>
            <color indexed="81"/>
            <rFont val="Tahoma"/>
            <family val="2"/>
          </rPr>
          <t>Admin:</t>
        </r>
        <r>
          <rPr>
            <sz val="9"/>
            <color indexed="81"/>
            <rFont val="Tahoma"/>
            <family val="2"/>
          </rPr>
          <t xml:space="preserve">
1 op</t>
        </r>
      </text>
    </comment>
    <comment ref="IC63" authorId="0" shapeId="0" xr:uid="{1FD94B25-4958-4BC7-B813-1C4F8B4FCDAE}">
      <text>
        <r>
          <rPr>
            <b/>
            <sz val="9"/>
            <color indexed="81"/>
            <rFont val="Tahoma"/>
            <family val="2"/>
          </rPr>
          <t>Admin:</t>
        </r>
        <r>
          <rPr>
            <sz val="9"/>
            <color indexed="81"/>
            <rFont val="Tahoma"/>
            <family val="2"/>
          </rPr>
          <t xml:space="preserve">
Perdio mas que el normal</t>
        </r>
      </text>
    </comment>
    <comment ref="II63" authorId="0" shapeId="0" xr:uid="{B14389D9-91E0-4BF7-9F8F-6A03DAE7D639}">
      <text>
        <r>
          <rPr>
            <b/>
            <sz val="9"/>
            <color indexed="81"/>
            <rFont val="Tahoma"/>
            <family val="2"/>
          </rPr>
          <t>Admin:</t>
        </r>
        <r>
          <rPr>
            <sz val="9"/>
            <color indexed="81"/>
            <rFont val="Tahoma"/>
            <family val="2"/>
          </rPr>
          <t xml:space="preserve">
1 op</t>
        </r>
      </text>
    </comment>
    <comment ref="IU63" authorId="1" shapeId="0" xr:uid="{5F2F372F-FE7A-4871-AD1E-92093CA54D02}">
      <text>
        <r>
          <rPr>
            <b/>
            <sz val="9"/>
            <color indexed="81"/>
            <rFont val="Tahoma"/>
            <family val="2"/>
          </rPr>
          <t>Gerardo Arrubarrena:</t>
        </r>
        <r>
          <rPr>
            <sz val="9"/>
            <color indexed="81"/>
            <rFont val="Tahoma"/>
            <family val="2"/>
          </rPr>
          <t xml:space="preserve">
1 op</t>
        </r>
      </text>
    </comment>
    <comment ref="JG63" authorId="0" shapeId="0" xr:uid="{A8CBB8A8-BCD2-489D-B6D2-1E59DE94DD43}">
      <text>
        <r>
          <rPr>
            <b/>
            <sz val="9"/>
            <color indexed="81"/>
            <rFont val="Tahoma"/>
            <family val="2"/>
          </rPr>
          <t>Admin:</t>
        </r>
        <r>
          <rPr>
            <sz val="9"/>
            <color indexed="81"/>
            <rFont val="Tahoma"/>
            <family val="2"/>
          </rPr>
          <t xml:space="preserve">
1 op</t>
        </r>
      </text>
    </comment>
    <comment ref="JI63" authorId="0" shapeId="0" xr:uid="{5A272E9F-17B5-48F2-936E-C169A16FD6DB}">
      <text>
        <r>
          <rPr>
            <b/>
            <sz val="9"/>
            <color indexed="81"/>
            <rFont val="Tahoma"/>
            <family val="2"/>
          </rPr>
          <t>Admin:</t>
        </r>
        <r>
          <rPr>
            <sz val="9"/>
            <color indexed="81"/>
            <rFont val="Tahoma"/>
            <family val="2"/>
          </rPr>
          <t xml:space="preserve">
1 op</t>
        </r>
      </text>
    </comment>
    <comment ref="KA63" authorId="0" shapeId="0" xr:uid="{CC3992C9-C0C5-48C7-B871-7BA0389EB2B8}">
      <text>
        <r>
          <rPr>
            <b/>
            <sz val="9"/>
            <color indexed="81"/>
            <rFont val="Tahoma"/>
            <family val="2"/>
          </rPr>
          <t>Admin:</t>
        </r>
        <r>
          <rPr>
            <sz val="9"/>
            <color indexed="81"/>
            <rFont val="Tahoma"/>
            <family val="2"/>
          </rPr>
          <t xml:space="preserve">
1 op</t>
        </r>
      </text>
    </comment>
    <comment ref="LE63" authorId="0" shapeId="0" xr:uid="{6FEC4D99-AE15-404E-8399-8AA25A92926D}">
      <text>
        <r>
          <rPr>
            <b/>
            <sz val="9"/>
            <color indexed="81"/>
            <rFont val="Tahoma"/>
            <family val="2"/>
          </rPr>
          <t>Admin:</t>
        </r>
        <r>
          <rPr>
            <sz val="9"/>
            <color indexed="81"/>
            <rFont val="Tahoma"/>
            <family val="2"/>
          </rPr>
          <t xml:space="preserve">
1 op</t>
        </r>
      </text>
    </comment>
    <comment ref="LW63" authorId="0" shapeId="0" xr:uid="{5EA9CFCB-D12E-4031-81E2-A3A493F136C4}">
      <text>
        <r>
          <rPr>
            <b/>
            <sz val="9"/>
            <color indexed="81"/>
            <rFont val="Tahoma"/>
            <family val="2"/>
          </rPr>
          <t>Admin:</t>
        </r>
        <r>
          <rPr>
            <sz val="9"/>
            <color indexed="81"/>
            <rFont val="Tahoma"/>
            <family val="2"/>
          </rPr>
          <t xml:space="preserve">
1 op</t>
        </r>
      </text>
    </comment>
    <comment ref="MG63" authorId="0" shapeId="0" xr:uid="{B2BDE510-61EF-46AD-BF86-BA445F8EBFC1}">
      <text>
        <r>
          <rPr>
            <b/>
            <sz val="9"/>
            <color indexed="81"/>
            <rFont val="Tahoma"/>
            <family val="2"/>
          </rPr>
          <t>Admin:</t>
        </r>
        <r>
          <rPr>
            <sz val="9"/>
            <color indexed="81"/>
            <rFont val="Tahoma"/>
            <family val="2"/>
          </rPr>
          <t xml:space="preserve">
1 op</t>
        </r>
      </text>
    </comment>
    <comment ref="HW64" authorId="0" shapeId="0" xr:uid="{087CC1E5-1DD1-4DCA-B93A-25E8B792CCC7}">
      <text>
        <r>
          <rPr>
            <b/>
            <sz val="9"/>
            <color indexed="81"/>
            <rFont val="Tahoma"/>
            <family val="2"/>
          </rPr>
          <t>Admin:</t>
        </r>
        <r>
          <rPr>
            <sz val="9"/>
            <color indexed="81"/>
            <rFont val="Tahoma"/>
            <family val="2"/>
          </rPr>
          <t xml:space="preserve">
1 op</t>
        </r>
      </text>
    </comment>
    <comment ref="IC64" authorId="0" shapeId="0" xr:uid="{28449A36-BB9C-4C06-B396-5BBAB61A8B62}">
      <text>
        <r>
          <rPr>
            <b/>
            <sz val="9"/>
            <color indexed="81"/>
            <rFont val="Tahoma"/>
            <family val="2"/>
          </rPr>
          <t>Admin:</t>
        </r>
        <r>
          <rPr>
            <sz val="9"/>
            <color indexed="81"/>
            <rFont val="Tahoma"/>
            <family val="2"/>
          </rPr>
          <t xml:space="preserve">
1 op</t>
        </r>
      </text>
    </comment>
    <comment ref="IQ64" authorId="0" shapeId="0" xr:uid="{A0D752B8-DDE0-4635-B0DF-4A81DB54C9F9}">
      <text>
        <r>
          <rPr>
            <b/>
            <sz val="9"/>
            <color indexed="81"/>
            <rFont val="Tahoma"/>
            <family val="2"/>
          </rPr>
          <t>Admin:</t>
        </r>
        <r>
          <rPr>
            <sz val="9"/>
            <color indexed="81"/>
            <rFont val="Tahoma"/>
            <family val="2"/>
          </rPr>
          <t xml:space="preserve">
1 op</t>
        </r>
      </text>
    </comment>
    <comment ref="JY64" authorId="0" shapeId="0" xr:uid="{F75004F2-8D34-4EDF-B367-E038D0F83AB5}">
      <text>
        <r>
          <rPr>
            <b/>
            <sz val="9"/>
            <color indexed="81"/>
            <rFont val="Tahoma"/>
            <family val="2"/>
          </rPr>
          <t>Admin:</t>
        </r>
        <r>
          <rPr>
            <sz val="9"/>
            <color indexed="81"/>
            <rFont val="Tahoma"/>
            <family val="2"/>
          </rPr>
          <t xml:space="preserve">
1 op</t>
        </r>
      </text>
    </comment>
    <comment ref="KA64" authorId="0" shapeId="0" xr:uid="{058A6074-5574-4D02-81CB-501BC6CCCAE3}">
      <text>
        <r>
          <rPr>
            <b/>
            <sz val="9"/>
            <color indexed="81"/>
            <rFont val="Tahoma"/>
            <family val="2"/>
          </rPr>
          <t>Admin:</t>
        </r>
        <r>
          <rPr>
            <sz val="9"/>
            <color indexed="81"/>
            <rFont val="Tahoma"/>
            <family val="2"/>
          </rPr>
          <t xml:space="preserve">
1 op</t>
        </r>
      </text>
    </comment>
    <comment ref="KG64" authorId="0" shapeId="0" xr:uid="{18B9B00E-F42E-482D-9146-EA4BFF3AD809}">
      <text>
        <r>
          <rPr>
            <b/>
            <sz val="9"/>
            <color indexed="81"/>
            <rFont val="Tahoma"/>
            <family val="2"/>
          </rPr>
          <t>Admin:</t>
        </r>
        <r>
          <rPr>
            <sz val="9"/>
            <color indexed="81"/>
            <rFont val="Tahoma"/>
            <family val="2"/>
          </rPr>
          <t xml:space="preserve">
1 op</t>
        </r>
      </text>
    </comment>
    <comment ref="LC64" authorId="0" shapeId="0" xr:uid="{EEB63E44-82E4-4C3F-826E-7379DDCD71A0}">
      <text>
        <r>
          <rPr>
            <b/>
            <sz val="9"/>
            <color indexed="81"/>
            <rFont val="Tahoma"/>
            <family val="2"/>
          </rPr>
          <t>Admin:</t>
        </r>
        <r>
          <rPr>
            <sz val="9"/>
            <color indexed="81"/>
            <rFont val="Tahoma"/>
            <family val="2"/>
          </rPr>
          <t xml:space="preserve">
1 op</t>
        </r>
      </text>
    </comment>
    <comment ref="LI64" authorId="0" shapeId="0" xr:uid="{C825CEAB-4E92-433A-BE4B-4A344A423960}">
      <text>
        <r>
          <rPr>
            <b/>
            <sz val="9"/>
            <color indexed="81"/>
            <rFont val="Tahoma"/>
            <family val="2"/>
          </rPr>
          <t>Admin:</t>
        </r>
        <r>
          <rPr>
            <sz val="9"/>
            <color indexed="81"/>
            <rFont val="Tahoma"/>
            <family val="2"/>
          </rPr>
          <t xml:space="preserve">
1 op</t>
        </r>
      </text>
    </comment>
    <comment ref="LY64" authorId="0" shapeId="0" xr:uid="{A2C688E1-D1DE-44E4-93E8-C4E999F0C2E0}">
      <text>
        <r>
          <rPr>
            <b/>
            <sz val="9"/>
            <color indexed="81"/>
            <rFont val="Tahoma"/>
            <family val="2"/>
          </rPr>
          <t>Admin:</t>
        </r>
        <r>
          <rPr>
            <sz val="9"/>
            <color indexed="81"/>
            <rFont val="Tahoma"/>
            <family val="2"/>
          </rPr>
          <t xml:space="preserve">
1 op</t>
        </r>
      </text>
    </comment>
    <comment ref="MA64" authorId="0" shapeId="0" xr:uid="{7D4C8597-EE03-4C3C-9016-D94BA5425229}">
      <text>
        <r>
          <rPr>
            <b/>
            <sz val="9"/>
            <color indexed="81"/>
            <rFont val="Tahoma"/>
            <family val="2"/>
          </rPr>
          <t>Admin:</t>
        </r>
        <r>
          <rPr>
            <sz val="9"/>
            <color indexed="81"/>
            <rFont val="Tahoma"/>
            <family val="2"/>
          </rPr>
          <t xml:space="preserve">
1 op</t>
        </r>
      </text>
    </comment>
    <comment ref="MI64" authorId="0" shapeId="0" xr:uid="{D4A83535-8EC0-4C78-AF73-58E5D3994082}">
      <text>
        <r>
          <rPr>
            <b/>
            <sz val="9"/>
            <color indexed="81"/>
            <rFont val="Tahoma"/>
            <family val="2"/>
          </rPr>
          <t>Admin:</t>
        </r>
        <r>
          <rPr>
            <sz val="9"/>
            <color indexed="81"/>
            <rFont val="Tahoma"/>
            <family val="2"/>
          </rPr>
          <t xml:space="preserve">
1 op</t>
        </r>
      </text>
    </comment>
    <comment ref="MO64" authorId="0" shapeId="0" xr:uid="{C87868D0-258F-44DB-BB50-3D529A003BA4}">
      <text>
        <r>
          <rPr>
            <b/>
            <sz val="9"/>
            <color indexed="81"/>
            <rFont val="Tahoma"/>
            <family val="2"/>
          </rPr>
          <t>Admin:</t>
        </r>
        <r>
          <rPr>
            <sz val="9"/>
            <color indexed="81"/>
            <rFont val="Tahoma"/>
            <family val="2"/>
          </rPr>
          <t xml:space="preserve">
1 op</t>
        </r>
      </text>
    </comment>
    <comment ref="NQ64" authorId="0" shapeId="0" xr:uid="{FB2E3786-384A-4B1D-93F0-F7066FE7883C}">
      <text>
        <r>
          <rPr>
            <b/>
            <sz val="9"/>
            <color indexed="81"/>
            <rFont val="Tahoma"/>
            <family val="2"/>
          </rPr>
          <t>Admin:</t>
        </r>
        <r>
          <rPr>
            <sz val="9"/>
            <color indexed="81"/>
            <rFont val="Tahoma"/>
            <family val="2"/>
          </rPr>
          <t xml:space="preserve">
1 op</t>
        </r>
      </text>
    </comment>
    <comment ref="OC64" authorId="0" shapeId="0" xr:uid="{A99B1C7A-F7E4-4849-996E-2304454B18EC}">
      <text>
        <r>
          <rPr>
            <b/>
            <sz val="9"/>
            <color indexed="81"/>
            <rFont val="Tahoma"/>
            <family val="2"/>
          </rPr>
          <t>Admin:</t>
        </r>
        <r>
          <rPr>
            <sz val="9"/>
            <color indexed="81"/>
            <rFont val="Tahoma"/>
            <family val="2"/>
          </rPr>
          <t xml:space="preserve">
1 OP</t>
        </r>
      </text>
    </comment>
    <comment ref="II65" authorId="0" shapeId="0" xr:uid="{0C698BE0-A601-43C7-8A35-A9A56FA53123}">
      <text>
        <r>
          <rPr>
            <b/>
            <sz val="9"/>
            <color indexed="81"/>
            <rFont val="Tahoma"/>
            <family val="2"/>
          </rPr>
          <t>Admin:</t>
        </r>
        <r>
          <rPr>
            <sz val="9"/>
            <color indexed="81"/>
            <rFont val="Tahoma"/>
            <family val="2"/>
          </rPr>
          <t xml:space="preserve">
1 op</t>
        </r>
      </text>
    </comment>
    <comment ref="IU65" authorId="1" shapeId="0" xr:uid="{E2D722BB-9E02-4B90-94B5-D631BF4F6BFA}">
      <text>
        <r>
          <rPr>
            <b/>
            <sz val="9"/>
            <color indexed="81"/>
            <rFont val="Tahoma"/>
            <family val="2"/>
          </rPr>
          <t>Gerardo Arrubarrena:</t>
        </r>
        <r>
          <rPr>
            <sz val="9"/>
            <color indexed="81"/>
            <rFont val="Tahoma"/>
            <family val="2"/>
          </rPr>
          <t xml:space="preserve">
1 op</t>
        </r>
      </text>
    </comment>
    <comment ref="JG65" authorId="0" shapeId="0" xr:uid="{88B8B44A-1DBF-499B-8E6F-BD5B39927DC9}">
      <text>
        <r>
          <rPr>
            <b/>
            <sz val="9"/>
            <color indexed="81"/>
            <rFont val="Tahoma"/>
            <family val="2"/>
          </rPr>
          <t>Admin:</t>
        </r>
        <r>
          <rPr>
            <sz val="9"/>
            <color indexed="81"/>
            <rFont val="Tahoma"/>
            <family val="2"/>
          </rPr>
          <t xml:space="preserve">
1 op</t>
        </r>
      </text>
    </comment>
    <comment ref="JI65" authorId="0" shapeId="0" xr:uid="{CA5D25B2-946A-4322-8549-3808C8984B49}">
      <text>
        <r>
          <rPr>
            <b/>
            <sz val="9"/>
            <color indexed="81"/>
            <rFont val="Tahoma"/>
            <family val="2"/>
          </rPr>
          <t>Admin:</t>
        </r>
        <r>
          <rPr>
            <sz val="9"/>
            <color indexed="81"/>
            <rFont val="Tahoma"/>
            <family val="2"/>
          </rPr>
          <t xml:space="preserve">
1 op</t>
        </r>
      </text>
    </comment>
    <comment ref="LA65" authorId="0" shapeId="0" xr:uid="{6285DE3C-4419-4283-A533-EDBFED93F7D6}">
      <text>
        <r>
          <rPr>
            <b/>
            <sz val="9"/>
            <color indexed="81"/>
            <rFont val="Tahoma"/>
            <family val="2"/>
          </rPr>
          <t>Admin:</t>
        </r>
        <r>
          <rPr>
            <sz val="9"/>
            <color indexed="81"/>
            <rFont val="Tahoma"/>
            <family val="2"/>
          </rPr>
          <t xml:space="preserve">
1 op</t>
        </r>
      </text>
    </comment>
    <comment ref="LW65" authorId="0" shapeId="0" xr:uid="{89B33AB0-CAF9-4DD5-B8B0-50BAD12FF0C2}">
      <text>
        <r>
          <rPr>
            <b/>
            <sz val="9"/>
            <color indexed="81"/>
            <rFont val="Tahoma"/>
            <family val="2"/>
          </rPr>
          <t>Admin:</t>
        </r>
        <r>
          <rPr>
            <sz val="9"/>
            <color indexed="81"/>
            <rFont val="Tahoma"/>
            <family val="2"/>
          </rPr>
          <t xml:space="preserve">
1 op</t>
        </r>
      </text>
    </comment>
    <comment ref="OG65" authorId="0" shapeId="0" xr:uid="{7A7F076B-0863-4A7A-8FBE-8770F586AEB1}">
      <text>
        <r>
          <rPr>
            <b/>
            <sz val="9"/>
            <color indexed="81"/>
            <rFont val="Tahoma"/>
            <family val="2"/>
          </rPr>
          <t>Admin:</t>
        </r>
        <r>
          <rPr>
            <sz val="9"/>
            <color indexed="81"/>
            <rFont val="Tahoma"/>
            <family val="2"/>
          </rPr>
          <t xml:space="preserve">
1 op</t>
        </r>
      </text>
    </comment>
    <comment ref="IU66" authorId="1" shapeId="0" xr:uid="{26A9597C-9AFD-424F-8DFF-B1D90D76AE1B}">
      <text>
        <r>
          <rPr>
            <b/>
            <sz val="9"/>
            <color indexed="81"/>
            <rFont val="Tahoma"/>
            <family val="2"/>
          </rPr>
          <t>Gerardo Arrubarrena:</t>
        </r>
        <r>
          <rPr>
            <sz val="9"/>
            <color indexed="81"/>
            <rFont val="Tahoma"/>
            <family val="2"/>
          </rPr>
          <t xml:space="preserve">
1 op</t>
        </r>
      </text>
    </comment>
    <comment ref="JG66" authorId="0" shapeId="0" xr:uid="{5D5E3CD6-C7F3-4346-A7AE-CD0CDC88E79E}">
      <text>
        <r>
          <rPr>
            <b/>
            <sz val="9"/>
            <color indexed="81"/>
            <rFont val="Tahoma"/>
            <family val="2"/>
          </rPr>
          <t>Admin:</t>
        </r>
        <r>
          <rPr>
            <sz val="9"/>
            <color indexed="81"/>
            <rFont val="Tahoma"/>
            <family val="2"/>
          </rPr>
          <t xml:space="preserve">
1 op</t>
        </r>
      </text>
    </comment>
    <comment ref="JI66" authorId="0" shapeId="0" xr:uid="{043A3A6B-50CB-4798-80DA-8B4C64AC3141}">
      <text>
        <r>
          <rPr>
            <b/>
            <sz val="9"/>
            <color indexed="81"/>
            <rFont val="Tahoma"/>
            <family val="2"/>
          </rPr>
          <t>Admin:</t>
        </r>
        <r>
          <rPr>
            <sz val="9"/>
            <color indexed="81"/>
            <rFont val="Tahoma"/>
            <family val="2"/>
          </rPr>
          <t xml:space="preserve">
1 op</t>
        </r>
      </text>
    </comment>
    <comment ref="KS66" authorId="0" shapeId="0" xr:uid="{27F2D1F4-2EB8-48EE-BD73-8F8D13CCF101}">
      <text>
        <r>
          <rPr>
            <b/>
            <sz val="9"/>
            <color indexed="81"/>
            <rFont val="Tahoma"/>
            <family val="2"/>
          </rPr>
          <t>Admin:</t>
        </r>
        <r>
          <rPr>
            <sz val="9"/>
            <color indexed="81"/>
            <rFont val="Tahoma"/>
            <family val="2"/>
          </rPr>
          <t xml:space="preserve">
Ultimo sin MOPEN</t>
        </r>
      </text>
    </comment>
    <comment ref="LA66" authorId="0" shapeId="0" xr:uid="{D2A63AD1-7C86-45A3-A07A-4D460B6739C9}">
      <text>
        <r>
          <rPr>
            <b/>
            <sz val="9"/>
            <color indexed="81"/>
            <rFont val="Tahoma"/>
            <family val="2"/>
          </rPr>
          <t>Admin:</t>
        </r>
        <r>
          <rPr>
            <sz val="9"/>
            <color indexed="81"/>
            <rFont val="Tahoma"/>
            <family val="2"/>
          </rPr>
          <t xml:space="preserve">
1 op</t>
        </r>
      </text>
    </comment>
    <comment ref="LW66" authorId="0" shapeId="0" xr:uid="{337B330F-2A5B-4F83-8355-16B86BE742D7}">
      <text>
        <r>
          <rPr>
            <b/>
            <sz val="9"/>
            <color indexed="81"/>
            <rFont val="Tahoma"/>
            <family val="2"/>
          </rPr>
          <t>Admin:</t>
        </r>
        <r>
          <rPr>
            <sz val="9"/>
            <color indexed="81"/>
            <rFont val="Tahoma"/>
            <family val="2"/>
          </rPr>
          <t xml:space="preserve">
1 op</t>
        </r>
      </text>
    </comment>
    <comment ref="OG66" authorId="0" shapeId="0" xr:uid="{B593381A-E35D-4BC9-B7A4-8A5F8C5F6FCE}">
      <text>
        <r>
          <rPr>
            <b/>
            <sz val="9"/>
            <color indexed="81"/>
            <rFont val="Tahoma"/>
            <family val="2"/>
          </rPr>
          <t>Admin:</t>
        </r>
        <r>
          <rPr>
            <sz val="9"/>
            <color indexed="81"/>
            <rFont val="Tahoma"/>
            <family val="2"/>
          </rPr>
          <t xml:space="preserve">
1 op</t>
        </r>
      </text>
    </comment>
    <comment ref="LQ67" authorId="0" shapeId="0" xr:uid="{14E1122E-F66F-4DBA-A848-3782080A58A4}">
      <text>
        <r>
          <rPr>
            <b/>
            <sz val="9"/>
            <color indexed="81"/>
            <rFont val="Tahoma"/>
            <family val="2"/>
          </rPr>
          <t>Admin:</t>
        </r>
        <r>
          <rPr>
            <sz val="9"/>
            <color indexed="81"/>
            <rFont val="Tahoma"/>
            <family val="2"/>
          </rPr>
          <t xml:space="preserve">
1 op</t>
        </r>
      </text>
    </comment>
    <comment ref="MW67" authorId="0" shapeId="0" xr:uid="{94B40018-6B2D-4035-97DA-E8D28040FEA6}">
      <text>
        <r>
          <rPr>
            <b/>
            <sz val="9"/>
            <color indexed="81"/>
            <rFont val="Tahoma"/>
            <family val="2"/>
          </rPr>
          <t>Admin:</t>
        </r>
        <r>
          <rPr>
            <sz val="9"/>
            <color indexed="81"/>
            <rFont val="Tahoma"/>
            <family val="2"/>
          </rPr>
          <t xml:space="preserve">
1 op</t>
        </r>
      </text>
    </comment>
    <comment ref="NU67" authorId="0" shapeId="0" xr:uid="{2561AFD3-C6AB-4718-B683-8F0B8EC70BF2}">
      <text>
        <r>
          <rPr>
            <b/>
            <sz val="9"/>
            <color indexed="81"/>
            <rFont val="Tahoma"/>
            <family val="2"/>
          </rPr>
          <t>Admin:</t>
        </r>
        <r>
          <rPr>
            <sz val="9"/>
            <color indexed="81"/>
            <rFont val="Tahoma"/>
            <family val="2"/>
          </rPr>
          <t xml:space="preserve">
1 op</t>
        </r>
      </text>
    </comment>
    <comment ref="OG67" authorId="0" shapeId="0" xr:uid="{E8D0CDEF-E151-4E79-A221-93077B089BE8}">
      <text>
        <r>
          <rPr>
            <b/>
            <sz val="9"/>
            <color indexed="81"/>
            <rFont val="Tahoma"/>
            <family val="2"/>
          </rPr>
          <t>Admin:</t>
        </r>
        <r>
          <rPr>
            <sz val="9"/>
            <color indexed="81"/>
            <rFont val="Tahoma"/>
            <family val="2"/>
          </rPr>
          <t xml:space="preserve">
1 op</t>
        </r>
      </text>
    </comment>
    <comment ref="CM68" authorId="0" shapeId="0" xr:uid="{5EE91AD6-E0D5-4DE4-B764-7FD65118B4A1}">
      <text>
        <r>
          <rPr>
            <b/>
            <sz val="9"/>
            <color indexed="81"/>
            <rFont val="Tahoma"/>
            <family val="2"/>
          </rPr>
          <t>Admin:</t>
        </r>
        <r>
          <rPr>
            <sz val="9"/>
            <color indexed="81"/>
            <rFont val="Tahoma"/>
            <family val="2"/>
          </rPr>
          <t xml:space="preserve">
1 op</t>
        </r>
      </text>
    </comment>
    <comment ref="DI68" authorId="0" shapeId="0" xr:uid="{FB3E25E7-8B25-4ADB-A877-2982A95B19EE}">
      <text>
        <r>
          <rPr>
            <b/>
            <sz val="9"/>
            <color indexed="81"/>
            <rFont val="Tahoma"/>
            <family val="2"/>
          </rPr>
          <t>Admin:</t>
        </r>
        <r>
          <rPr>
            <sz val="9"/>
            <color indexed="81"/>
            <rFont val="Tahoma"/>
            <family val="2"/>
          </rPr>
          <t xml:space="preserve">
1 op</t>
        </r>
      </text>
    </comment>
    <comment ref="IO81" authorId="0" shapeId="0" xr:uid="{2D0E3363-54E0-4218-A524-DCF4F94DC6A4}">
      <text>
        <r>
          <rPr>
            <b/>
            <sz val="9"/>
            <color indexed="81"/>
            <rFont val="Tahoma"/>
            <family val="2"/>
          </rPr>
          <t>Admin:</t>
        </r>
        <r>
          <rPr>
            <sz val="9"/>
            <color indexed="81"/>
            <rFont val="Tahoma"/>
            <family val="2"/>
          </rPr>
          <t xml:space="preserve">
1 op</t>
        </r>
      </text>
    </comment>
    <comment ref="IS81" authorId="1" shapeId="0" xr:uid="{A18AC881-7A19-4005-A846-1EE4475F065D}">
      <text>
        <r>
          <rPr>
            <b/>
            <sz val="9"/>
            <color indexed="81"/>
            <rFont val="Tahoma"/>
            <family val="2"/>
          </rPr>
          <t>Gerardo Arrubarrena:</t>
        </r>
        <r>
          <rPr>
            <sz val="9"/>
            <color indexed="81"/>
            <rFont val="Tahoma"/>
            <family val="2"/>
          </rPr>
          <t xml:space="preserve">
1 op</t>
        </r>
      </text>
    </comment>
    <comment ref="IW81" authorId="0" shapeId="0" xr:uid="{79E5904F-9CED-4FF4-A7F6-191C679A5386}">
      <text>
        <r>
          <rPr>
            <b/>
            <sz val="9"/>
            <color indexed="81"/>
            <rFont val="Tahoma"/>
            <family val="2"/>
          </rPr>
          <t>Admin:</t>
        </r>
        <r>
          <rPr>
            <sz val="9"/>
            <color indexed="81"/>
            <rFont val="Tahoma"/>
            <family val="2"/>
          </rPr>
          <t xml:space="preserve">
1 op</t>
        </r>
      </text>
    </comment>
    <comment ref="JE81" authorId="0" shapeId="0" xr:uid="{64ACAD01-632D-4D12-94EA-A38818B1C7B6}">
      <text>
        <r>
          <rPr>
            <b/>
            <sz val="9"/>
            <color indexed="81"/>
            <rFont val="Tahoma"/>
            <family val="2"/>
          </rPr>
          <t>Admin:</t>
        </r>
        <r>
          <rPr>
            <sz val="9"/>
            <color indexed="81"/>
            <rFont val="Tahoma"/>
            <family val="2"/>
          </rPr>
          <t xml:space="preserve">
1 op</t>
        </r>
      </text>
    </comment>
    <comment ref="JS81" authorId="0" shapeId="0" xr:uid="{595D61FF-4E27-40C4-BD39-2B2E7A46D7FE}">
      <text>
        <r>
          <rPr>
            <b/>
            <sz val="9"/>
            <color indexed="81"/>
            <rFont val="Tahoma"/>
            <family val="2"/>
          </rPr>
          <t>Admin:</t>
        </r>
        <r>
          <rPr>
            <sz val="9"/>
            <color indexed="81"/>
            <rFont val="Tahoma"/>
            <family val="2"/>
          </rPr>
          <t xml:space="preserve">
1 op</t>
        </r>
      </text>
    </comment>
    <comment ref="KC81" authorId="0" shapeId="0" xr:uid="{D7ADD516-B778-4CC0-89D9-737699C68E1D}">
      <text>
        <r>
          <rPr>
            <b/>
            <sz val="9"/>
            <color indexed="81"/>
            <rFont val="Tahoma"/>
            <family val="2"/>
          </rPr>
          <t>Admin:</t>
        </r>
        <r>
          <rPr>
            <sz val="9"/>
            <color indexed="81"/>
            <rFont val="Tahoma"/>
            <family val="2"/>
          </rPr>
          <t xml:space="preserve">
1 op</t>
        </r>
      </text>
    </comment>
    <comment ref="LA81" authorId="0" shapeId="0" xr:uid="{514A074F-FDC0-475D-9084-C287F0A6B08D}">
      <text>
        <r>
          <rPr>
            <b/>
            <sz val="9"/>
            <color indexed="81"/>
            <rFont val="Tahoma"/>
            <family val="2"/>
          </rPr>
          <t>Admin:</t>
        </r>
        <r>
          <rPr>
            <sz val="9"/>
            <color indexed="81"/>
            <rFont val="Tahoma"/>
            <family val="2"/>
          </rPr>
          <t xml:space="preserve">
1 op</t>
        </r>
      </text>
    </comment>
    <comment ref="MC81" authorId="0" shapeId="0" xr:uid="{9C0CEB74-23E2-4DD9-8E40-547352B0CD1A}">
      <text>
        <r>
          <rPr>
            <b/>
            <sz val="9"/>
            <color indexed="81"/>
            <rFont val="Tahoma"/>
            <family val="2"/>
          </rPr>
          <t>Admin:</t>
        </r>
        <r>
          <rPr>
            <sz val="9"/>
            <color indexed="81"/>
            <rFont val="Tahoma"/>
            <family val="2"/>
          </rPr>
          <t xml:space="preserve">
1 op</t>
        </r>
      </text>
    </comment>
    <comment ref="MI81" authorId="0" shapeId="0" xr:uid="{DDEA5563-F2EB-45D6-889E-44230C2C0D1F}">
      <text>
        <r>
          <rPr>
            <b/>
            <sz val="9"/>
            <color indexed="81"/>
            <rFont val="Tahoma"/>
            <family val="2"/>
          </rPr>
          <t>Admin:</t>
        </r>
        <r>
          <rPr>
            <sz val="9"/>
            <color indexed="81"/>
            <rFont val="Tahoma"/>
            <family val="2"/>
          </rPr>
          <t xml:space="preserve">
1 op</t>
        </r>
      </text>
    </comment>
    <comment ref="NU81" authorId="0" shapeId="0" xr:uid="{8A475579-7928-4BD4-BDCE-845DBF44D809}">
      <text>
        <r>
          <rPr>
            <b/>
            <sz val="9"/>
            <color indexed="81"/>
            <rFont val="Tahoma"/>
            <family val="2"/>
          </rPr>
          <t>Admin:</t>
        </r>
        <r>
          <rPr>
            <sz val="9"/>
            <color indexed="81"/>
            <rFont val="Tahoma"/>
            <family val="2"/>
          </rPr>
          <t xml:space="preserve">
1 op</t>
        </r>
      </text>
    </comment>
    <comment ref="HU82" authorId="0" shapeId="0" xr:uid="{325D524D-213E-4075-B2AA-CFE9BDAA2786}">
      <text>
        <r>
          <rPr>
            <b/>
            <sz val="9"/>
            <color indexed="81"/>
            <rFont val="Tahoma"/>
            <family val="2"/>
          </rPr>
          <t>Admin:</t>
        </r>
        <r>
          <rPr>
            <sz val="9"/>
            <color indexed="81"/>
            <rFont val="Tahoma"/>
            <family val="2"/>
          </rPr>
          <t xml:space="preserve">
perdio menos que sp kksan normal</t>
        </r>
      </text>
    </comment>
    <comment ref="HW82" authorId="0" shapeId="0" xr:uid="{48C0C7ED-97A6-46BA-BDB8-20BFBE503129}">
      <text>
        <r>
          <rPr>
            <b/>
            <sz val="9"/>
            <color indexed="81"/>
            <rFont val="Tahoma"/>
            <family val="2"/>
          </rPr>
          <t>Admin:</t>
        </r>
        <r>
          <rPr>
            <sz val="9"/>
            <color indexed="81"/>
            <rFont val="Tahoma"/>
            <family val="2"/>
          </rPr>
          <t xml:space="preserve">
perdio mas que sp kk normal</t>
        </r>
      </text>
    </comment>
    <comment ref="IA82" authorId="0" shapeId="0" xr:uid="{1116869E-F822-4DA2-ABFE-01A88E54023D}">
      <text>
        <r>
          <rPr>
            <b/>
            <sz val="9"/>
            <color indexed="81"/>
            <rFont val="Tahoma"/>
            <family val="2"/>
          </rPr>
          <t>Admin:</t>
        </r>
        <r>
          <rPr>
            <sz val="9"/>
            <color indexed="81"/>
            <rFont val="Tahoma"/>
            <family val="2"/>
          </rPr>
          <t xml:space="preserve">
Perdio mucho mas que kk san normal</t>
        </r>
      </text>
    </comment>
    <comment ref="IC82" authorId="0" shapeId="0" xr:uid="{502C6E04-5A7B-4DEA-A862-9D21D853C349}">
      <text>
        <r>
          <rPr>
            <b/>
            <sz val="9"/>
            <color indexed="81"/>
            <rFont val="Tahoma"/>
            <family val="2"/>
          </rPr>
          <t>Admin:</t>
        </r>
        <r>
          <rPr>
            <sz val="9"/>
            <color indexed="81"/>
            <rFont val="Tahoma"/>
            <family val="2"/>
          </rPr>
          <t xml:space="preserve">
perdio mas que el normal</t>
        </r>
      </text>
    </comment>
    <comment ref="IE82" authorId="0" shapeId="0" xr:uid="{6E1927B8-C412-4CB0-A71A-72FAE74AF8FA}">
      <text>
        <r>
          <rPr>
            <b/>
            <sz val="9"/>
            <color indexed="81"/>
            <rFont val="Tahoma"/>
            <family val="2"/>
          </rPr>
          <t>Admin:</t>
        </r>
        <r>
          <rPr>
            <sz val="9"/>
            <color indexed="81"/>
            <rFont val="Tahoma"/>
            <family val="2"/>
          </rPr>
          <t xml:space="preserve">
Perdio mas que el normal</t>
        </r>
      </text>
    </comment>
    <comment ref="IO82" authorId="0" shapeId="0" xr:uid="{13C82FD2-7343-4A16-B7A0-4C999603335D}">
      <text>
        <r>
          <rPr>
            <b/>
            <sz val="9"/>
            <color indexed="81"/>
            <rFont val="Tahoma"/>
            <family val="2"/>
          </rPr>
          <t>Admin:</t>
        </r>
        <r>
          <rPr>
            <sz val="9"/>
            <color indexed="81"/>
            <rFont val="Tahoma"/>
            <family val="2"/>
          </rPr>
          <t xml:space="preserve">
1 op</t>
        </r>
      </text>
    </comment>
    <comment ref="IS82" authorId="1" shapeId="0" xr:uid="{A8FA5FD5-21AA-4D91-832C-1D327A0F44DD}">
      <text>
        <r>
          <rPr>
            <b/>
            <sz val="9"/>
            <color indexed="81"/>
            <rFont val="Tahoma"/>
            <family val="2"/>
          </rPr>
          <t>Gerardo Arrubarrena:</t>
        </r>
        <r>
          <rPr>
            <sz val="9"/>
            <color indexed="81"/>
            <rFont val="Tahoma"/>
            <family val="2"/>
          </rPr>
          <t xml:space="preserve">
1 op</t>
        </r>
      </text>
    </comment>
    <comment ref="IW82" authorId="0" shapeId="0" xr:uid="{EC769F03-0D05-43BC-B7A5-7A56504A1484}">
      <text>
        <r>
          <rPr>
            <b/>
            <sz val="9"/>
            <color indexed="81"/>
            <rFont val="Tahoma"/>
            <family val="2"/>
          </rPr>
          <t>Admin:</t>
        </r>
        <r>
          <rPr>
            <sz val="9"/>
            <color indexed="81"/>
            <rFont val="Tahoma"/>
            <family val="2"/>
          </rPr>
          <t xml:space="preserve">
1 op</t>
        </r>
      </text>
    </comment>
    <comment ref="JE82" authorId="0" shapeId="0" xr:uid="{15820DB1-3D39-4D97-A4B3-5F299DE9434F}">
      <text>
        <r>
          <rPr>
            <b/>
            <sz val="9"/>
            <color indexed="81"/>
            <rFont val="Tahoma"/>
            <family val="2"/>
          </rPr>
          <t>Admin:</t>
        </r>
        <r>
          <rPr>
            <sz val="9"/>
            <color indexed="81"/>
            <rFont val="Tahoma"/>
            <family val="2"/>
          </rPr>
          <t xml:space="preserve">
1 op</t>
        </r>
      </text>
    </comment>
    <comment ref="JS82" authorId="0" shapeId="0" xr:uid="{888577B4-D9E9-42CB-8454-A8D485B473C5}">
      <text>
        <r>
          <rPr>
            <b/>
            <sz val="9"/>
            <color indexed="81"/>
            <rFont val="Tahoma"/>
            <family val="2"/>
          </rPr>
          <t>Admin:</t>
        </r>
        <r>
          <rPr>
            <sz val="9"/>
            <color indexed="81"/>
            <rFont val="Tahoma"/>
            <family val="2"/>
          </rPr>
          <t xml:space="preserve">
1 op</t>
        </r>
      </text>
    </comment>
    <comment ref="KC82" authorId="0" shapeId="0" xr:uid="{0B904D04-312D-48CA-BFA1-DC7ED34AC555}">
      <text>
        <r>
          <rPr>
            <b/>
            <sz val="9"/>
            <color indexed="81"/>
            <rFont val="Tahoma"/>
            <family val="2"/>
          </rPr>
          <t>Admin:</t>
        </r>
        <r>
          <rPr>
            <sz val="9"/>
            <color indexed="81"/>
            <rFont val="Tahoma"/>
            <family val="2"/>
          </rPr>
          <t xml:space="preserve">
1 op</t>
        </r>
      </text>
    </comment>
    <comment ref="LA82" authorId="0" shapeId="0" xr:uid="{8DFDAA92-4235-46B8-A069-201B4C38A00C}">
      <text>
        <r>
          <rPr>
            <b/>
            <sz val="9"/>
            <color indexed="81"/>
            <rFont val="Tahoma"/>
            <family val="2"/>
          </rPr>
          <t>Admin:</t>
        </r>
        <r>
          <rPr>
            <sz val="9"/>
            <color indexed="81"/>
            <rFont val="Tahoma"/>
            <family val="2"/>
          </rPr>
          <t xml:space="preserve">
1 op</t>
        </r>
      </text>
    </comment>
    <comment ref="MC82" authorId="0" shapeId="0" xr:uid="{31B00FA5-3119-4EEC-9D95-ADDF4EE24F5D}">
      <text>
        <r>
          <rPr>
            <b/>
            <sz val="9"/>
            <color indexed="81"/>
            <rFont val="Tahoma"/>
            <family val="2"/>
          </rPr>
          <t>Admin:</t>
        </r>
        <r>
          <rPr>
            <sz val="9"/>
            <color indexed="81"/>
            <rFont val="Tahoma"/>
            <family val="2"/>
          </rPr>
          <t xml:space="preserve">
1 op</t>
        </r>
      </text>
    </comment>
    <comment ref="MI82" authorId="0" shapeId="0" xr:uid="{36B157B6-5068-4992-B18E-76C39AD15A94}">
      <text>
        <r>
          <rPr>
            <b/>
            <sz val="9"/>
            <color indexed="81"/>
            <rFont val="Tahoma"/>
            <family val="2"/>
          </rPr>
          <t>Admin:</t>
        </r>
        <r>
          <rPr>
            <sz val="9"/>
            <color indexed="81"/>
            <rFont val="Tahoma"/>
            <family val="2"/>
          </rPr>
          <t xml:space="preserve">
1 op</t>
        </r>
      </text>
    </comment>
    <comment ref="MK82" authorId="0" shapeId="0" xr:uid="{3AF671CC-D455-4298-AD10-8B61F986A68E}">
      <text>
        <r>
          <rPr>
            <b/>
            <sz val="9"/>
            <color indexed="81"/>
            <rFont val="Tahoma"/>
            <family val="2"/>
          </rPr>
          <t>Admin:</t>
        </r>
        <r>
          <rPr>
            <sz val="9"/>
            <color indexed="81"/>
            <rFont val="Tahoma"/>
            <family val="2"/>
          </rPr>
          <t xml:space="preserve">
1 op</t>
        </r>
      </text>
    </comment>
    <comment ref="NU82" authorId="0" shapeId="0" xr:uid="{050A8CDF-F3AC-4247-9C62-1E19240E69F5}">
      <text>
        <r>
          <rPr>
            <b/>
            <sz val="9"/>
            <color indexed="81"/>
            <rFont val="Tahoma"/>
            <family val="2"/>
          </rPr>
          <t>Admin:</t>
        </r>
        <r>
          <rPr>
            <sz val="9"/>
            <color indexed="81"/>
            <rFont val="Tahoma"/>
            <family val="2"/>
          </rPr>
          <t xml:space="preserve">
1 op</t>
        </r>
      </text>
    </comment>
    <comment ref="HU83" authorId="0" shapeId="0" xr:uid="{E0DCCE83-FB09-4840-B281-3E8B261FCFC5}">
      <text>
        <r>
          <rPr>
            <b/>
            <sz val="9"/>
            <color indexed="81"/>
            <rFont val="Tahoma"/>
            <family val="2"/>
          </rPr>
          <t>Admin:</t>
        </r>
        <r>
          <rPr>
            <sz val="9"/>
            <color indexed="81"/>
            <rFont val="Tahoma"/>
            <family val="2"/>
          </rPr>
          <t xml:space="preserve">
perdio mas que sp kksan normal</t>
        </r>
      </text>
    </comment>
    <comment ref="HW83" authorId="0" shapeId="0" xr:uid="{53D53463-D4A9-4D7B-A0DE-816C111708F5}">
      <text>
        <r>
          <rPr>
            <b/>
            <sz val="9"/>
            <color indexed="81"/>
            <rFont val="Tahoma"/>
            <family val="2"/>
          </rPr>
          <t>Admin:</t>
        </r>
        <r>
          <rPr>
            <sz val="9"/>
            <color indexed="81"/>
            <rFont val="Tahoma"/>
            <family val="2"/>
          </rPr>
          <t xml:space="preserve">
Perdio menos que sp kknormal</t>
        </r>
      </text>
    </comment>
    <comment ref="IO83" authorId="0" shapeId="0" xr:uid="{A8B18F45-C1C3-46F0-8445-270F14492481}">
      <text>
        <r>
          <rPr>
            <b/>
            <sz val="9"/>
            <color indexed="81"/>
            <rFont val="Tahoma"/>
            <family val="2"/>
          </rPr>
          <t>Admin:</t>
        </r>
        <r>
          <rPr>
            <sz val="9"/>
            <color indexed="81"/>
            <rFont val="Tahoma"/>
            <family val="2"/>
          </rPr>
          <t xml:space="preserve">
1 op</t>
        </r>
      </text>
    </comment>
    <comment ref="IS83" authorId="1" shapeId="0" xr:uid="{37D16A89-DF48-4F92-9183-40EDF242D5F5}">
      <text>
        <r>
          <rPr>
            <b/>
            <sz val="9"/>
            <color indexed="81"/>
            <rFont val="Tahoma"/>
            <family val="2"/>
          </rPr>
          <t>Gerardo Arrubarrena:</t>
        </r>
        <r>
          <rPr>
            <sz val="9"/>
            <color indexed="81"/>
            <rFont val="Tahoma"/>
            <family val="2"/>
          </rPr>
          <t xml:space="preserve">
1 op</t>
        </r>
      </text>
    </comment>
    <comment ref="IW83" authorId="0" shapeId="0" xr:uid="{AEEDD106-06F6-46FA-A7BB-2C5653F7965C}">
      <text>
        <r>
          <rPr>
            <b/>
            <sz val="9"/>
            <color indexed="81"/>
            <rFont val="Tahoma"/>
            <family val="2"/>
          </rPr>
          <t>Admin:</t>
        </r>
        <r>
          <rPr>
            <sz val="9"/>
            <color indexed="81"/>
            <rFont val="Tahoma"/>
            <family val="2"/>
          </rPr>
          <t xml:space="preserve">
1 op</t>
        </r>
      </text>
    </comment>
    <comment ref="JE83" authorId="0" shapeId="0" xr:uid="{3BC9D612-2455-4CC0-B3F7-A42FF9D11CBE}">
      <text>
        <r>
          <rPr>
            <b/>
            <sz val="9"/>
            <color indexed="81"/>
            <rFont val="Tahoma"/>
            <family val="2"/>
          </rPr>
          <t>Admin:</t>
        </r>
        <r>
          <rPr>
            <sz val="9"/>
            <color indexed="81"/>
            <rFont val="Tahoma"/>
            <family val="2"/>
          </rPr>
          <t xml:space="preserve">
1 op</t>
        </r>
      </text>
    </comment>
    <comment ref="JS83" authorId="0" shapeId="0" xr:uid="{A2CCC055-E142-4311-816E-CA7F1B12E748}">
      <text>
        <r>
          <rPr>
            <b/>
            <sz val="9"/>
            <color indexed="81"/>
            <rFont val="Tahoma"/>
            <family val="2"/>
          </rPr>
          <t>Admin:</t>
        </r>
        <r>
          <rPr>
            <sz val="9"/>
            <color indexed="81"/>
            <rFont val="Tahoma"/>
            <family val="2"/>
          </rPr>
          <t xml:space="preserve">
1 op</t>
        </r>
      </text>
    </comment>
    <comment ref="KC83" authorId="0" shapeId="0" xr:uid="{1A781F2F-F0D4-4248-B790-0816238620FD}">
      <text>
        <r>
          <rPr>
            <b/>
            <sz val="9"/>
            <color indexed="81"/>
            <rFont val="Tahoma"/>
            <family val="2"/>
          </rPr>
          <t>Admin:</t>
        </r>
        <r>
          <rPr>
            <sz val="9"/>
            <color indexed="81"/>
            <rFont val="Tahoma"/>
            <family val="2"/>
          </rPr>
          <t xml:space="preserve">
1 op</t>
        </r>
      </text>
    </comment>
    <comment ref="LA83" authorId="0" shapeId="0" xr:uid="{4CD5233E-DAA4-40F0-802D-2A8D064625AE}">
      <text>
        <r>
          <rPr>
            <b/>
            <sz val="9"/>
            <color indexed="81"/>
            <rFont val="Tahoma"/>
            <family val="2"/>
          </rPr>
          <t>Admin:</t>
        </r>
        <r>
          <rPr>
            <sz val="9"/>
            <color indexed="81"/>
            <rFont val="Tahoma"/>
            <family val="2"/>
          </rPr>
          <t xml:space="preserve">
1 op</t>
        </r>
      </text>
    </comment>
    <comment ref="MC83" authorId="0" shapeId="0" xr:uid="{AACFD18A-B368-4A1F-A02C-40989962D03F}">
      <text>
        <r>
          <rPr>
            <b/>
            <sz val="9"/>
            <color indexed="81"/>
            <rFont val="Tahoma"/>
            <family val="2"/>
          </rPr>
          <t>Admin:</t>
        </r>
        <r>
          <rPr>
            <sz val="9"/>
            <color indexed="81"/>
            <rFont val="Tahoma"/>
            <family val="2"/>
          </rPr>
          <t xml:space="preserve">
1 op</t>
        </r>
      </text>
    </comment>
    <comment ref="MI83" authorId="0" shapeId="0" xr:uid="{136DB49C-E553-4AB9-8A1E-AFAB6C3B3700}">
      <text>
        <r>
          <rPr>
            <b/>
            <sz val="9"/>
            <color indexed="81"/>
            <rFont val="Tahoma"/>
            <family val="2"/>
          </rPr>
          <t>Admin:</t>
        </r>
        <r>
          <rPr>
            <sz val="9"/>
            <color indexed="81"/>
            <rFont val="Tahoma"/>
            <family val="2"/>
          </rPr>
          <t xml:space="preserve">
1 op</t>
        </r>
      </text>
    </comment>
    <comment ref="NU83" authorId="0" shapeId="0" xr:uid="{2603432E-B308-4E03-8D4B-AB3B28481505}">
      <text>
        <r>
          <rPr>
            <b/>
            <sz val="9"/>
            <color indexed="81"/>
            <rFont val="Tahoma"/>
            <family val="2"/>
          </rPr>
          <t>Admin:</t>
        </r>
        <r>
          <rPr>
            <sz val="9"/>
            <color indexed="81"/>
            <rFont val="Tahoma"/>
            <family val="2"/>
          </rPr>
          <t xml:space="preserve">
1 op</t>
        </r>
      </text>
    </comment>
    <comment ref="IC84" authorId="0" shapeId="0" xr:uid="{EB555DDA-D00B-4D56-B441-877F8B9D4841}">
      <text>
        <r>
          <rPr>
            <b/>
            <sz val="9"/>
            <color indexed="81"/>
            <rFont val="Tahoma"/>
            <family val="2"/>
          </rPr>
          <t>Admin:</t>
        </r>
        <r>
          <rPr>
            <sz val="9"/>
            <color indexed="81"/>
            <rFont val="Tahoma"/>
            <family val="2"/>
          </rPr>
          <t xml:space="preserve">
Perdio menos que el normal</t>
        </r>
      </text>
    </comment>
    <comment ref="IS84" authorId="1" shapeId="0" xr:uid="{7D390090-D4F3-4D7D-8919-E8BF09C15F87}">
      <text>
        <r>
          <rPr>
            <b/>
            <sz val="9"/>
            <color indexed="81"/>
            <rFont val="Tahoma"/>
            <family val="2"/>
          </rPr>
          <t>Gerardo Arrubarrena:</t>
        </r>
        <r>
          <rPr>
            <sz val="9"/>
            <color indexed="81"/>
            <rFont val="Tahoma"/>
            <family val="2"/>
          </rPr>
          <t xml:space="preserve">
1 op</t>
        </r>
      </text>
    </comment>
    <comment ref="IW84" authorId="0" shapeId="0" xr:uid="{7E967365-4110-4250-B852-2274476F1A99}">
      <text>
        <r>
          <rPr>
            <b/>
            <sz val="9"/>
            <color indexed="81"/>
            <rFont val="Tahoma"/>
            <family val="2"/>
          </rPr>
          <t>Admin:</t>
        </r>
        <r>
          <rPr>
            <sz val="9"/>
            <color indexed="81"/>
            <rFont val="Tahoma"/>
            <family val="2"/>
          </rPr>
          <t xml:space="preserve">
1 op</t>
        </r>
      </text>
    </comment>
    <comment ref="JE84" authorId="0" shapeId="0" xr:uid="{0BAB355E-5BF0-4B03-8EE8-01FD0CBB15D2}">
      <text>
        <r>
          <rPr>
            <b/>
            <sz val="9"/>
            <color indexed="81"/>
            <rFont val="Tahoma"/>
            <family val="2"/>
          </rPr>
          <t>Admin:</t>
        </r>
        <r>
          <rPr>
            <sz val="9"/>
            <color indexed="81"/>
            <rFont val="Tahoma"/>
            <family val="2"/>
          </rPr>
          <t xml:space="preserve">
1 op</t>
        </r>
      </text>
    </comment>
    <comment ref="MC84" authorId="0" shapeId="0" xr:uid="{8D404B87-17C7-42C3-81D8-45605A29DA20}">
      <text>
        <r>
          <rPr>
            <b/>
            <sz val="9"/>
            <color indexed="81"/>
            <rFont val="Tahoma"/>
            <family val="2"/>
          </rPr>
          <t>Admin:</t>
        </r>
        <r>
          <rPr>
            <sz val="9"/>
            <color indexed="81"/>
            <rFont val="Tahoma"/>
            <family val="2"/>
          </rPr>
          <t xml:space="preserve">
1 op</t>
        </r>
      </text>
    </comment>
    <comment ref="MI84" authorId="0" shapeId="0" xr:uid="{1A4871DC-A86E-4C5B-831A-0BE3FD68FC91}">
      <text>
        <r>
          <rPr>
            <b/>
            <sz val="9"/>
            <color indexed="81"/>
            <rFont val="Tahoma"/>
            <family val="2"/>
          </rPr>
          <t>Admin:</t>
        </r>
        <r>
          <rPr>
            <sz val="9"/>
            <color indexed="81"/>
            <rFont val="Tahoma"/>
            <family val="2"/>
          </rPr>
          <t xml:space="preserve">
1 op</t>
        </r>
      </text>
    </comment>
    <comment ref="MK84" authorId="0" shapeId="0" xr:uid="{894C92D7-FDE8-4759-B93A-AF822035C08B}">
      <text>
        <r>
          <rPr>
            <b/>
            <sz val="9"/>
            <color indexed="81"/>
            <rFont val="Tahoma"/>
            <family val="2"/>
          </rPr>
          <t>Admin:</t>
        </r>
        <r>
          <rPr>
            <sz val="9"/>
            <color indexed="81"/>
            <rFont val="Tahoma"/>
            <family val="2"/>
          </rPr>
          <t xml:space="preserve">
1 op</t>
        </r>
      </text>
    </comment>
    <comment ref="NU84" authorId="0" shapeId="0" xr:uid="{5DA31AE3-8491-4FFB-980C-D25E74D5A46A}">
      <text>
        <r>
          <rPr>
            <b/>
            <sz val="9"/>
            <color indexed="81"/>
            <rFont val="Tahoma"/>
            <family val="2"/>
          </rPr>
          <t>Admin:</t>
        </r>
        <r>
          <rPr>
            <sz val="9"/>
            <color indexed="81"/>
            <rFont val="Tahoma"/>
            <family val="2"/>
          </rPr>
          <t xml:space="preserve">
1 op</t>
        </r>
      </text>
    </comment>
    <comment ref="IS85" authorId="1" shapeId="0" xr:uid="{39CDE243-1424-46A1-9CDE-D07D7CC2D329}">
      <text>
        <r>
          <rPr>
            <b/>
            <sz val="9"/>
            <color indexed="81"/>
            <rFont val="Tahoma"/>
            <family val="2"/>
          </rPr>
          <t>Gerardo Arrubarrena:</t>
        </r>
        <r>
          <rPr>
            <sz val="9"/>
            <color indexed="81"/>
            <rFont val="Tahoma"/>
            <family val="2"/>
          </rPr>
          <t xml:space="preserve">
1 op</t>
        </r>
      </text>
    </comment>
    <comment ref="IW85" authorId="0" shapeId="0" xr:uid="{32391D7B-E725-46E4-AB75-486362307ABC}">
      <text>
        <r>
          <rPr>
            <b/>
            <sz val="9"/>
            <color indexed="81"/>
            <rFont val="Tahoma"/>
            <family val="2"/>
          </rPr>
          <t>Admin:</t>
        </r>
        <r>
          <rPr>
            <sz val="9"/>
            <color indexed="81"/>
            <rFont val="Tahoma"/>
            <family val="2"/>
          </rPr>
          <t xml:space="preserve">
1 op</t>
        </r>
      </text>
    </comment>
    <comment ref="JE85" authorId="0" shapeId="0" xr:uid="{26945E69-7050-4943-8C8B-5C6322FBF73B}">
      <text>
        <r>
          <rPr>
            <b/>
            <sz val="9"/>
            <color indexed="81"/>
            <rFont val="Tahoma"/>
            <family val="2"/>
          </rPr>
          <t>Admin:</t>
        </r>
        <r>
          <rPr>
            <sz val="9"/>
            <color indexed="81"/>
            <rFont val="Tahoma"/>
            <family val="2"/>
          </rPr>
          <t xml:space="preserve">
1 op</t>
        </r>
      </text>
    </comment>
    <comment ref="LA85" authorId="0" shapeId="0" xr:uid="{BF656ADA-8F1E-4D15-B9B2-9897E5F45F6A}">
      <text>
        <r>
          <rPr>
            <b/>
            <sz val="9"/>
            <color indexed="81"/>
            <rFont val="Tahoma"/>
            <family val="2"/>
          </rPr>
          <t>Admin:</t>
        </r>
        <r>
          <rPr>
            <sz val="9"/>
            <color indexed="81"/>
            <rFont val="Tahoma"/>
            <family val="2"/>
          </rPr>
          <t xml:space="preserve">
1 op</t>
        </r>
      </text>
    </comment>
    <comment ref="LC85" authorId="0" shapeId="0" xr:uid="{3AD36B30-604A-4985-824D-93365E296B30}">
      <text>
        <r>
          <rPr>
            <b/>
            <sz val="9"/>
            <color indexed="81"/>
            <rFont val="Tahoma"/>
            <family val="2"/>
          </rPr>
          <t>Admin:</t>
        </r>
        <r>
          <rPr>
            <sz val="9"/>
            <color indexed="81"/>
            <rFont val="Tahoma"/>
            <family val="2"/>
          </rPr>
          <t xml:space="preserve">
1 op</t>
        </r>
      </text>
    </comment>
    <comment ref="MC85" authorId="0" shapeId="0" xr:uid="{EF635B4A-DD05-4EAA-8B79-877A4F331E86}">
      <text>
        <r>
          <rPr>
            <b/>
            <sz val="9"/>
            <color indexed="81"/>
            <rFont val="Tahoma"/>
            <family val="2"/>
          </rPr>
          <t>Admin:</t>
        </r>
        <r>
          <rPr>
            <sz val="9"/>
            <color indexed="81"/>
            <rFont val="Tahoma"/>
            <family val="2"/>
          </rPr>
          <t xml:space="preserve">
1 op</t>
        </r>
      </text>
    </comment>
    <comment ref="MI85" authorId="0" shapeId="0" xr:uid="{C22F3FAF-DFB2-4EB3-BADA-83AFA6D3DF2D}">
      <text>
        <r>
          <rPr>
            <b/>
            <sz val="9"/>
            <color indexed="81"/>
            <rFont val="Tahoma"/>
            <family val="2"/>
          </rPr>
          <t>Admin:</t>
        </r>
        <r>
          <rPr>
            <sz val="9"/>
            <color indexed="81"/>
            <rFont val="Tahoma"/>
            <family val="2"/>
          </rPr>
          <t xml:space="preserve">
1 op</t>
        </r>
      </text>
    </comment>
    <comment ref="MK85" authorId="0" shapeId="0" xr:uid="{7909FD9A-C6CE-49CA-8AFB-D15A68E556DA}">
      <text>
        <r>
          <rPr>
            <b/>
            <sz val="9"/>
            <color indexed="81"/>
            <rFont val="Tahoma"/>
            <family val="2"/>
          </rPr>
          <t>Admin:</t>
        </r>
        <r>
          <rPr>
            <sz val="9"/>
            <color indexed="81"/>
            <rFont val="Tahoma"/>
            <family val="2"/>
          </rPr>
          <t xml:space="preserve">
1 op</t>
        </r>
      </text>
    </comment>
    <comment ref="NU85" authorId="0" shapeId="0" xr:uid="{00B1E48F-CADE-476D-BB0E-41E0824C6724}">
      <text>
        <r>
          <rPr>
            <b/>
            <sz val="9"/>
            <color indexed="81"/>
            <rFont val="Tahoma"/>
            <family val="2"/>
          </rPr>
          <t>Admin:</t>
        </r>
        <r>
          <rPr>
            <sz val="9"/>
            <color indexed="81"/>
            <rFont val="Tahoma"/>
            <family val="2"/>
          </rPr>
          <t xml:space="preserve">
1 op</t>
        </r>
      </text>
    </comment>
    <comment ref="OC85" authorId="0" shapeId="0" xr:uid="{4DDF6A06-7184-4D5C-85AB-44067500E3D0}">
      <text>
        <r>
          <rPr>
            <b/>
            <sz val="9"/>
            <color indexed="81"/>
            <rFont val="Tahoma"/>
            <family val="2"/>
          </rPr>
          <t>Admin:</t>
        </r>
        <r>
          <rPr>
            <sz val="9"/>
            <color indexed="81"/>
            <rFont val="Tahoma"/>
            <family val="2"/>
          </rPr>
          <t xml:space="preserve">
1 OP</t>
        </r>
      </text>
    </comment>
    <comment ref="IA86" authorId="0" shapeId="0" xr:uid="{32C6AB83-09D8-4E61-8BA1-1550C2B61188}">
      <text>
        <r>
          <rPr>
            <b/>
            <sz val="9"/>
            <color indexed="81"/>
            <rFont val="Tahoma"/>
            <family val="2"/>
          </rPr>
          <t>Admin:</t>
        </r>
        <r>
          <rPr>
            <sz val="9"/>
            <color indexed="81"/>
            <rFont val="Tahoma"/>
            <family val="2"/>
          </rPr>
          <t xml:space="preserve">
1 op</t>
        </r>
      </text>
    </comment>
    <comment ref="IE86" authorId="0" shapeId="0" xr:uid="{5364EF4A-3ED1-43F9-9792-060F893937CB}">
      <text>
        <r>
          <rPr>
            <b/>
            <sz val="9"/>
            <color indexed="81"/>
            <rFont val="Tahoma"/>
            <family val="2"/>
          </rPr>
          <t>Admin:</t>
        </r>
        <r>
          <rPr>
            <sz val="9"/>
            <color indexed="81"/>
            <rFont val="Tahoma"/>
            <family val="2"/>
          </rPr>
          <t xml:space="preserve">
1 op</t>
        </r>
      </text>
    </comment>
    <comment ref="IK86" authorId="0" shapeId="0" xr:uid="{F1FCA0C0-CBE7-413B-9EBA-F1F064514E14}">
      <text>
        <r>
          <rPr>
            <b/>
            <sz val="9"/>
            <color indexed="81"/>
            <rFont val="Tahoma"/>
            <family val="2"/>
          </rPr>
          <t>Admin:</t>
        </r>
        <r>
          <rPr>
            <sz val="9"/>
            <color indexed="81"/>
            <rFont val="Tahoma"/>
            <family val="2"/>
          </rPr>
          <t xml:space="preserve">
1 operacion</t>
        </r>
      </text>
    </comment>
    <comment ref="IO86" authorId="0" shapeId="0" xr:uid="{3011EF9F-8FC6-47B2-A80F-BDA474A754A4}">
      <text>
        <r>
          <rPr>
            <b/>
            <sz val="9"/>
            <color indexed="81"/>
            <rFont val="Tahoma"/>
            <family val="2"/>
          </rPr>
          <t>Admin:</t>
        </r>
        <r>
          <rPr>
            <sz val="9"/>
            <color indexed="81"/>
            <rFont val="Tahoma"/>
            <family val="2"/>
          </rPr>
          <t xml:space="preserve">
1 op</t>
        </r>
      </text>
    </comment>
    <comment ref="IS86" authorId="1" shapeId="0" xr:uid="{83F64F60-0505-406B-88D2-754F85BD6A39}">
      <text>
        <r>
          <rPr>
            <b/>
            <sz val="9"/>
            <color indexed="81"/>
            <rFont val="Tahoma"/>
            <family val="2"/>
          </rPr>
          <t>Gerardo Arrubarrena:</t>
        </r>
        <r>
          <rPr>
            <sz val="9"/>
            <color indexed="81"/>
            <rFont val="Tahoma"/>
            <family val="2"/>
          </rPr>
          <t xml:space="preserve">
1 op</t>
        </r>
      </text>
    </comment>
    <comment ref="IW86" authorId="0" shapeId="0" xr:uid="{C9831880-B6E4-44CB-B085-F926FC9EA7DD}">
      <text>
        <r>
          <rPr>
            <b/>
            <sz val="9"/>
            <color indexed="81"/>
            <rFont val="Tahoma"/>
            <family val="2"/>
          </rPr>
          <t>Admin:</t>
        </r>
        <r>
          <rPr>
            <sz val="9"/>
            <color indexed="81"/>
            <rFont val="Tahoma"/>
            <family val="2"/>
          </rPr>
          <t xml:space="preserve">
1 op
</t>
        </r>
      </text>
    </comment>
    <comment ref="JA86" authorId="0" shapeId="0" xr:uid="{7C38B3CF-22BA-4388-98D0-7F91ADF2B988}">
      <text>
        <r>
          <rPr>
            <b/>
            <sz val="9"/>
            <color indexed="81"/>
            <rFont val="Tahoma"/>
            <family val="2"/>
          </rPr>
          <t>Admin:</t>
        </r>
        <r>
          <rPr>
            <sz val="9"/>
            <color indexed="81"/>
            <rFont val="Tahoma"/>
            <family val="2"/>
          </rPr>
          <t xml:space="preserve">
1 op</t>
        </r>
      </text>
    </comment>
    <comment ref="JG86" authorId="0" shapeId="0" xr:uid="{870ECBAE-2C7E-495B-B8C3-F45DB7D4B940}">
      <text>
        <r>
          <rPr>
            <b/>
            <sz val="9"/>
            <color indexed="81"/>
            <rFont val="Tahoma"/>
            <family val="2"/>
          </rPr>
          <t>Admin:</t>
        </r>
        <r>
          <rPr>
            <sz val="9"/>
            <color indexed="81"/>
            <rFont val="Tahoma"/>
            <family val="2"/>
          </rPr>
          <t xml:space="preserve">
1 op</t>
        </r>
      </text>
    </comment>
    <comment ref="JQ86" authorId="0" shapeId="0" xr:uid="{51921BA0-F199-40B9-BA40-C74B380444D1}">
      <text>
        <r>
          <rPr>
            <b/>
            <sz val="9"/>
            <color indexed="81"/>
            <rFont val="Tahoma"/>
            <family val="2"/>
          </rPr>
          <t>Admin:</t>
        </r>
        <r>
          <rPr>
            <sz val="9"/>
            <color indexed="81"/>
            <rFont val="Tahoma"/>
            <family val="2"/>
          </rPr>
          <t xml:space="preserve">
1 op</t>
        </r>
      </text>
    </comment>
    <comment ref="KA86" authorId="0" shapeId="0" xr:uid="{E989B22B-3059-4E0E-A660-12B98769FB16}">
      <text>
        <r>
          <rPr>
            <b/>
            <sz val="9"/>
            <color indexed="81"/>
            <rFont val="Tahoma"/>
            <family val="2"/>
          </rPr>
          <t>Admin:</t>
        </r>
        <r>
          <rPr>
            <sz val="9"/>
            <color indexed="81"/>
            <rFont val="Tahoma"/>
            <family val="2"/>
          </rPr>
          <t xml:space="preserve">
1 op</t>
        </r>
      </text>
    </comment>
    <comment ref="KC86" authorId="0" shapeId="0" xr:uid="{32D19EFA-AFEE-4031-8897-C27F371DF9F8}">
      <text>
        <r>
          <rPr>
            <b/>
            <sz val="9"/>
            <color indexed="81"/>
            <rFont val="Tahoma"/>
            <family val="2"/>
          </rPr>
          <t>Admin:</t>
        </r>
        <r>
          <rPr>
            <sz val="9"/>
            <color indexed="81"/>
            <rFont val="Tahoma"/>
            <family val="2"/>
          </rPr>
          <t xml:space="preserve">
1 op</t>
        </r>
      </text>
    </comment>
    <comment ref="KI86" authorId="0" shapeId="0" xr:uid="{578DC158-6D10-4D2C-A763-F3C276D26677}">
      <text>
        <r>
          <rPr>
            <b/>
            <sz val="9"/>
            <color indexed="81"/>
            <rFont val="Tahoma"/>
            <family val="2"/>
          </rPr>
          <t>Admin:</t>
        </r>
        <r>
          <rPr>
            <sz val="9"/>
            <color indexed="81"/>
            <rFont val="Tahoma"/>
            <family val="2"/>
          </rPr>
          <t xml:space="preserve">
1 op</t>
        </r>
      </text>
    </comment>
    <comment ref="KS86" authorId="0" shapeId="0" xr:uid="{C2089C51-B244-47E6-A095-A31806DAD934}">
      <text>
        <r>
          <rPr>
            <b/>
            <sz val="9"/>
            <color indexed="81"/>
            <rFont val="Tahoma"/>
            <family val="2"/>
          </rPr>
          <t>Admin:</t>
        </r>
        <r>
          <rPr>
            <sz val="9"/>
            <color indexed="81"/>
            <rFont val="Tahoma"/>
            <family val="2"/>
          </rPr>
          <t xml:space="preserve">
1 op</t>
        </r>
      </text>
    </comment>
    <comment ref="KY86" authorId="0" shapeId="0" xr:uid="{E83E95EC-8A7D-4267-98D4-ED6E549DA3F1}">
      <text>
        <r>
          <rPr>
            <b/>
            <sz val="9"/>
            <color indexed="81"/>
            <rFont val="Tahoma"/>
            <family val="2"/>
          </rPr>
          <t>Admin:</t>
        </r>
        <r>
          <rPr>
            <sz val="9"/>
            <color indexed="81"/>
            <rFont val="Tahoma"/>
            <family val="2"/>
          </rPr>
          <t xml:space="preserve">
1 op</t>
        </r>
      </text>
    </comment>
    <comment ref="LI86" authorId="0" shapeId="0" xr:uid="{B0A0A57A-C244-4310-AC81-F89D4186071F}">
      <text>
        <r>
          <rPr>
            <b/>
            <sz val="9"/>
            <color indexed="81"/>
            <rFont val="Tahoma"/>
            <family val="2"/>
          </rPr>
          <t>Admin:</t>
        </r>
        <r>
          <rPr>
            <sz val="9"/>
            <color indexed="81"/>
            <rFont val="Tahoma"/>
            <family val="2"/>
          </rPr>
          <t xml:space="preserve">
1 op</t>
        </r>
      </text>
    </comment>
    <comment ref="LS86" authorId="0" shapeId="0" xr:uid="{B2B53B0D-4CF1-4264-819C-1150F748B475}">
      <text>
        <r>
          <rPr>
            <b/>
            <sz val="9"/>
            <color indexed="81"/>
            <rFont val="Tahoma"/>
            <family val="2"/>
          </rPr>
          <t>Admin:</t>
        </r>
        <r>
          <rPr>
            <sz val="9"/>
            <color indexed="81"/>
            <rFont val="Tahoma"/>
            <family val="2"/>
          </rPr>
          <t xml:space="preserve">
1 op</t>
        </r>
      </text>
    </comment>
    <comment ref="MO86" authorId="0" shapeId="0" xr:uid="{9DCEBAEA-6015-4837-818D-90FD793DEB5D}">
      <text>
        <r>
          <rPr>
            <b/>
            <sz val="9"/>
            <color indexed="81"/>
            <rFont val="Tahoma"/>
            <family val="2"/>
          </rPr>
          <t>Admin:</t>
        </r>
        <r>
          <rPr>
            <sz val="9"/>
            <color indexed="81"/>
            <rFont val="Tahoma"/>
            <family val="2"/>
          </rPr>
          <t xml:space="preserve">
1 op</t>
        </r>
      </text>
    </comment>
    <comment ref="MQ86" authorId="0" shapeId="0" xr:uid="{6C1FE30C-421C-4440-9432-54105E408897}">
      <text>
        <r>
          <rPr>
            <b/>
            <sz val="9"/>
            <color indexed="81"/>
            <rFont val="Tahoma"/>
            <family val="2"/>
          </rPr>
          <t>Admin:</t>
        </r>
        <r>
          <rPr>
            <sz val="9"/>
            <color indexed="81"/>
            <rFont val="Tahoma"/>
            <family val="2"/>
          </rPr>
          <t xml:space="preserve">
1 op</t>
        </r>
      </text>
    </comment>
    <comment ref="NA86" authorId="0" shapeId="0" xr:uid="{0B42238D-18DF-4DA5-831C-FD74DFB0DEA8}">
      <text>
        <r>
          <rPr>
            <b/>
            <sz val="9"/>
            <color indexed="81"/>
            <rFont val="Tahoma"/>
            <family val="2"/>
          </rPr>
          <t>Admin:</t>
        </r>
        <r>
          <rPr>
            <sz val="9"/>
            <color indexed="81"/>
            <rFont val="Tahoma"/>
            <family val="2"/>
          </rPr>
          <t xml:space="preserve">
1 op</t>
        </r>
      </text>
    </comment>
    <comment ref="NQ86" authorId="0" shapeId="0" xr:uid="{352D5D97-FC20-45F8-984F-085A962997D8}">
      <text>
        <r>
          <rPr>
            <b/>
            <sz val="9"/>
            <color indexed="81"/>
            <rFont val="Tahoma"/>
            <family val="2"/>
          </rPr>
          <t>Admin:</t>
        </r>
        <r>
          <rPr>
            <sz val="9"/>
            <color indexed="81"/>
            <rFont val="Tahoma"/>
            <family val="2"/>
          </rPr>
          <t xml:space="preserve">
1 op</t>
        </r>
      </text>
    </comment>
    <comment ref="OM86" authorId="0" shapeId="0" xr:uid="{6EAFB1B5-3DA5-406F-8389-833AB48488A1}">
      <text>
        <r>
          <rPr>
            <b/>
            <sz val="9"/>
            <color indexed="81"/>
            <rFont val="Tahoma"/>
            <family val="2"/>
          </rPr>
          <t>Admin:</t>
        </r>
        <r>
          <rPr>
            <sz val="9"/>
            <color indexed="81"/>
            <rFont val="Tahoma"/>
            <family val="2"/>
          </rPr>
          <t xml:space="preserve">
1 op</t>
        </r>
      </text>
    </comment>
    <comment ref="IO87" authorId="0" shapeId="0" xr:uid="{074D9300-0642-4D83-A50D-94013C936A3A}">
      <text>
        <r>
          <rPr>
            <b/>
            <sz val="9"/>
            <color indexed="81"/>
            <rFont val="Tahoma"/>
            <family val="2"/>
          </rPr>
          <t>Admin:</t>
        </r>
        <r>
          <rPr>
            <sz val="9"/>
            <color indexed="81"/>
            <rFont val="Tahoma"/>
            <family val="2"/>
          </rPr>
          <t xml:space="preserve">
1 op</t>
        </r>
      </text>
    </comment>
    <comment ref="IS87" authorId="1" shapeId="0" xr:uid="{C8AF6E5D-3ABE-4CCE-9252-34F642AF51BF}">
      <text>
        <r>
          <rPr>
            <b/>
            <sz val="9"/>
            <color indexed="81"/>
            <rFont val="Tahoma"/>
            <family val="2"/>
          </rPr>
          <t>Gerardo Arrubarrena:</t>
        </r>
        <r>
          <rPr>
            <sz val="9"/>
            <color indexed="81"/>
            <rFont val="Tahoma"/>
            <family val="2"/>
          </rPr>
          <t xml:space="preserve">
1 op</t>
        </r>
      </text>
    </comment>
    <comment ref="IW87" authorId="0" shapeId="0" xr:uid="{78C147C4-B336-4196-BC16-58E6E5CC21C9}">
      <text>
        <r>
          <rPr>
            <b/>
            <sz val="9"/>
            <color indexed="81"/>
            <rFont val="Tahoma"/>
            <family val="2"/>
          </rPr>
          <t>Admin:</t>
        </r>
        <r>
          <rPr>
            <sz val="9"/>
            <color indexed="81"/>
            <rFont val="Tahoma"/>
            <family val="2"/>
          </rPr>
          <t xml:space="preserve">
1 op</t>
        </r>
      </text>
    </comment>
    <comment ref="JE87" authorId="0" shapeId="0" xr:uid="{A6043F81-4058-41C8-B044-B6DD71234D9A}">
      <text>
        <r>
          <rPr>
            <b/>
            <sz val="9"/>
            <color indexed="81"/>
            <rFont val="Tahoma"/>
            <family val="2"/>
          </rPr>
          <t>Admin:</t>
        </r>
        <r>
          <rPr>
            <sz val="9"/>
            <color indexed="81"/>
            <rFont val="Tahoma"/>
            <family val="2"/>
          </rPr>
          <t xml:space="preserve">
1 op</t>
        </r>
      </text>
    </comment>
    <comment ref="KC87" authorId="0" shapeId="0" xr:uid="{4BDB5976-9006-4DBB-8FA4-5F8F627B18EF}">
      <text>
        <r>
          <rPr>
            <b/>
            <sz val="9"/>
            <color indexed="81"/>
            <rFont val="Tahoma"/>
            <family val="2"/>
          </rPr>
          <t>Admin:</t>
        </r>
        <r>
          <rPr>
            <sz val="9"/>
            <color indexed="81"/>
            <rFont val="Tahoma"/>
            <family val="2"/>
          </rPr>
          <t xml:space="preserve">
1 op</t>
        </r>
      </text>
    </comment>
    <comment ref="MC87" authorId="0" shapeId="0" xr:uid="{4D908A2B-1235-4746-BD23-8F4A060A048B}">
      <text>
        <r>
          <rPr>
            <b/>
            <sz val="9"/>
            <color indexed="81"/>
            <rFont val="Tahoma"/>
            <family val="2"/>
          </rPr>
          <t>Admin:</t>
        </r>
        <r>
          <rPr>
            <sz val="9"/>
            <color indexed="81"/>
            <rFont val="Tahoma"/>
            <family val="2"/>
          </rPr>
          <t xml:space="preserve">
1 op</t>
        </r>
      </text>
    </comment>
    <comment ref="MI87" authorId="0" shapeId="0" xr:uid="{5281DF3B-2D14-49A6-B77C-0E0CE14715A6}">
      <text>
        <r>
          <rPr>
            <b/>
            <sz val="9"/>
            <color indexed="81"/>
            <rFont val="Tahoma"/>
            <family val="2"/>
          </rPr>
          <t>Admin:</t>
        </r>
        <r>
          <rPr>
            <sz val="9"/>
            <color indexed="81"/>
            <rFont val="Tahoma"/>
            <family val="2"/>
          </rPr>
          <t xml:space="preserve">
1 op</t>
        </r>
      </text>
    </comment>
    <comment ref="MK87" authorId="0" shapeId="0" xr:uid="{7CEA757A-71A2-4422-9BA5-88CA4B9EE36E}">
      <text>
        <r>
          <rPr>
            <b/>
            <sz val="9"/>
            <color indexed="81"/>
            <rFont val="Tahoma"/>
            <family val="2"/>
          </rPr>
          <t>Admin:</t>
        </r>
        <r>
          <rPr>
            <sz val="9"/>
            <color indexed="81"/>
            <rFont val="Tahoma"/>
            <family val="2"/>
          </rPr>
          <t xml:space="preserve">
1 op</t>
        </r>
      </text>
    </comment>
    <comment ref="NQ87" authorId="0" shapeId="0" xr:uid="{4616342D-484C-4504-8063-0D1F79C06B2C}">
      <text>
        <r>
          <rPr>
            <b/>
            <sz val="9"/>
            <color indexed="81"/>
            <rFont val="Tahoma"/>
            <family val="2"/>
          </rPr>
          <t>Admin:</t>
        </r>
        <r>
          <rPr>
            <sz val="9"/>
            <color indexed="81"/>
            <rFont val="Tahoma"/>
            <family val="2"/>
          </rPr>
          <t xml:space="preserve">
1 op</t>
        </r>
      </text>
    </comment>
    <comment ref="NU87" authorId="0" shapeId="0" xr:uid="{7942BA4F-0468-4FEF-95FE-2EAD70D69B07}">
      <text>
        <r>
          <rPr>
            <b/>
            <sz val="9"/>
            <color indexed="81"/>
            <rFont val="Tahoma"/>
            <family val="2"/>
          </rPr>
          <t>Admin:</t>
        </r>
        <r>
          <rPr>
            <sz val="9"/>
            <color indexed="81"/>
            <rFont val="Tahoma"/>
            <family val="2"/>
          </rPr>
          <t xml:space="preserve">
1 op</t>
        </r>
      </text>
    </comment>
    <comment ref="IS88" authorId="1" shapeId="0" xr:uid="{D3E1AC16-4C5D-4890-B6CC-39F003A7B1A9}">
      <text>
        <r>
          <rPr>
            <b/>
            <sz val="9"/>
            <color indexed="81"/>
            <rFont val="Tahoma"/>
            <family val="2"/>
          </rPr>
          <t>Gerardo Arrubarrena:</t>
        </r>
        <r>
          <rPr>
            <sz val="9"/>
            <color indexed="81"/>
            <rFont val="Tahoma"/>
            <family val="2"/>
          </rPr>
          <t xml:space="preserve">
1 op</t>
        </r>
      </text>
    </comment>
    <comment ref="IW88" authorId="0" shapeId="0" xr:uid="{A1352E09-945E-43EC-A21E-691F0F577A0C}">
      <text>
        <r>
          <rPr>
            <b/>
            <sz val="9"/>
            <color indexed="81"/>
            <rFont val="Tahoma"/>
            <family val="2"/>
          </rPr>
          <t>Admin:</t>
        </r>
        <r>
          <rPr>
            <sz val="9"/>
            <color indexed="81"/>
            <rFont val="Tahoma"/>
            <family val="2"/>
          </rPr>
          <t xml:space="preserve">
1 op
</t>
        </r>
      </text>
    </comment>
    <comment ref="JE88" authorId="0" shapeId="0" xr:uid="{51DA5BD3-7820-4201-A02E-0300B795D1FD}">
      <text>
        <r>
          <rPr>
            <b/>
            <sz val="9"/>
            <color indexed="81"/>
            <rFont val="Tahoma"/>
            <family val="2"/>
          </rPr>
          <t>Admin:</t>
        </r>
        <r>
          <rPr>
            <sz val="9"/>
            <color indexed="81"/>
            <rFont val="Tahoma"/>
            <family val="2"/>
          </rPr>
          <t xml:space="preserve">
1 op</t>
        </r>
      </text>
    </comment>
    <comment ref="JS88" authorId="0" shapeId="0" xr:uid="{F5DD8ECB-98D6-4FF6-B385-433B8C1902C0}">
      <text>
        <r>
          <rPr>
            <b/>
            <sz val="9"/>
            <color indexed="81"/>
            <rFont val="Tahoma"/>
            <family val="2"/>
          </rPr>
          <t>Admin:</t>
        </r>
        <r>
          <rPr>
            <sz val="9"/>
            <color indexed="81"/>
            <rFont val="Tahoma"/>
            <family val="2"/>
          </rPr>
          <t xml:space="preserve">
1 op</t>
        </r>
      </text>
    </comment>
    <comment ref="KC88" authorId="0" shapeId="0" xr:uid="{6D489057-60BA-475D-B732-9B7CDBC6BA22}">
      <text>
        <r>
          <rPr>
            <b/>
            <sz val="9"/>
            <color indexed="81"/>
            <rFont val="Tahoma"/>
            <family val="2"/>
          </rPr>
          <t>Admin:</t>
        </r>
        <r>
          <rPr>
            <sz val="9"/>
            <color indexed="81"/>
            <rFont val="Tahoma"/>
            <family val="2"/>
          </rPr>
          <t xml:space="preserve">
1 op</t>
        </r>
      </text>
    </comment>
    <comment ref="KS88" authorId="0" shapeId="0" xr:uid="{EF3CE6D0-9F49-4B73-8620-CE45A16BE59B}">
      <text>
        <r>
          <rPr>
            <b/>
            <sz val="9"/>
            <color indexed="81"/>
            <rFont val="Tahoma"/>
            <family val="2"/>
          </rPr>
          <t>Admin:</t>
        </r>
        <r>
          <rPr>
            <sz val="9"/>
            <color indexed="81"/>
            <rFont val="Tahoma"/>
            <family val="2"/>
          </rPr>
          <t xml:space="preserve">
Ultimo sin MOPEN</t>
        </r>
      </text>
    </comment>
    <comment ref="MC88" authorId="0" shapeId="0" xr:uid="{2537727D-0BB8-4CD6-80E2-A8FAF25BA035}">
      <text>
        <r>
          <rPr>
            <b/>
            <sz val="9"/>
            <color indexed="81"/>
            <rFont val="Tahoma"/>
            <family val="2"/>
          </rPr>
          <t>Admin:</t>
        </r>
        <r>
          <rPr>
            <sz val="9"/>
            <color indexed="81"/>
            <rFont val="Tahoma"/>
            <family val="2"/>
          </rPr>
          <t xml:space="preserve">
1 op</t>
        </r>
      </text>
    </comment>
    <comment ref="MI88" authorId="0" shapeId="0" xr:uid="{9A723930-393B-4A7C-BCA5-A987A937D53F}">
      <text>
        <r>
          <rPr>
            <b/>
            <sz val="9"/>
            <color indexed="81"/>
            <rFont val="Tahoma"/>
            <family val="2"/>
          </rPr>
          <t>Admin:</t>
        </r>
        <r>
          <rPr>
            <sz val="9"/>
            <color indexed="81"/>
            <rFont val="Tahoma"/>
            <family val="2"/>
          </rPr>
          <t xml:space="preserve">
1 op</t>
        </r>
      </text>
    </comment>
    <comment ref="MK88" authorId="0" shapeId="0" xr:uid="{B3BE80C4-AC38-45B8-9807-5FD0E51B1B6D}">
      <text>
        <r>
          <rPr>
            <b/>
            <sz val="9"/>
            <color indexed="81"/>
            <rFont val="Tahoma"/>
            <family val="2"/>
          </rPr>
          <t>Admin:</t>
        </r>
        <r>
          <rPr>
            <sz val="9"/>
            <color indexed="81"/>
            <rFont val="Tahoma"/>
            <family val="2"/>
          </rPr>
          <t xml:space="preserve">
1 op</t>
        </r>
      </text>
    </comment>
    <comment ref="NQ88" authorId="0" shapeId="0" xr:uid="{4897364D-074E-4075-9503-10765970C724}">
      <text>
        <r>
          <rPr>
            <b/>
            <sz val="9"/>
            <color indexed="81"/>
            <rFont val="Tahoma"/>
            <family val="2"/>
          </rPr>
          <t>Admin:</t>
        </r>
        <r>
          <rPr>
            <sz val="9"/>
            <color indexed="81"/>
            <rFont val="Tahoma"/>
            <family val="2"/>
          </rPr>
          <t xml:space="preserve">
1 op</t>
        </r>
      </text>
    </comment>
    <comment ref="NS88" authorId="0" shapeId="0" xr:uid="{E718C78C-D6D1-4567-8B78-1061D993CDB3}">
      <text>
        <r>
          <rPr>
            <b/>
            <sz val="9"/>
            <color indexed="81"/>
            <rFont val="Tahoma"/>
            <family val="2"/>
          </rPr>
          <t>Admin:</t>
        </r>
        <r>
          <rPr>
            <sz val="9"/>
            <color indexed="81"/>
            <rFont val="Tahoma"/>
            <family val="2"/>
          </rPr>
          <t xml:space="preserve">
1op</t>
        </r>
      </text>
    </comment>
    <comment ref="NU88" authorId="0" shapeId="0" xr:uid="{A2314432-0C6C-481C-876B-48453E2E111C}">
      <text>
        <r>
          <rPr>
            <b/>
            <sz val="9"/>
            <color indexed="81"/>
            <rFont val="Tahoma"/>
            <family val="2"/>
          </rPr>
          <t>Admin:</t>
        </r>
        <r>
          <rPr>
            <sz val="9"/>
            <color indexed="81"/>
            <rFont val="Tahoma"/>
            <family val="2"/>
          </rPr>
          <t xml:space="preserve">
1 op</t>
        </r>
      </text>
    </comment>
    <comment ref="MC89" authorId="0" shapeId="0" xr:uid="{6B0366FB-AF01-4BA8-9B67-8C9ED2C3680A}">
      <text>
        <r>
          <rPr>
            <b/>
            <sz val="9"/>
            <color indexed="81"/>
            <rFont val="Tahoma"/>
            <family val="2"/>
          </rPr>
          <t>Admin:</t>
        </r>
        <r>
          <rPr>
            <sz val="9"/>
            <color indexed="81"/>
            <rFont val="Tahoma"/>
            <family val="2"/>
          </rPr>
          <t xml:space="preserve">
1 op</t>
        </r>
      </text>
    </comment>
    <comment ref="MG89" authorId="0" shapeId="0" xr:uid="{E3C007DD-4B77-4F91-8CCC-7AA1FF1627CD}">
      <text>
        <r>
          <rPr>
            <b/>
            <sz val="9"/>
            <color indexed="81"/>
            <rFont val="Tahoma"/>
            <family val="2"/>
          </rPr>
          <t>Admin:</t>
        </r>
        <r>
          <rPr>
            <sz val="9"/>
            <color indexed="81"/>
            <rFont val="Tahoma"/>
            <family val="2"/>
          </rPr>
          <t xml:space="preserve">
1 op</t>
        </r>
      </text>
    </comment>
    <comment ref="OM89" authorId="0" shapeId="0" xr:uid="{B4F53213-E518-479F-9A01-79AA390B584D}">
      <text>
        <r>
          <rPr>
            <b/>
            <sz val="9"/>
            <color indexed="81"/>
            <rFont val="Tahoma"/>
            <family val="2"/>
          </rPr>
          <t>Admin:</t>
        </r>
        <r>
          <rPr>
            <sz val="9"/>
            <color indexed="81"/>
            <rFont val="Tahoma"/>
            <family val="2"/>
          </rPr>
          <t xml:space="preserve">
1 op</t>
        </r>
      </text>
    </comment>
    <comment ref="MG90" authorId="0" shapeId="0" xr:uid="{8073A623-2753-4770-BCBA-BF2F08E4C234}">
      <text>
        <r>
          <rPr>
            <b/>
            <sz val="9"/>
            <color indexed="81"/>
            <rFont val="Tahoma"/>
            <family val="2"/>
          </rPr>
          <t>Admin:</t>
        </r>
        <r>
          <rPr>
            <sz val="9"/>
            <color indexed="81"/>
            <rFont val="Tahoma"/>
            <family val="2"/>
          </rPr>
          <t xml:space="preserve">
1 op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E1" authorId="0" shapeId="0" xr:uid="{3E13527C-BD31-4E4C-9F67-34002E3771F0}">
      <text>
        <r>
          <rPr>
            <b/>
            <sz val="9"/>
            <color indexed="81"/>
            <rFont val="Tahoma"/>
            <family val="2"/>
          </rPr>
          <t>Admin:</t>
        </r>
        <r>
          <rPr>
            <sz val="9"/>
            <color indexed="81"/>
            <rFont val="Tahoma"/>
            <family val="2"/>
          </rPr>
          <t xml:space="preserve">
Entro SPKKSAN MOPEN</t>
        </r>
      </text>
    </comment>
    <comment ref="AU1" authorId="0" shapeId="0" xr:uid="{046EDE52-BE23-42D7-B795-E85D6F1FBE48}">
      <text>
        <r>
          <rPr>
            <b/>
            <sz val="9"/>
            <color indexed="81"/>
            <rFont val="Tahoma"/>
            <family val="2"/>
          </rPr>
          <t>Admin:</t>
        </r>
        <r>
          <rPr>
            <sz val="9"/>
            <color indexed="81"/>
            <rFont val="Tahoma"/>
            <family val="2"/>
          </rPr>
          <t xml:space="preserve">
Aumentamos el lote 5 veces mas, quedo en 1</t>
        </r>
      </text>
    </comment>
    <comment ref="DI1" authorId="0" shapeId="0" xr:uid="{87262DFB-FE3A-4C43-B4B2-98D65CEF7949}">
      <text>
        <r>
          <rPr>
            <b/>
            <sz val="9"/>
            <color indexed="81"/>
            <rFont val="Tahoma"/>
            <family val="2"/>
          </rPr>
          <t>Admin:</t>
        </r>
        <r>
          <rPr>
            <sz val="9"/>
            <color indexed="81"/>
            <rFont val="Tahoma"/>
            <family val="2"/>
          </rPr>
          <t xml:space="preserve">
Subimos lote de real a 0.8. Un día despues le subimos a todos a quedar en 0.8</t>
        </r>
      </text>
    </comment>
    <comment ref="DU1" authorId="0" shapeId="0" xr:uid="{33F4EE9D-1BBE-4DA6-8333-26C3F38EF597}">
      <text>
        <r>
          <rPr>
            <b/>
            <sz val="9"/>
            <color indexed="81"/>
            <rFont val="Tahoma"/>
            <family val="2"/>
          </rPr>
          <t>Admin:</t>
        </r>
        <r>
          <rPr>
            <sz val="9"/>
            <color indexed="81"/>
            <rFont val="Tahoma"/>
            <family val="2"/>
          </rPr>
          <t xml:space="preserve">
Subimos lote a todos a 1.0</t>
        </r>
      </text>
    </comment>
    <comment ref="GC1" authorId="0" shapeId="0" xr:uid="{5E4FED90-6BC6-481C-A93C-9D2AA2404CE4}">
      <text>
        <r>
          <rPr>
            <b/>
            <sz val="9"/>
            <color indexed="81"/>
            <rFont val="Tahoma"/>
            <family val="2"/>
          </rPr>
          <t>Admin:</t>
        </r>
        <r>
          <rPr>
            <sz val="9"/>
            <color indexed="81"/>
            <rFont val="Tahoma"/>
            <family val="2"/>
          </rPr>
          <t xml:space="preserve">
Hubo noticia; desempleo en Australia</t>
        </r>
      </text>
    </comment>
    <comment ref="HS1" authorId="0" shapeId="0" xr:uid="{50027799-49AF-40B2-8AE0-38B3D3B6F450}">
      <text>
        <r>
          <rPr>
            <b/>
            <sz val="9"/>
            <color indexed="81"/>
            <rFont val="Tahoma"/>
            <family val="2"/>
          </rPr>
          <t>Admin:</t>
        </r>
        <r>
          <rPr>
            <sz val="9"/>
            <color indexed="81"/>
            <rFont val="Tahoma"/>
            <family val="2"/>
          </rPr>
          <t xml:space="preserve">
CAMBIAMOS A CODIGO LEPORINA</t>
        </r>
      </text>
    </comment>
    <comment ref="DD3" authorId="0" shapeId="0" xr:uid="{E893CA84-C583-425B-8754-C188F3177FDC}">
      <text>
        <r>
          <rPr>
            <b/>
            <sz val="9"/>
            <color indexed="81"/>
            <rFont val="Tahoma"/>
            <family val="2"/>
          </rPr>
          <t>Admin:</t>
        </r>
        <r>
          <rPr>
            <sz val="9"/>
            <color indexed="81"/>
            <rFont val="Tahoma"/>
            <family val="2"/>
          </rPr>
          <t xml:space="preserve">
HASTA AQUÍ ERA SP KKSAN MOPEN, PASA A PRUEBA</t>
        </r>
      </text>
    </comment>
    <comment ref="DY6" authorId="0" shapeId="0" xr:uid="{B450B2BA-1FB1-44C0-8C96-7602B75FB2B6}">
      <text>
        <r>
          <rPr>
            <b/>
            <sz val="9"/>
            <color indexed="81"/>
            <rFont val="Tahoma"/>
            <family val="2"/>
          </rPr>
          <t>Admin:</t>
        </r>
        <r>
          <rPr>
            <sz val="9"/>
            <color indexed="81"/>
            <rFont val="Tahoma"/>
            <family val="2"/>
          </rPr>
          <t xml:space="preserve">
Hubo minutas de la FED</t>
        </r>
      </text>
    </comment>
    <comment ref="BW16" authorId="0" shapeId="0" xr:uid="{F4B72CE5-34EE-46B8-B52B-F0E3808E33F4}">
      <text>
        <r>
          <rPr>
            <b/>
            <sz val="9"/>
            <color indexed="81"/>
            <rFont val="Tahoma"/>
            <family val="2"/>
          </rPr>
          <t>Admin:</t>
        </r>
        <r>
          <rPr>
            <sz val="9"/>
            <color indexed="81"/>
            <rFont val="Tahoma"/>
            <family val="2"/>
          </rPr>
          <t xml:space="preserve">
Estimado de AcomCE</t>
        </r>
      </text>
    </comment>
    <comment ref="BW19" authorId="0" shapeId="0" xr:uid="{B127545C-D6E3-411B-BBF3-50E4B5369514}">
      <text>
        <r>
          <rPr>
            <b/>
            <sz val="9"/>
            <color indexed="81"/>
            <rFont val="Tahoma"/>
            <family val="2"/>
          </rPr>
          <t>Admin:</t>
        </r>
        <r>
          <rPr>
            <sz val="9"/>
            <color indexed="81"/>
            <rFont val="Tahoma"/>
            <family val="2"/>
          </rPr>
          <t xml:space="preserve">
Estimado de AcomCE</t>
        </r>
      </text>
    </comment>
    <comment ref="DD19" authorId="0" shapeId="0" xr:uid="{49A7777A-1D0C-4060-9A88-5B641D53C0FD}">
      <text>
        <r>
          <rPr>
            <b/>
            <sz val="9"/>
            <color indexed="81"/>
            <rFont val="Tahoma"/>
            <family val="2"/>
          </rPr>
          <t>Admin:</t>
        </r>
        <r>
          <rPr>
            <sz val="9"/>
            <color indexed="81"/>
            <rFont val="Tahoma"/>
            <family val="2"/>
          </rPr>
          <t xml:space="preserve">
HASTA AQUÍ ERA CUBIST NIVEL, PASA A REAL</t>
        </r>
      </text>
    </comment>
    <comment ref="D26" authorId="0" shapeId="0" xr:uid="{34738C44-A230-4DA9-883B-EFC897A16D65}">
      <text>
        <r>
          <rPr>
            <b/>
            <sz val="9"/>
            <color indexed="81"/>
            <rFont val="Tahoma"/>
            <family val="2"/>
          </rPr>
          <t>Admin:</t>
        </r>
        <r>
          <rPr>
            <sz val="9"/>
            <color indexed="81"/>
            <rFont val="Tahoma"/>
            <family val="2"/>
          </rPr>
          <t xml:space="preserve">
Desde Junio 2020</t>
        </r>
      </text>
    </comment>
  </commentList>
</comments>
</file>

<file path=xl/sharedStrings.xml><?xml version="1.0" encoding="utf-8"?>
<sst xmlns="http://schemas.openxmlformats.org/spreadsheetml/2006/main" count="1381" uniqueCount="91">
  <si>
    <t>Tiempo</t>
  </si>
  <si>
    <t>Profit</t>
  </si>
  <si>
    <t>Efect</t>
  </si>
  <si>
    <t>CUBIST</t>
  </si>
  <si>
    <t>Lote</t>
  </si>
  <si>
    <t>1 H</t>
  </si>
  <si>
    <t>GOKU</t>
  </si>
  <si>
    <t>GokuNivel</t>
  </si>
  <si>
    <t>EURAUD</t>
  </si>
  <si>
    <t>AUDCAD</t>
  </si>
  <si>
    <t>CADJPY</t>
  </si>
  <si>
    <t>EURCAD</t>
  </si>
  <si>
    <t>3 velas</t>
  </si>
  <si>
    <t>2 velas</t>
  </si>
  <si>
    <t>1 vela</t>
  </si>
  <si>
    <t>Nivel</t>
  </si>
  <si>
    <t>Nivel V</t>
  </si>
  <si>
    <t>Cub&amp;Gok</t>
  </si>
  <si>
    <t>AUDJPY</t>
  </si>
  <si>
    <t>% prom</t>
  </si>
  <si>
    <t>% dias G</t>
  </si>
  <si>
    <t>15 dias</t>
  </si>
  <si>
    <t>dias G</t>
  </si>
  <si>
    <t>dias T</t>
  </si>
  <si>
    <t>Kksan 3v</t>
  </si>
  <si>
    <t>Sp Goku</t>
  </si>
  <si>
    <t>Sp Kksan</t>
  </si>
  <si>
    <t>30 dias</t>
  </si>
  <si>
    <t>Acumulado mes x mes</t>
  </si>
  <si>
    <t>Algoritmo</t>
  </si>
  <si>
    <t>Total</t>
  </si>
  <si>
    <t>Sp Cubist3v</t>
  </si>
  <si>
    <t>Sp Kksan 4</t>
  </si>
  <si>
    <t>Sp Kksan 5</t>
  </si>
  <si>
    <t>7 y -25</t>
  </si>
  <si>
    <t>7 y -18</t>
  </si>
  <si>
    <t>Mopen</t>
  </si>
  <si>
    <t>Sp Kksan 6</t>
  </si>
  <si>
    <t>Sp Kksan 7</t>
  </si>
  <si>
    <t>CubNiv</t>
  </si>
  <si>
    <t>3v (datos)</t>
  </si>
  <si>
    <t>Sp Kksan 8</t>
  </si>
  <si>
    <t>Cubist</t>
  </si>
  <si>
    <t>Sp Kksan 9</t>
  </si>
  <si>
    <t>RF CyV</t>
  </si>
  <si>
    <t>Sp Kksan 13</t>
  </si>
  <si>
    <t>Niv Est</t>
  </si>
  <si>
    <t>Niv Venta</t>
  </si>
  <si>
    <t>CubNivel</t>
  </si>
  <si>
    <t>Goku</t>
  </si>
  <si>
    <t>MENSUAL</t>
  </si>
  <si>
    <t>tienen lote de 1</t>
  </si>
  <si>
    <t>Niv Est MO</t>
  </si>
  <si>
    <t>días</t>
  </si>
  <si>
    <t>Lote 0.6</t>
  </si>
  <si>
    <t>RF CV</t>
  </si>
  <si>
    <t>INDI</t>
  </si>
  <si>
    <t>NIVES</t>
  </si>
  <si>
    <t>CUBNIVEL</t>
  </si>
  <si>
    <t>REAL</t>
  </si>
  <si>
    <t>T Com</t>
  </si>
  <si>
    <t>INDI CV</t>
  </si>
  <si>
    <t>NIVES CV</t>
  </si>
  <si>
    <t>RF</t>
  </si>
  <si>
    <t>INDI NIV CV</t>
  </si>
  <si>
    <t>INDI NIV</t>
  </si>
  <si>
    <t>Mop CoV</t>
  </si>
  <si>
    <t>REAL Y PRUEBAS AUDJPY</t>
  </si>
  <si>
    <t xml:space="preserve">Sp Kksan </t>
  </si>
  <si>
    <t>CubNivel ST</t>
  </si>
  <si>
    <t>Cubniv ST</t>
  </si>
  <si>
    <t>MOPEN</t>
  </si>
  <si>
    <t>IndiNiv</t>
  </si>
  <si>
    <t>Mopen Trunc</t>
  </si>
  <si>
    <t>SUPERS</t>
  </si>
  <si>
    <t xml:space="preserve">NO DEBIO OPERAR </t>
  </si>
  <si>
    <t>Meses G</t>
  </si>
  <si>
    <t>TOTAL</t>
  </si>
  <si>
    <t xml:space="preserve">MESES </t>
  </si>
  <si>
    <t>RESUMEN</t>
  </si>
  <si>
    <t>Cambios</t>
  </si>
  <si>
    <t>Vamos a hacer pruba de Batchs trimestralmente. AUDJPY</t>
  </si>
  <si>
    <t>5,000 datos</t>
  </si>
  <si>
    <t>06 a 11 2020</t>
  </si>
  <si>
    <t>10,000 datos</t>
  </si>
  <si>
    <t>Red</t>
  </si>
  <si>
    <t>MoCov</t>
  </si>
  <si>
    <t>Niv V y C</t>
  </si>
  <si>
    <t>+-1,000</t>
  </si>
  <si>
    <t>12/20 a 03/21</t>
  </si>
  <si>
    <t>LEPORINA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</si>
</sst>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quot;$&quot;* #,##0.00_-;_-&quot;$&quot;* &quot;-&quot;??_-;_-@_-"/>
  </numFmts>
  <fonts count="5" x14ac:knownFonts="1">
    <font>
      <sz val="11"/>
      <color theme="1"/>
      <name val="Calibri"/>
      <family val="2"/>
      <scheme val="minor"/>
    </font>
    <font>
      <sz val="9"/>
      <color indexed="81"/>
      <name val="Tahoma"/>
      <family val="2"/>
    </font>
    <font>
      <b/>
      <sz val="9"/>
      <color indexed="81"/>
      <name val="Tahoma"/>
      <family val="2"/>
    </font>
    <font>
      <sz val="11"/>
      <name val="Calibri"/>
      <family val="2"/>
      <scheme val="minor"/>
    </font>
    <font>
      <sz val="11"/>
      <color theme="1"/>
      <name val="Calibri"/>
      <family val="2"/>
      <scheme val="minor"/>
    </font>
  </fonts>
  <fills count="17">
    <fill>
      <patternFill patternType="none"/>
    </fill>
    <fill>
      <patternFill patternType="gray125"/>
    </fill>
    <fill>
      <patternFill patternType="solid">
        <fgColor rgb="FFE0E0E0"/>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rgb="FFFFC000"/>
        <bgColor indexed="64"/>
      </patternFill>
    </fill>
    <fill>
      <patternFill patternType="solid">
        <fgColor theme="7" tint="0.39997558519241921"/>
        <bgColor indexed="64"/>
      </patternFill>
    </fill>
    <fill>
      <patternFill patternType="solid">
        <fgColor theme="8" tint="0.59999389629810485"/>
        <bgColor indexed="64"/>
      </patternFill>
    </fill>
  </fills>
  <borders count="23">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9" fontId="4" fillId="0" borderId="0" applyFont="0" applyFill="0" applyBorder="0" applyAlignment="0" applyProtection="0"/>
    <xf numFmtId="44" fontId="4" fillId="0" borderId="0" applyFont="0" applyFill="0" applyBorder="0" applyAlignment="0" applyProtection="0"/>
  </cellStyleXfs>
  <cellXfs count="819">
    <xf numFmtId="0" fontId="0" fillId="0" borderId="0" xfId="0"/>
    <xf numFmtId="9" fontId="0" fillId="0" borderId="2" xfId="1" applyFont="1" applyBorder="1" applyAlignment="1">
      <alignment horizontal="center"/>
    </xf>
    <xf numFmtId="4" fontId="0" fillId="2" borderId="0"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5" xfId="0" applyNumberFormat="1" applyFill="1" applyBorder="1" applyAlignment="1">
      <alignment horizontal="center" wrapText="1"/>
    </xf>
    <xf numFmtId="9" fontId="0" fillId="0" borderId="6" xfId="1" applyFont="1" applyBorder="1" applyAlignment="1">
      <alignment horizontal="center"/>
    </xf>
    <xf numFmtId="0" fontId="0" fillId="0" borderId="0" xfId="0" applyBorder="1"/>
    <xf numFmtId="0" fontId="0" fillId="0" borderId="1" xfId="0" applyBorder="1" applyAlignment="1">
      <alignment horizontal="center"/>
    </xf>
    <xf numFmtId="9" fontId="0" fillId="0" borderId="2" xfId="1" applyFont="1" applyFill="1" applyBorder="1" applyAlignment="1">
      <alignment horizontal="center"/>
    </xf>
    <xf numFmtId="4" fontId="0" fillId="0" borderId="5" xfId="0" applyNumberFormat="1" applyFill="1" applyBorder="1" applyAlignment="1">
      <alignment horizontal="center" wrapText="1"/>
    </xf>
    <xf numFmtId="9" fontId="0" fillId="0" borderId="6" xfId="1" applyFont="1" applyFill="1" applyBorder="1" applyAlignment="1">
      <alignment horizontal="center"/>
    </xf>
    <xf numFmtId="4" fontId="3" fillId="0" borderId="1" xfId="0" applyNumberFormat="1" applyFont="1" applyFill="1" applyBorder="1" applyAlignment="1">
      <alignment horizontal="center" wrapText="1"/>
    </xf>
    <xf numFmtId="9" fontId="3" fillId="0" borderId="2" xfId="1" applyFont="1" applyFill="1" applyBorder="1" applyAlignment="1">
      <alignment horizontal="center"/>
    </xf>
    <xf numFmtId="4" fontId="3" fillId="0" borderId="5" xfId="0" applyNumberFormat="1" applyFont="1" applyFill="1" applyBorder="1" applyAlignment="1">
      <alignment horizontal="center" wrapText="1"/>
    </xf>
    <xf numFmtId="9" fontId="3" fillId="0" borderId="6" xfId="1" applyFont="1" applyFill="1" applyBorder="1" applyAlignment="1">
      <alignment horizontal="center"/>
    </xf>
    <xf numFmtId="9" fontId="0" fillId="0" borderId="0" xfId="0" applyNumberFormat="1" applyAlignment="1">
      <alignment horizontal="center"/>
    </xf>
    <xf numFmtId="0" fontId="0" fillId="0" borderId="2" xfId="0" applyBorder="1" applyAlignment="1">
      <alignment horizontal="center"/>
    </xf>
    <xf numFmtId="0" fontId="0" fillId="0" borderId="0" xfId="0" applyAlignment="1">
      <alignment horizontal="center"/>
    </xf>
    <xf numFmtId="4" fontId="0" fillId="2" borderId="8" xfId="0" applyNumberFormat="1" applyFill="1" applyBorder="1" applyAlignment="1">
      <alignment horizontal="center" wrapText="1"/>
    </xf>
    <xf numFmtId="9" fontId="0" fillId="0" borderId="7" xfId="1" applyFont="1" applyBorder="1" applyAlignment="1">
      <alignment horizontal="center"/>
    </xf>
    <xf numFmtId="0" fontId="0" fillId="0" borderId="10" xfId="0" applyBorder="1"/>
    <xf numFmtId="9" fontId="0" fillId="0" borderId="0" xfId="1" applyFont="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0" xfId="0" applyFill="1"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2" xfId="0" applyBorder="1" applyAlignment="1">
      <alignment horizontal="center"/>
    </xf>
    <xf numFmtId="0" fontId="0" fillId="0" borderId="0" xfId="0" applyBorder="1" applyAlignment="1">
      <alignment horizontal="center"/>
    </xf>
    <xf numFmtId="0" fontId="0" fillId="0" borderId="2" xfId="0" applyBorder="1" applyAlignment="1">
      <alignment horizontal="center"/>
    </xf>
    <xf numFmtId="4" fontId="0" fillId="2" borderId="11" xfId="0" applyNumberFormat="1" applyFill="1" applyBorder="1" applyAlignment="1">
      <alignment horizontal="center" wrapText="1"/>
    </xf>
    <xf numFmtId="9" fontId="0" fillId="0" borderId="9" xfId="1" applyFont="1" applyBorder="1" applyAlignment="1">
      <alignment horizontal="center"/>
    </xf>
    <xf numFmtId="4" fontId="0" fillId="2" borderId="14" xfId="0" applyNumberFormat="1" applyFill="1" applyBorder="1" applyAlignment="1">
      <alignment horizontal="center" wrapText="1"/>
    </xf>
    <xf numFmtId="9" fontId="0" fillId="0" borderId="13" xfId="1" applyFont="1" applyBorder="1" applyAlignment="1">
      <alignment horizontal="center"/>
    </xf>
    <xf numFmtId="0" fontId="0" fillId="0" borderId="12" xfId="0" applyBorder="1"/>
    <xf numFmtId="0" fontId="0" fillId="0" borderId="0" xfId="0" applyAlignment="1">
      <alignment horizontal="center"/>
    </xf>
    <xf numFmtId="0" fontId="0" fillId="0" borderId="0" xfId="0" applyBorder="1" applyAlignment="1">
      <alignment horizontal="center"/>
    </xf>
    <xf numFmtId="0" fontId="0" fillId="0" borderId="2" xfId="0" applyBorder="1" applyAlignment="1">
      <alignment horizontal="center"/>
    </xf>
    <xf numFmtId="4" fontId="0" fillId="0" borderId="0" xfId="0" applyNumberFormat="1"/>
    <xf numFmtId="1" fontId="0" fillId="0" borderId="0" xfId="0" applyNumberFormat="1" applyAlignment="1">
      <alignment horizontal="center"/>
    </xf>
    <xf numFmtId="0" fontId="0" fillId="0" borderId="0" xfId="0"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xf>
    <xf numFmtId="0" fontId="0" fillId="0" borderId="3" xfId="0" applyBorder="1"/>
    <xf numFmtId="4" fontId="0" fillId="2" borderId="8" xfId="0" applyNumberFormat="1" applyFill="1" applyBorder="1" applyAlignment="1">
      <alignment horizontal="center" vertical="center" wrapText="1"/>
    </xf>
    <xf numFmtId="9" fontId="0" fillId="0" borderId="7" xfId="1" applyFont="1" applyBorder="1" applyAlignment="1">
      <alignment horizontal="center" vertical="center"/>
    </xf>
    <xf numFmtId="4" fontId="0" fillId="2" borderId="1" xfId="0" applyNumberFormat="1" applyFill="1" applyBorder="1" applyAlignment="1">
      <alignment horizontal="center" wrapText="1"/>
    </xf>
    <xf numFmtId="0" fontId="0" fillId="0" borderId="6" xfId="0" applyBorder="1" applyAlignment="1">
      <alignment horizontal="center"/>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0" fontId="0" fillId="0" borderId="1" xfId="0" applyBorder="1"/>
    <xf numFmtId="0" fontId="0" fillId="0" borderId="2" xfId="0" applyBorder="1"/>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4" xfId="0" applyNumberFormat="1" applyFill="1" applyBorder="1" applyAlignment="1">
      <alignment horizontal="center" vertic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9" fontId="0" fillId="0" borderId="0" xfId="0" applyNumberFormat="1" applyBorder="1"/>
    <xf numFmtId="9" fontId="0" fillId="11" borderId="0" xfId="1" applyFont="1" applyFill="1" applyBorder="1" applyAlignment="1">
      <alignment horizontal="center"/>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0" fontId="0" fillId="0" borderId="9" xfId="0" applyBorder="1" applyAlignment="1">
      <alignment horizontal="center"/>
    </xf>
    <xf numFmtId="4" fontId="0" fillId="2" borderId="10" xfId="0" applyNumberFormat="1" applyFill="1" applyBorder="1" applyAlignment="1">
      <alignment horizontal="center" wrapText="1"/>
    </xf>
    <xf numFmtId="4" fontId="0" fillId="2" borderId="3" xfId="0" applyNumberFormat="1" applyFill="1" applyBorder="1" applyAlignment="1">
      <alignment horizontal="center" wrapText="1"/>
    </xf>
    <xf numFmtId="0" fontId="0" fillId="0" borderId="2" xfId="0" applyFill="1" applyBorder="1" applyAlignment="1">
      <alignment horizontal="center"/>
    </xf>
    <xf numFmtId="0" fontId="0" fillId="3" borderId="2" xfId="0" applyFill="1" applyBorder="1" applyAlignment="1">
      <alignment horizontal="center"/>
    </xf>
    <xf numFmtId="0" fontId="0" fillId="0" borderId="15" xfId="0" applyBorder="1" applyAlignment="1">
      <alignment horizontal="center"/>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0" fontId="0" fillId="0" borderId="0" xfId="0" applyAlignment="1">
      <alignment horizontal="center"/>
    </xf>
    <xf numFmtId="4" fontId="0" fillId="2" borderId="1" xfId="0" applyNumberFormat="1" applyFill="1" applyBorder="1" applyAlignment="1">
      <alignment horizontal="center" wrapText="1"/>
    </xf>
    <xf numFmtId="0" fontId="0" fillId="13" borderId="0" xfId="0" applyFill="1" applyBorder="1" applyAlignment="1">
      <alignment horizontal="center" vertical="center"/>
    </xf>
    <xf numFmtId="0" fontId="0" fillId="0" borderId="0" xfId="0" applyAlignment="1">
      <alignment horizontal="center"/>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0" xfId="0" applyAlignment="1">
      <alignment horizontal="center"/>
    </xf>
    <xf numFmtId="0" fontId="0" fillId="0" borderId="2"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2" xfId="0" applyBorder="1" applyAlignment="1">
      <alignment horizontal="center"/>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0" xfId="0"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0" xfId="0" applyAlignment="1">
      <alignment horizontal="center"/>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0" xfId="0" applyAlignment="1">
      <alignment horizontal="center"/>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0" xfId="0" applyAlignment="1">
      <alignment horizontal="center"/>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0" xfId="0" applyAlignment="1">
      <alignment horizontal="center"/>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0" xfId="0" applyAlignment="1">
      <alignment horizontal="center"/>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0" xfId="0"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0" xfId="0"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9" fontId="0" fillId="11" borderId="2" xfId="1" applyFont="1" applyFill="1"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0" xfId="0"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0" xfId="0"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4" fontId="0" fillId="0" borderId="0" xfId="2" applyFont="1"/>
    <xf numFmtId="0" fontId="0" fillId="0" borderId="0" xfId="0"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6" xfId="0" applyNumberFormat="1" applyFill="1" applyBorder="1" applyAlignment="1">
      <alignment horizontal="center" wrapText="1"/>
    </xf>
    <xf numFmtId="0" fontId="0" fillId="0" borderId="0" xfId="0"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10"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0" xfId="0"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0" xfId="0"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0" xfId="0" applyAlignment="1">
      <alignment horizontal="center"/>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2" xfId="0" applyBorder="1" applyAlignment="1">
      <alignment horizontal="center"/>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2" xfId="0" applyBorder="1" applyAlignment="1">
      <alignment horizontal="center"/>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0" fontId="0" fillId="0" borderId="2" xfId="0" applyBorder="1" applyAlignment="1">
      <alignment horizontal="center"/>
    </xf>
    <xf numFmtId="0" fontId="0" fillId="3" borderId="3" xfId="0" applyFill="1" applyBorder="1" applyAlignment="1">
      <alignment horizontal="center"/>
    </xf>
    <xf numFmtId="0" fontId="0" fillId="3" borderId="6" xfId="0" applyFill="1" applyBorder="1" applyAlignment="1">
      <alignment horizontal="center"/>
    </xf>
    <xf numFmtId="0" fontId="0" fillId="4" borderId="0" xfId="0" applyFill="1" applyBorder="1" applyAlignment="1">
      <alignment horizontal="center"/>
    </xf>
    <xf numFmtId="0" fontId="0" fillId="0" borderId="0" xfId="0" applyAlignment="1">
      <alignment horizontal="center"/>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2" xfId="0" applyBorder="1" applyAlignment="1">
      <alignment horizontal="center"/>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0" xfId="0" applyAlignment="1">
      <alignment horizontal="center"/>
    </xf>
    <xf numFmtId="0" fontId="0" fillId="0" borderId="0" xfId="0" applyAlignment="1">
      <alignment horizontal="center"/>
    </xf>
    <xf numFmtId="0" fontId="0" fillId="0" borderId="2" xfId="0" applyBorder="1" applyAlignment="1">
      <alignment horizontal="center"/>
    </xf>
    <xf numFmtId="0" fontId="0" fillId="0" borderId="0" xfId="0" applyAlignment="1">
      <alignment horizontal="center"/>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9" fontId="0" fillId="0" borderId="0" xfId="0" applyNumberFormat="1"/>
    <xf numFmtId="0" fontId="0" fillId="0" borderId="1" xfId="0" applyBorder="1" applyAlignment="1">
      <alignment horizontal="center"/>
    </xf>
    <xf numFmtId="0" fontId="0" fillId="0" borderId="0" xfId="0"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1" xfId="0" applyBorder="1" applyAlignment="1">
      <alignment horizontal="center"/>
    </xf>
    <xf numFmtId="44" fontId="0" fillId="0" borderId="0" xfId="0" applyNumberFormat="1"/>
    <xf numFmtId="10" fontId="0" fillId="0" borderId="0" xfId="1" applyNumberFormat="1" applyFont="1"/>
    <xf numFmtId="0" fontId="0" fillId="14" borderId="0" xfId="0" applyFill="1" applyBorder="1" applyAlignment="1">
      <alignment horizontal="center" vertic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0" xfId="0"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0" fontId="0" fillId="0" borderId="2" xfId="0" applyBorder="1" applyAlignment="1">
      <alignment horizontal="center"/>
    </xf>
    <xf numFmtId="0" fontId="0" fillId="0" borderId="0" xfId="0"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0" fontId="0" fillId="0" borderId="2" xfId="0" applyBorder="1" applyAlignment="1">
      <alignment horizontal="center"/>
    </xf>
    <xf numFmtId="0" fontId="0" fillId="0" borderId="0" xfId="0"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1" xfId="0" applyBorder="1" applyAlignment="1">
      <alignment horizontal="center"/>
    </xf>
    <xf numFmtId="0" fontId="0" fillId="15" borderId="0" xfId="0" applyFill="1" applyBorder="1" applyAlignment="1">
      <alignment horizontal="center" vertical="center"/>
    </xf>
    <xf numFmtId="0" fontId="0" fillId="0" borderId="0" xfId="0"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1"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1" xfId="0" applyBorder="1" applyAlignment="1">
      <alignment horizontal="center"/>
    </xf>
    <xf numFmtId="0" fontId="0" fillId="0" borderId="0" xfId="0"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0" fontId="0" fillId="0" borderId="2" xfId="0" applyBorder="1" applyAlignment="1">
      <alignment horizontal="center"/>
    </xf>
    <xf numFmtId="0" fontId="0" fillId="0" borderId="0" xfId="0"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3"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0" xfId="0" applyNumberFormat="1" applyFill="1" applyBorder="1" applyAlignment="1">
      <alignment horizontal="center" vertical="center" wrapText="1"/>
    </xf>
    <xf numFmtId="0" fontId="0" fillId="0" borderId="1" xfId="0" applyBorder="1" applyAlignment="1">
      <alignment horizontal="center"/>
    </xf>
    <xf numFmtId="17" fontId="0" fillId="0" borderId="0" xfId="0" applyNumberFormat="1" applyAlignment="1">
      <alignment horizontal="center" vertical="center"/>
    </xf>
    <xf numFmtId="0" fontId="0" fillId="0" borderId="0" xfId="0" applyAlignment="1">
      <alignment vertical="center"/>
    </xf>
    <xf numFmtId="0" fontId="0" fillId="0" borderId="7" xfId="0" applyBorder="1" applyAlignment="1">
      <alignment horizontal="center"/>
    </xf>
    <xf numFmtId="4" fontId="0" fillId="2" borderId="3" xfId="0" applyNumberFormat="1" applyFill="1" applyBorder="1" applyAlignment="1">
      <alignment horizontal="center" vertical="center" wrapText="1"/>
    </xf>
    <xf numFmtId="0" fontId="0" fillId="0" borderId="0" xfId="0"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0" xfId="0" applyAlignment="1">
      <alignment horizontal="center"/>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0" xfId="0" applyAlignment="1">
      <alignment horizontal="center"/>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0" xfId="0"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0" xfId="0"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0" xfId="0"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4" xfId="0" applyBorder="1" applyAlignment="1">
      <alignment horizontal="center"/>
    </xf>
    <xf numFmtId="0" fontId="0" fillId="0" borderId="0" xfId="0" applyBorder="1" applyAlignment="1">
      <alignment horizontal="center"/>
    </xf>
    <xf numFmtId="0" fontId="0" fillId="0" borderId="3" xfId="0" applyBorder="1" applyAlignment="1">
      <alignment horizontal="center"/>
    </xf>
    <xf numFmtId="4" fontId="0" fillId="2" borderId="1" xfId="0" applyNumberFormat="1" applyFill="1" applyBorder="1" applyAlignment="1">
      <alignment horizontal="center" wrapText="1"/>
    </xf>
    <xf numFmtId="0" fontId="0" fillId="0" borderId="2"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11" borderId="2" xfId="0" applyFill="1" applyBorder="1" applyAlignment="1">
      <alignment horizontal="center"/>
    </xf>
    <xf numFmtId="0" fontId="0" fillId="0" borderId="0" xfId="0" applyAlignment="1">
      <alignment horizontal="center"/>
    </xf>
    <xf numFmtId="4" fontId="0" fillId="2" borderId="1" xfId="0" applyNumberFormat="1" applyFill="1" applyBorder="1" applyAlignment="1">
      <alignment horizontal="center" wrapText="1"/>
    </xf>
    <xf numFmtId="9" fontId="0" fillId="11" borderId="7" xfId="1" applyFont="1" applyFill="1" applyBorder="1" applyAlignment="1">
      <alignment horizontal="center" vertical="center"/>
    </xf>
    <xf numFmtId="0" fontId="0" fillId="11" borderId="6" xfId="0" applyFill="1" applyBorder="1" applyAlignment="1">
      <alignment horizontal="center"/>
    </xf>
    <xf numFmtId="4" fontId="0" fillId="2" borderId="1" xfId="0" applyNumberFormat="1" applyFill="1" applyBorder="1" applyAlignment="1">
      <alignment horizontal="center" wrapText="1"/>
    </xf>
    <xf numFmtId="0" fontId="0" fillId="0" borderId="0" xfId="0" applyFill="1" applyBorder="1" applyAlignment="1">
      <alignment horizontal="center"/>
    </xf>
    <xf numFmtId="0" fontId="0" fillId="0" borderId="4" xfId="0" applyBorder="1" applyAlignment="1">
      <alignment horizontal="center"/>
    </xf>
    <xf numFmtId="0" fontId="0" fillId="0" borderId="0" xfId="0" applyBorder="1" applyAlignment="1">
      <alignment horizontal="center"/>
    </xf>
    <xf numFmtId="0" fontId="0" fillId="0" borderId="3" xfId="0" applyBorder="1" applyAlignment="1">
      <alignment horizontal="center"/>
    </xf>
    <xf numFmtId="0" fontId="0" fillId="16" borderId="4" xfId="0" applyFill="1" applyBorder="1" applyAlignment="1">
      <alignment horizontal="center"/>
    </xf>
    <xf numFmtId="0" fontId="0" fillId="0" borderId="5" xfId="0" applyBorder="1"/>
    <xf numFmtId="4" fontId="0" fillId="2" borderId="1" xfId="0" applyNumberFormat="1" applyFill="1" applyBorder="1" applyAlignment="1">
      <alignment horizontal="center" wrapText="1"/>
    </xf>
    <xf numFmtId="0" fontId="0" fillId="3" borderId="0" xfId="0" applyFill="1" applyAlignment="1">
      <alignment horizontal="center"/>
    </xf>
    <xf numFmtId="4" fontId="0" fillId="2" borderId="1" xfId="0" applyNumberFormat="1" applyFill="1" applyBorder="1" applyAlignment="1">
      <alignment horizontal="center" wrapText="1"/>
    </xf>
    <xf numFmtId="0" fontId="0" fillId="0" borderId="12" xfId="0" applyBorder="1" applyAlignment="1">
      <alignment horizontal="center"/>
    </xf>
    <xf numFmtId="0" fontId="0" fillId="0" borderId="4" xfId="0" applyBorder="1" applyAlignment="1">
      <alignment horizontal="center"/>
    </xf>
    <xf numFmtId="0" fontId="0" fillId="0" borderId="0" xfId="0" applyBorder="1" applyAlignment="1">
      <alignment horizontal="center"/>
    </xf>
    <xf numFmtId="0" fontId="0" fillId="0" borderId="3" xfId="0" applyBorder="1" applyAlignment="1">
      <alignment horizontal="center"/>
    </xf>
    <xf numFmtId="4" fontId="0" fillId="2" borderId="1" xfId="0" applyNumberFormat="1" applyFill="1" applyBorder="1" applyAlignment="1">
      <alignment horizontal="center" wrapText="1"/>
    </xf>
    <xf numFmtId="0" fontId="0" fillId="0" borderId="0" xfId="0" applyBorder="1" applyAlignment="1">
      <alignment horizontal="center"/>
    </xf>
    <xf numFmtId="4" fontId="0" fillId="2" borderId="1" xfId="0" applyNumberFormat="1" applyFill="1" applyBorder="1" applyAlignment="1">
      <alignment horizontal="center" wrapText="1"/>
    </xf>
    <xf numFmtId="9" fontId="0" fillId="0" borderId="17" xfId="1" applyFont="1" applyBorder="1" applyAlignment="1">
      <alignment horizontal="center" vertical="center"/>
    </xf>
    <xf numFmtId="0" fontId="0" fillId="0" borderId="18" xfId="0" applyBorder="1" applyAlignment="1">
      <alignment horizontal="center"/>
    </xf>
    <xf numFmtId="0" fontId="0" fillId="0" borderId="15" xfId="0" applyBorder="1"/>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0" xfId="0" applyBorder="1" applyAlignment="1">
      <alignment horizontal="center"/>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0" fontId="0" fillId="0" borderId="0" xfId="0" applyBorder="1" applyAlignment="1">
      <alignment horizontal="center"/>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0" xfId="0" applyBorder="1" applyAlignment="1">
      <alignment horizontal="center"/>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0" xfId="0" applyBorder="1" applyAlignment="1">
      <alignment horizontal="center" vertical="center"/>
    </xf>
    <xf numFmtId="0" fontId="0" fillId="0" borderId="0" xfId="0" applyFill="1" applyBorder="1" applyAlignment="1">
      <alignment horizontal="center" vertical="center"/>
    </xf>
    <xf numFmtId="0" fontId="0" fillId="0" borderId="4" xfId="0" applyBorder="1" applyAlignment="1">
      <alignment horizontal="center"/>
    </xf>
    <xf numFmtId="0" fontId="0" fillId="0" borderId="10" xfId="0" applyBorder="1" applyAlignment="1">
      <alignment horizontal="center" vertical="center"/>
    </xf>
    <xf numFmtId="0" fontId="0" fillId="0" borderId="3" xfId="0" applyBorder="1" applyAlignment="1">
      <alignment horizontal="center" vertical="center"/>
    </xf>
    <xf numFmtId="0" fontId="0" fillId="0" borderId="12" xfId="0" applyBorder="1" applyAlignment="1">
      <alignment horizontal="center" vertical="center"/>
    </xf>
    <xf numFmtId="0" fontId="0" fillId="0" borderId="12" xfId="0" applyBorder="1" applyAlignment="1">
      <alignment horizontal="center"/>
    </xf>
    <xf numFmtId="0" fontId="0" fillId="0" borderId="0" xfId="0" applyBorder="1" applyAlignment="1">
      <alignment horizontal="center"/>
    </xf>
    <xf numFmtId="0" fontId="0" fillId="0" borderId="3" xfId="0" applyBorder="1" applyAlignment="1">
      <alignment horizontal="center"/>
    </xf>
    <xf numFmtId="0" fontId="0" fillId="13" borderId="0" xfId="0" applyFill="1" applyBorder="1" applyAlignment="1">
      <alignment horizontal="center"/>
    </xf>
    <xf numFmtId="0" fontId="0" fillId="4" borderId="0" xfId="0" applyFill="1" applyBorder="1" applyAlignment="1">
      <alignment horizontal="center" vertical="center"/>
    </xf>
    <xf numFmtId="0" fontId="0" fillId="0" borderId="4" xfId="0" applyBorder="1" applyAlignment="1">
      <alignment horizontal="center" vertical="center"/>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0" fontId="0" fillId="0" borderId="0" xfId="0" applyAlignment="1">
      <alignment horizontal="center"/>
    </xf>
    <xf numFmtId="0" fontId="0" fillId="0" borderId="3" xfId="0" applyBorder="1" applyAlignment="1">
      <alignment horizontal="center" vertical="center"/>
    </xf>
    <xf numFmtId="0" fontId="0" fillId="0" borderId="12" xfId="0" applyBorder="1" applyAlignment="1">
      <alignment horizontal="center"/>
    </xf>
    <xf numFmtId="0" fontId="0" fillId="0" borderId="3" xfId="0" applyBorder="1" applyAlignment="1">
      <alignment horizontal="center"/>
    </xf>
    <xf numFmtId="4" fontId="0" fillId="2" borderId="1" xfId="0" applyNumberFormat="1" applyFill="1" applyBorder="1" applyAlignment="1">
      <alignment horizontal="center" wrapText="1"/>
    </xf>
    <xf numFmtId="0" fontId="0" fillId="0" borderId="0" xfId="0" applyFill="1" applyBorder="1" applyAlignment="1">
      <alignment horizontal="center"/>
    </xf>
    <xf numFmtId="0" fontId="0" fillId="0" borderId="3" xfId="0" applyBorder="1" applyAlignment="1">
      <alignment horizontal="center"/>
    </xf>
    <xf numFmtId="0" fontId="0" fillId="0" borderId="0" xfId="0" applyBorder="1" applyAlignment="1">
      <alignment horizontal="center"/>
    </xf>
    <xf numFmtId="0" fontId="0" fillId="0" borderId="4" xfId="0" applyBorder="1" applyAlignment="1">
      <alignment horizontal="center"/>
    </xf>
    <xf numFmtId="4" fontId="0" fillId="2" borderId="1" xfId="0" applyNumberFormat="1" applyFill="1" applyBorder="1" applyAlignment="1">
      <alignment horizontal="center" wrapText="1"/>
    </xf>
    <xf numFmtId="4" fontId="0" fillId="2" borderId="0" xfId="0" applyNumberFormat="1" applyFill="1" applyAlignment="1">
      <alignment horizontal="center" wrapText="1"/>
    </xf>
    <xf numFmtId="0" fontId="0" fillId="0" borderId="0" xfId="0" applyAlignment="1">
      <alignment horizontal="center" vertical="center"/>
    </xf>
    <xf numFmtId="4" fontId="0" fillId="0" borderId="3" xfId="0" applyNumberFormat="1" applyBorder="1" applyAlignment="1">
      <alignment horizontal="center" wrapText="1"/>
    </xf>
    <xf numFmtId="4" fontId="0" fillId="0" borderId="0" xfId="0" applyNumberFormat="1" applyAlignment="1">
      <alignment horizontal="center" wrapText="1"/>
    </xf>
    <xf numFmtId="0" fontId="0" fillId="11" borderId="0" xfId="0" applyFill="1" applyAlignment="1">
      <alignment horizontal="center" vertical="center"/>
    </xf>
    <xf numFmtId="0" fontId="0" fillId="3" borderId="9" xfId="0" applyFill="1" applyBorder="1" applyAlignment="1">
      <alignment horizontal="center"/>
    </xf>
    <xf numFmtId="0" fontId="0" fillId="3" borderId="10" xfId="0" applyFill="1" applyBorder="1" applyAlignment="1">
      <alignment horizontal="center"/>
    </xf>
    <xf numFmtId="0" fontId="0" fillId="0" borderId="5" xfId="0" applyBorder="1" applyAlignment="1">
      <alignment horizontal="center"/>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9" fontId="0" fillId="0" borderId="4" xfId="1" applyFont="1" applyBorder="1" applyAlignment="1">
      <alignment horizontal="center" vertical="center"/>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4" fontId="0" fillId="2" borderId="1" xfId="0" applyNumberFormat="1" applyFill="1" applyBorder="1" applyAlignment="1">
      <alignment horizontal="center" wrapText="1"/>
    </xf>
    <xf numFmtId="0" fontId="0" fillId="0" borderId="0" xfId="0"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Fill="1" applyBorder="1" applyAlignment="1">
      <alignment horizontal="center"/>
    </xf>
    <xf numFmtId="0" fontId="0" fillId="0" borderId="0" xfId="0" applyBorder="1" applyAlignment="1">
      <alignment horizontal="center"/>
    </xf>
    <xf numFmtId="0" fontId="0" fillId="0" borderId="3" xfId="0" applyFill="1" applyBorder="1" applyAlignment="1">
      <alignment horizontal="center"/>
    </xf>
    <xf numFmtId="4" fontId="0" fillId="2" borderId="1" xfId="0" applyNumberFormat="1" applyFill="1" applyBorder="1" applyAlignment="1">
      <alignment horizontal="center" wrapText="1"/>
    </xf>
    <xf numFmtId="0" fontId="0" fillId="0" borderId="10" xfId="0" applyFill="1" applyBorder="1" applyAlignment="1">
      <alignment horizontal="center"/>
    </xf>
    <xf numFmtId="0" fontId="0" fillId="0" borderId="9" xfId="0" applyFill="1" applyBorder="1" applyAlignment="1">
      <alignment horizontal="center"/>
    </xf>
    <xf numFmtId="0" fontId="0" fillId="0" borderId="0" xfId="0" applyFill="1" applyAlignment="1">
      <alignment horizontal="center"/>
    </xf>
    <xf numFmtId="0" fontId="0" fillId="0" borderId="6" xfId="0" applyFill="1" applyBorder="1" applyAlignment="1">
      <alignment horizontal="center"/>
    </xf>
    <xf numFmtId="0" fontId="0" fillId="0" borderId="12" xfId="0" applyFill="1" applyBorder="1" applyAlignment="1">
      <alignment horizontal="center"/>
    </xf>
    <xf numFmtId="0" fontId="0" fillId="0" borderId="13" xfId="0" applyFill="1" applyBorder="1" applyAlignment="1">
      <alignment horizontal="center"/>
    </xf>
    <xf numFmtId="0" fontId="0" fillId="0" borderId="11" xfId="0" applyBorder="1" applyAlignment="1">
      <alignment horizontal="center"/>
    </xf>
    <xf numFmtId="0" fontId="0" fillId="0" borderId="3" xfId="0" applyBorder="1" applyAlignment="1">
      <alignment horizontal="center"/>
    </xf>
    <xf numFmtId="0" fontId="0" fillId="0" borderId="1"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3" xfId="0" applyBorder="1" applyAlignment="1">
      <alignment horizontal="center"/>
    </xf>
    <xf numFmtId="0" fontId="0" fillId="0" borderId="1"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3" xfId="0" applyBorder="1" applyAlignment="1">
      <alignment horizontal="center"/>
    </xf>
    <xf numFmtId="0" fontId="0" fillId="0" borderId="1"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0" fontId="0" fillId="0" borderId="3" xfId="0" applyBorder="1" applyAlignment="1">
      <alignment horizontal="center"/>
    </xf>
    <xf numFmtId="0" fontId="0" fillId="0" borderId="0" xfId="0" applyBorder="1" applyAlignment="1">
      <alignment horizontal="center"/>
    </xf>
    <xf numFmtId="0" fontId="0" fillId="0" borderId="1"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3" xfId="0" applyBorder="1" applyAlignment="1">
      <alignment horizontal="center"/>
    </xf>
    <xf numFmtId="0" fontId="0" fillId="0" borderId="1"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3" xfId="0" applyBorder="1" applyAlignment="1">
      <alignment horizontal="center"/>
    </xf>
    <xf numFmtId="0" fontId="0" fillId="0" borderId="1"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4" fontId="0" fillId="2" borderId="1" xfId="0" applyNumberFormat="1" applyFill="1" applyBorder="1" applyAlignment="1">
      <alignment horizontal="center" wrapText="1"/>
    </xf>
    <xf numFmtId="0" fontId="0" fillId="0" borderId="0" xfId="0" applyAlignment="1">
      <alignment horizontal="center"/>
    </xf>
    <xf numFmtId="0" fontId="0" fillId="0" borderId="3" xfId="0" applyBorder="1" applyAlignment="1">
      <alignment horizontal="center"/>
    </xf>
    <xf numFmtId="0" fontId="0" fillId="0" borderId="1" xfId="0" applyBorder="1" applyAlignment="1">
      <alignment horizontal="center"/>
    </xf>
    <xf numFmtId="0" fontId="0" fillId="0" borderId="3" xfId="0" applyFill="1"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4" fontId="0" fillId="2" borderId="1" xfId="0" applyNumberFormat="1" applyFill="1" applyBorder="1" applyAlignment="1">
      <alignment horizontal="center" wrapText="1"/>
    </xf>
    <xf numFmtId="0" fontId="0" fillId="0" borderId="3" xfId="0" applyBorder="1" applyAlignment="1">
      <alignment horizontal="center"/>
    </xf>
    <xf numFmtId="0" fontId="0" fillId="0" borderId="1"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Fill="1"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3" xfId="0" applyBorder="1" applyAlignment="1">
      <alignment horizontal="center"/>
    </xf>
    <xf numFmtId="0" fontId="0" fillId="0" borderId="1"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0" fontId="0" fillId="0" borderId="0" xfId="0" applyAlignment="1">
      <alignment horizontal="center"/>
    </xf>
    <xf numFmtId="0" fontId="0" fillId="0" borderId="3" xfId="0" applyBorder="1" applyAlignment="1">
      <alignment horizontal="center"/>
    </xf>
    <xf numFmtId="0" fontId="0" fillId="0" borderId="2" xfId="0" applyBorder="1" applyAlignment="1">
      <alignment horizontal="center" vertical="center"/>
    </xf>
    <xf numFmtId="0" fontId="0" fillId="0" borderId="0" xfId="0" applyBorder="1" applyAlignment="1">
      <alignment horizontal="center"/>
    </xf>
    <xf numFmtId="4" fontId="0" fillId="2" borderId="1" xfId="0" applyNumberFormat="1" applyFill="1" applyBorder="1" applyAlignment="1">
      <alignment horizontal="center" wrapText="1"/>
    </xf>
    <xf numFmtId="4" fontId="0" fillId="2" borderId="2" xfId="0" applyNumberFormat="1" applyFill="1" applyBorder="1" applyAlignment="1">
      <alignment horizontal="center" vertical="center" wrapText="1"/>
    </xf>
    <xf numFmtId="0" fontId="0" fillId="0" borderId="0" xfId="0" applyAlignment="1">
      <alignment horizontal="center"/>
    </xf>
    <xf numFmtId="0" fontId="0" fillId="0" borderId="3" xfId="0" applyBorder="1" applyAlignment="1">
      <alignment horizontal="center"/>
    </xf>
    <xf numFmtId="0" fontId="0" fillId="0" borderId="1" xfId="0" applyBorder="1" applyAlignment="1">
      <alignment horizontal="center"/>
    </xf>
    <xf numFmtId="0" fontId="0" fillId="0" borderId="0" xfId="0" applyBorder="1" applyAlignment="1">
      <alignment horizontal="center"/>
    </xf>
    <xf numFmtId="0" fontId="0" fillId="0" borderId="3" xfId="0" applyFill="1" applyBorder="1" applyAlignment="1">
      <alignment horizontal="center"/>
    </xf>
    <xf numFmtId="4" fontId="0" fillId="2" borderId="1" xfId="0" applyNumberFormat="1" applyFill="1" applyBorder="1" applyAlignment="1">
      <alignment horizontal="center" wrapText="1"/>
    </xf>
    <xf numFmtId="0" fontId="0" fillId="0" borderId="0" xfId="0" applyBorder="1" applyAlignment="1">
      <alignment horizontal="center" vertical="center" wrapText="1"/>
    </xf>
    <xf numFmtId="4" fontId="0" fillId="2" borderId="6" xfId="0" applyNumberFormat="1" applyFill="1" applyBorder="1" applyAlignment="1">
      <alignment horizontal="center" vertical="center" wrapText="1"/>
    </xf>
    <xf numFmtId="0" fontId="0" fillId="0" borderId="7" xfId="0" applyBorder="1" applyAlignment="1">
      <alignment horizontal="center" vertical="center" wrapText="1"/>
    </xf>
    <xf numFmtId="0" fontId="0" fillId="0" borderId="2" xfId="0" applyBorder="1" applyAlignment="1">
      <alignment horizontal="center" vertical="center" wrapText="1"/>
    </xf>
    <xf numFmtId="3" fontId="0" fillId="0" borderId="2" xfId="0" applyNumberFormat="1" applyBorder="1" applyAlignment="1">
      <alignment horizontal="center" vertical="center" wrapText="1"/>
    </xf>
    <xf numFmtId="3" fontId="0" fillId="0" borderId="6" xfId="0" applyNumberFormat="1" applyBorder="1" applyAlignment="1">
      <alignment horizontal="center" vertical="center" wrapText="1"/>
    </xf>
    <xf numFmtId="3" fontId="0" fillId="0" borderId="2" xfId="0" quotePrefix="1" applyNumberFormat="1" applyBorder="1" applyAlignment="1">
      <alignment horizontal="center" vertical="center" wrapText="1"/>
    </xf>
    <xf numFmtId="0" fontId="0" fillId="0" borderId="1"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Fill="1"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0" xfId="0" applyFill="1"/>
    <xf numFmtId="0" fontId="0" fillId="0" borderId="3" xfId="0" applyBorder="1" applyAlignment="1">
      <alignment horizontal="center"/>
    </xf>
    <xf numFmtId="0" fontId="0" fillId="0" borderId="1"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0" fontId="0" fillId="0" borderId="0" xfId="0" applyAlignment="1">
      <alignment horizontal="center"/>
    </xf>
    <xf numFmtId="0" fontId="0" fillId="0" borderId="3" xfId="0" applyBorder="1" applyAlignment="1">
      <alignment horizontal="center"/>
    </xf>
    <xf numFmtId="0" fontId="0" fillId="0" borderId="0" xfId="0" applyFill="1" applyBorder="1" applyAlignment="1">
      <alignment horizontal="center"/>
    </xf>
    <xf numFmtId="0" fontId="0" fillId="0" borderId="0" xfId="0" applyBorder="1" applyAlignment="1">
      <alignment horizontal="center"/>
    </xf>
    <xf numFmtId="0" fontId="0" fillId="0" borderId="3" xfId="0" applyFill="1" applyBorder="1" applyAlignment="1">
      <alignment horizontal="center"/>
    </xf>
    <xf numFmtId="4" fontId="0" fillId="2" borderId="1" xfId="0" applyNumberFormat="1" applyFill="1" applyBorder="1" applyAlignment="1">
      <alignment horizontal="center" wrapText="1"/>
    </xf>
    <xf numFmtId="0" fontId="0" fillId="0" borderId="3" xfId="0" applyBorder="1" applyAlignment="1">
      <alignment horizontal="center"/>
    </xf>
    <xf numFmtId="0" fontId="0" fillId="0" borderId="1"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11" borderId="0" xfId="0" applyFill="1"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3" xfId="0" applyBorder="1" applyAlignment="1">
      <alignment horizontal="center"/>
    </xf>
    <xf numFmtId="0" fontId="0" fillId="0" borderId="1" xfId="0"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0" fontId="0" fillId="0" borderId="1"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Fill="1" applyBorder="1" applyAlignment="1">
      <alignment horizontal="center"/>
    </xf>
    <xf numFmtId="0" fontId="0" fillId="0" borderId="0" xfId="0" applyBorder="1" applyAlignment="1">
      <alignment horizontal="center"/>
    </xf>
    <xf numFmtId="4" fontId="0" fillId="2" borderId="1" xfId="0" applyNumberFormat="1" applyFill="1" applyBorder="1" applyAlignment="1">
      <alignment horizontal="center" wrapText="1"/>
    </xf>
    <xf numFmtId="17" fontId="0" fillId="5" borderId="0" xfId="0" applyNumberFormat="1" applyFill="1" applyAlignment="1">
      <alignment horizontal="center"/>
    </xf>
    <xf numFmtId="17" fontId="0" fillId="5" borderId="2" xfId="0" applyNumberFormat="1" applyFill="1" applyBorder="1"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3" xfId="0" applyBorder="1" applyAlignment="1">
      <alignment horizontal="center"/>
    </xf>
    <xf numFmtId="0" fontId="0" fillId="9" borderId="4" xfId="0" applyFill="1" applyBorder="1" applyAlignment="1">
      <alignment horizontal="center" vertical="center"/>
    </xf>
    <xf numFmtId="0" fontId="0" fillId="9" borderId="0" xfId="0" applyFill="1" applyAlignment="1">
      <alignment horizontal="center" vertical="center"/>
    </xf>
    <xf numFmtId="0" fontId="0" fillId="9" borderId="3" xfId="0" applyFill="1" applyBorder="1" applyAlignment="1">
      <alignment horizontal="center" vertical="center"/>
    </xf>
    <xf numFmtId="0" fontId="0" fillId="3" borderId="0" xfId="0" applyFill="1" applyAlignment="1">
      <alignment horizontal="center" vertical="center"/>
    </xf>
    <xf numFmtId="0" fontId="0" fillId="3" borderId="3" xfId="0" applyFill="1" applyBorder="1" applyAlignment="1">
      <alignment horizontal="center" vertical="center"/>
    </xf>
    <xf numFmtId="0" fontId="0" fillId="12" borderId="4" xfId="0" applyFill="1" applyBorder="1" applyAlignment="1">
      <alignment horizontal="center" vertical="center"/>
    </xf>
    <xf numFmtId="0" fontId="0" fillId="12" borderId="0" xfId="0" applyFill="1" applyAlignment="1">
      <alignment horizontal="center" vertical="center"/>
    </xf>
    <xf numFmtId="0" fontId="0" fillId="12" borderId="3" xfId="0" applyFill="1" applyBorder="1" applyAlignment="1">
      <alignment horizontal="center" vertical="center"/>
    </xf>
    <xf numFmtId="0" fontId="0" fillId="3" borderId="4" xfId="0" applyFill="1" applyBorder="1" applyAlignment="1">
      <alignment horizontal="center" vertical="center"/>
    </xf>
    <xf numFmtId="0" fontId="0" fillId="8" borderId="4" xfId="0" applyFill="1" applyBorder="1" applyAlignment="1">
      <alignment horizontal="center" vertical="center"/>
    </xf>
    <xf numFmtId="0" fontId="0" fillId="8" borderId="0" xfId="0" applyFill="1" applyAlignment="1">
      <alignment horizontal="center" vertical="center"/>
    </xf>
    <xf numFmtId="0" fontId="0" fillId="8" borderId="3" xfId="0" applyFill="1" applyBorder="1" applyAlignment="1">
      <alignment horizontal="center" vertical="center"/>
    </xf>
    <xf numFmtId="0" fontId="0" fillId="10" borderId="0" xfId="0" applyFill="1" applyAlignment="1">
      <alignment horizontal="center" vertical="center"/>
    </xf>
    <xf numFmtId="0" fontId="0" fillId="10" borderId="3" xfId="0" applyFill="1" applyBorder="1" applyAlignment="1">
      <alignment horizontal="center" vertical="center"/>
    </xf>
    <xf numFmtId="0" fontId="0" fillId="7" borderId="0" xfId="0" applyFill="1" applyAlignment="1">
      <alignment horizontal="center" vertical="center"/>
    </xf>
    <xf numFmtId="0" fontId="0" fillId="7" borderId="3" xfId="0" applyFill="1"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0" fontId="0" fillId="3" borderId="10" xfId="0" applyFill="1" applyBorder="1" applyAlignment="1">
      <alignment horizontal="center" vertical="center"/>
    </xf>
    <xf numFmtId="0" fontId="0" fillId="8" borderId="10" xfId="0" applyFill="1" applyBorder="1" applyAlignment="1">
      <alignment horizontal="center" vertical="center"/>
    </xf>
    <xf numFmtId="0" fontId="0" fillId="0" borderId="4" xfId="0" applyBorder="1" applyAlignment="1">
      <alignment horizontal="center"/>
    </xf>
    <xf numFmtId="0" fontId="0" fillId="7" borderId="12" xfId="0" applyFill="1" applyBorder="1" applyAlignment="1">
      <alignment horizontal="center" vertical="center"/>
    </xf>
    <xf numFmtId="0" fontId="0" fillId="4" borderId="4" xfId="0" applyFill="1" applyBorder="1" applyAlignment="1">
      <alignment horizontal="center" vertical="center"/>
    </xf>
    <xf numFmtId="0" fontId="0" fillId="4" borderId="0" xfId="0" applyFill="1" applyAlignment="1">
      <alignment horizontal="center" vertical="center"/>
    </xf>
    <xf numFmtId="0" fontId="0" fillId="4" borderId="3" xfId="0" applyFill="1" applyBorder="1" applyAlignment="1">
      <alignment horizontal="center" vertical="center"/>
    </xf>
    <xf numFmtId="0" fontId="0" fillId="0" borderId="12" xfId="0" applyBorder="1" applyAlignment="1">
      <alignment horizontal="center" vertical="center" wrapText="1"/>
    </xf>
    <xf numFmtId="0" fontId="0" fillId="0" borderId="0" xfId="0" applyAlignment="1">
      <alignment horizontal="center" vertical="center" wrapText="1"/>
    </xf>
    <xf numFmtId="0" fontId="0" fillId="0" borderId="3" xfId="0" applyBorder="1" applyAlignment="1">
      <alignment horizontal="center" vertical="center" wrapText="1"/>
    </xf>
    <xf numFmtId="0" fontId="0" fillId="3" borderId="12" xfId="0" applyFill="1"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xf>
    <xf numFmtId="0" fontId="0" fillId="11" borderId="0" xfId="0" applyFill="1" applyAlignment="1">
      <alignment horizontal="center"/>
    </xf>
    <xf numFmtId="16" fontId="0" fillId="0" borderId="1" xfId="0" applyNumberFormat="1" applyBorder="1" applyAlignment="1">
      <alignment horizontal="center"/>
    </xf>
    <xf numFmtId="16" fontId="0" fillId="0" borderId="2" xfId="0" applyNumberFormat="1" applyBorder="1" applyAlignment="1">
      <alignment horizontal="center"/>
    </xf>
    <xf numFmtId="0" fontId="0" fillId="0" borderId="0" xfId="0" applyBorder="1" applyAlignment="1">
      <alignment horizontal="center" vertical="center"/>
    </xf>
    <xf numFmtId="0" fontId="0" fillId="12" borderId="0" xfId="0" applyFill="1" applyBorder="1" applyAlignment="1">
      <alignment horizontal="center" vertical="center"/>
    </xf>
    <xf numFmtId="0" fontId="0" fillId="3" borderId="0" xfId="0" applyFill="1" applyBorder="1" applyAlignment="1">
      <alignment horizontal="center" vertical="center"/>
    </xf>
    <xf numFmtId="0" fontId="0" fillId="4" borderId="0" xfId="0" applyFill="1" applyBorder="1" applyAlignment="1">
      <alignment horizontal="center" vertical="center"/>
    </xf>
    <xf numFmtId="0" fontId="0" fillId="7" borderId="4" xfId="0" applyFill="1" applyBorder="1" applyAlignment="1">
      <alignment horizontal="center" vertical="center"/>
    </xf>
    <xf numFmtId="0" fontId="0" fillId="7" borderId="0" xfId="0" applyFill="1" applyBorder="1" applyAlignment="1">
      <alignment horizontal="center" vertical="center"/>
    </xf>
    <xf numFmtId="0" fontId="0" fillId="10" borderId="4" xfId="0" applyFill="1" applyBorder="1" applyAlignment="1">
      <alignment horizontal="center" vertical="center"/>
    </xf>
    <xf numFmtId="0" fontId="0" fillId="10" borderId="0" xfId="0" applyFill="1" applyBorder="1" applyAlignment="1">
      <alignment horizontal="center" vertical="center"/>
    </xf>
    <xf numFmtId="0" fontId="0" fillId="9" borderId="0" xfId="0" applyFill="1" applyBorder="1" applyAlignment="1">
      <alignment horizontal="center" vertical="center"/>
    </xf>
    <xf numFmtId="0" fontId="0" fillId="8" borderId="0" xfId="0" applyFill="1" applyBorder="1" applyAlignment="1">
      <alignment horizontal="center" vertical="center"/>
    </xf>
    <xf numFmtId="0" fontId="0" fillId="0" borderId="0" xfId="0" applyFill="1" applyBorder="1" applyAlignment="1">
      <alignment horizontal="center"/>
    </xf>
    <xf numFmtId="0" fontId="0" fillId="0" borderId="0" xfId="0" applyBorder="1" applyAlignment="1">
      <alignment horizontal="center"/>
    </xf>
    <xf numFmtId="0" fontId="0" fillId="0" borderId="7" xfId="0" applyBorder="1" applyAlignment="1">
      <alignment horizontal="center" vertical="center"/>
    </xf>
    <xf numFmtId="0" fontId="0" fillId="0" borderId="2" xfId="0"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13" borderId="0" xfId="0" applyFill="1" applyBorder="1" applyAlignment="1">
      <alignment horizontal="center"/>
    </xf>
    <xf numFmtId="0" fontId="0" fillId="0" borderId="3" xfId="0" applyFill="1" applyBorder="1" applyAlignment="1">
      <alignment horizontal="center"/>
    </xf>
    <xf numFmtId="0" fontId="0" fillId="0" borderId="0" xfId="0" applyFill="1" applyBorder="1" applyAlignment="1">
      <alignment horizontal="center" vertical="center"/>
    </xf>
    <xf numFmtId="0" fontId="0" fillId="0" borderId="3" xfId="0" applyFill="1" applyBorder="1" applyAlignment="1">
      <alignment horizontal="center" vertical="center"/>
    </xf>
    <xf numFmtId="0" fontId="0" fillId="0" borderId="4" xfId="0" applyBorder="1" applyAlignment="1">
      <alignment horizontal="center" vertical="center"/>
    </xf>
    <xf numFmtId="0" fontId="0" fillId="0" borderId="4" xfId="0" applyFont="1" applyBorder="1" applyAlignment="1">
      <alignment horizontal="center" vertical="center" wrapText="1"/>
    </xf>
    <xf numFmtId="0" fontId="0" fillId="0" borderId="3" xfId="0" applyFont="1" applyBorder="1" applyAlignment="1">
      <alignment horizontal="center" vertical="center" wrapText="1"/>
    </xf>
    <xf numFmtId="0" fontId="0" fillId="0" borderId="13" xfId="0" applyBorder="1" applyAlignment="1">
      <alignment horizontal="center" vertical="center"/>
    </xf>
    <xf numFmtId="16" fontId="0" fillId="0" borderId="1" xfId="0" applyNumberFormat="1" applyFill="1" applyBorder="1" applyAlignment="1">
      <alignment horizontal="center"/>
    </xf>
    <xf numFmtId="16" fontId="0" fillId="0" borderId="2" xfId="0" applyNumberFormat="1" applyFill="1" applyBorder="1" applyAlignment="1">
      <alignment horizontal="center"/>
    </xf>
    <xf numFmtId="16" fontId="0" fillId="0" borderId="15" xfId="0" applyNumberFormat="1" applyFill="1" applyBorder="1" applyAlignment="1">
      <alignment horizontal="center"/>
    </xf>
    <xf numFmtId="16" fontId="0" fillId="11" borderId="1" xfId="0" applyNumberFormat="1" applyFill="1" applyBorder="1" applyAlignment="1">
      <alignment horizontal="center"/>
    </xf>
    <xf numFmtId="16" fontId="0" fillId="11" borderId="2" xfId="0" applyNumberFormat="1" applyFill="1" applyBorder="1" applyAlignment="1">
      <alignment horizontal="center"/>
    </xf>
    <xf numFmtId="16" fontId="0" fillId="0" borderId="12" xfId="0" applyNumberFormat="1" applyFill="1" applyBorder="1" applyAlignment="1">
      <alignment horizontal="center"/>
    </xf>
    <xf numFmtId="16" fontId="0" fillId="0" borderId="19" xfId="0" applyNumberFormat="1" applyFill="1" applyBorder="1" applyAlignment="1">
      <alignment horizontal="center"/>
    </xf>
    <xf numFmtId="16" fontId="0" fillId="0" borderId="0" xfId="0" applyNumberFormat="1" applyFill="1" applyBorder="1" applyAlignment="1">
      <alignment horizontal="center"/>
    </xf>
    <xf numFmtId="0" fontId="0" fillId="11" borderId="2" xfId="0" applyFill="1" applyBorder="1" applyAlignment="1">
      <alignment horizontal="center"/>
    </xf>
    <xf numFmtId="17" fontId="0" fillId="0" borderId="8" xfId="0" applyNumberFormat="1" applyFill="1" applyBorder="1" applyAlignment="1">
      <alignment horizontal="center" vertical="center"/>
    </xf>
    <xf numFmtId="17" fontId="0" fillId="0" borderId="1" xfId="0" applyNumberFormat="1" applyFill="1" applyBorder="1" applyAlignment="1">
      <alignment horizontal="center" vertical="center"/>
    </xf>
    <xf numFmtId="17" fontId="0" fillId="0" borderId="5" xfId="0" applyNumberFormat="1" applyFill="1" applyBorder="1" applyAlignment="1">
      <alignment horizontal="center" vertical="center"/>
    </xf>
    <xf numFmtId="4" fontId="0" fillId="2" borderId="1" xfId="0" applyNumberFormat="1" applyFill="1" applyBorder="1" applyAlignment="1">
      <alignment horizontal="center" wrapText="1"/>
    </xf>
    <xf numFmtId="4" fontId="0" fillId="2" borderId="2" xfId="0" applyNumberFormat="1" applyFill="1" applyBorder="1" applyAlignment="1">
      <alignment horizontal="center" wrapText="1"/>
    </xf>
    <xf numFmtId="16" fontId="0" fillId="6" borderId="1" xfId="0" applyNumberFormat="1" applyFill="1" applyBorder="1" applyAlignment="1">
      <alignment horizontal="center"/>
    </xf>
    <xf numFmtId="16" fontId="0" fillId="6" borderId="2" xfId="0" applyNumberFormat="1" applyFill="1" applyBorder="1" applyAlignment="1">
      <alignment horizontal="center"/>
    </xf>
    <xf numFmtId="4" fontId="0" fillId="2" borderId="7" xfId="0" applyNumberFormat="1" applyFill="1" applyBorder="1" applyAlignment="1">
      <alignment horizontal="center" vertical="center" wrapText="1"/>
    </xf>
    <xf numFmtId="4" fontId="0" fillId="2" borderId="2" xfId="0" applyNumberFormat="1" applyFill="1" applyBorder="1" applyAlignment="1">
      <alignment horizontal="center" vertical="center" wrapText="1"/>
    </xf>
    <xf numFmtId="0" fontId="0" fillId="0" borderId="16" xfId="0" applyBorder="1" applyAlignment="1">
      <alignment horizontal="center" vertical="center"/>
    </xf>
    <xf numFmtId="0" fontId="0" fillId="11" borderId="1" xfId="0" applyFill="1" applyBorder="1" applyAlignment="1">
      <alignment horizontal="center"/>
    </xf>
    <xf numFmtId="0" fontId="3" fillId="13" borderId="4" xfId="0" applyFont="1" applyFill="1" applyBorder="1" applyAlignment="1">
      <alignment horizontal="center" vertical="center"/>
    </xf>
    <xf numFmtId="0" fontId="3" fillId="13" borderId="0" xfId="0" applyFont="1" applyFill="1" applyBorder="1" applyAlignment="1">
      <alignment horizontal="center" vertical="center"/>
    </xf>
    <xf numFmtId="0" fontId="3" fillId="13" borderId="4" xfId="0" applyFont="1" applyFill="1" applyBorder="1" applyAlignment="1">
      <alignment horizontal="center" vertical="center" wrapText="1"/>
    </xf>
    <xf numFmtId="0" fontId="3" fillId="13" borderId="0" xfId="0" applyFont="1" applyFill="1" applyBorder="1" applyAlignment="1">
      <alignment horizontal="center" vertical="center" wrapText="1"/>
    </xf>
    <xf numFmtId="0" fontId="0" fillId="0" borderId="8" xfId="0" applyBorder="1" applyAlignment="1">
      <alignment horizontal="center" vertical="center" wrapText="1"/>
    </xf>
    <xf numFmtId="0" fontId="0" fillId="0" borderId="1" xfId="0" applyBorder="1" applyAlignment="1">
      <alignment horizontal="center" vertical="center" wrapText="1"/>
    </xf>
    <xf numFmtId="0" fontId="0" fillId="0" borderId="5" xfId="0" applyBorder="1" applyAlignment="1">
      <alignment horizontal="center" vertical="center" wrapText="1"/>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4" xfId="0" applyBorder="1" applyAlignment="1">
      <alignment horizontal="center" vertical="center" wrapText="1"/>
    </xf>
    <xf numFmtId="0" fontId="0" fillId="0" borderId="7" xfId="0" applyBorder="1" applyAlignment="1">
      <alignment horizontal="center" vertical="center" wrapText="1"/>
    </xf>
    <xf numFmtId="0" fontId="0" fillId="0" borderId="0" xfId="0" applyBorder="1" applyAlignment="1">
      <alignment horizontal="center" vertical="center" wrapText="1"/>
    </xf>
    <xf numFmtId="0" fontId="0" fillId="0" borderId="2" xfId="0" applyBorder="1" applyAlignment="1">
      <alignment horizontal="center" vertical="center" wrapText="1"/>
    </xf>
    <xf numFmtId="0" fontId="0" fillId="0" borderId="6" xfId="0" applyBorder="1" applyAlignment="1">
      <alignment horizontal="center" vertical="center" wrapText="1"/>
    </xf>
    <xf numFmtId="17" fontId="0" fillId="0" borderId="8" xfId="0" applyNumberFormat="1" applyBorder="1" applyAlignment="1">
      <alignment horizontal="center" vertical="center"/>
    </xf>
    <xf numFmtId="17" fontId="0" fillId="0" borderId="1" xfId="0" applyNumberFormat="1" applyBorder="1" applyAlignment="1">
      <alignment horizontal="center" vertical="center"/>
    </xf>
    <xf numFmtId="17" fontId="0" fillId="0" borderId="5" xfId="0" applyNumberFormat="1" applyBorder="1" applyAlignment="1">
      <alignment horizontal="center" vertical="center"/>
    </xf>
    <xf numFmtId="16" fontId="0" fillId="16" borderId="0" xfId="0" applyNumberFormat="1" applyFill="1" applyBorder="1" applyAlignment="1">
      <alignment horizontal="center"/>
    </xf>
    <xf numFmtId="16" fontId="0" fillId="16" borderId="2" xfId="0" applyNumberFormat="1" applyFill="1" applyBorder="1" applyAlignment="1">
      <alignment horizontal="center"/>
    </xf>
  </cellXfs>
  <cellStyles count="3">
    <cellStyle name="Moneda" xfId="2" builtinId="4"/>
    <cellStyle name="Normal" xfId="0" builtinId="0"/>
    <cellStyle name="Porcentaje" xfId="1" builtinId="5"/>
  </cellStyles>
  <dxfs count="13192">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ill>
        <patternFill>
          <bgColor theme="9" tint="0.39994506668294322"/>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ill>
        <patternFill>
          <bgColor theme="9" tint="0.39994506668294322"/>
        </patternFill>
      </fill>
    </dxf>
    <dxf>
      <fill>
        <patternFill>
          <bgColor theme="9" tint="0.39994506668294322"/>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
      <font>
        <color theme="9" tint="-0.499984740745262"/>
      </font>
    </dxf>
    <dxf>
      <font>
        <color rgb="FFC00000"/>
      </font>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colors>
    <mruColors>
      <color rgb="FFFFCCCC"/>
      <color rgb="FFFF9999"/>
      <color rgb="FFFF7C8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9C856-2F7B-456C-903E-358237EEC473}">
  <sheetPr codeName="Hoja4"/>
  <dimension ref="B1:BA104"/>
  <sheetViews>
    <sheetView zoomScale="80" zoomScaleNormal="80" workbookViewId="0">
      <pane xSplit="6" ySplit="3" topLeftCell="AN83" activePane="bottomRight" state="frozen"/>
      <selection pane="topRight" activeCell="G1" sqref="G1"/>
      <selection pane="bottomLeft" activeCell="A4" sqref="A4"/>
      <selection pane="bottomRight" activeCell="AW109" sqref="AW109"/>
    </sheetView>
  </sheetViews>
  <sheetFormatPr baseColWidth="10" defaultRowHeight="15" x14ac:dyDescent="0.25"/>
  <cols>
    <col min="1" max="1" width="5.7109375" customWidth="1"/>
    <col min="4" max="4" width="8.85546875" customWidth="1"/>
    <col min="5" max="5" width="6.140625" customWidth="1"/>
    <col min="6" max="6" width="13.28515625" customWidth="1"/>
    <col min="22" max="22" width="12.5703125" customWidth="1"/>
    <col min="23" max="23" width="13.7109375" customWidth="1"/>
    <col min="24" max="24" width="12.5703125" customWidth="1"/>
    <col min="25" max="25" width="13.5703125" customWidth="1"/>
    <col min="26" max="26" width="12.42578125" customWidth="1"/>
    <col min="45" max="45" width="11.42578125" style="545"/>
    <col min="47" max="47" width="11.42578125" style="673"/>
    <col min="48" max="51" width="11.42578125" style="554"/>
  </cols>
  <sheetData>
    <row r="1" spans="2:53" x14ac:dyDescent="0.25">
      <c r="M1" s="752" t="s">
        <v>51</v>
      </c>
      <c r="N1" s="752"/>
      <c r="O1" s="752"/>
    </row>
    <row r="2" spans="2:53" x14ac:dyDescent="0.25">
      <c r="G2" s="716">
        <v>43739</v>
      </c>
      <c r="H2" s="716"/>
      <c r="I2" s="717"/>
      <c r="J2" s="716">
        <v>43770</v>
      </c>
      <c r="K2" s="716"/>
      <c r="L2" s="717"/>
      <c r="M2" s="716">
        <v>43800</v>
      </c>
      <c r="N2" s="716"/>
      <c r="O2" s="717"/>
      <c r="P2" s="716">
        <v>43831</v>
      </c>
      <c r="Q2" s="716"/>
      <c r="R2" s="717"/>
      <c r="S2" s="716">
        <v>43862</v>
      </c>
      <c r="T2" s="716"/>
      <c r="U2" s="717"/>
      <c r="V2" s="716">
        <v>43891</v>
      </c>
      <c r="W2" s="716"/>
      <c r="X2" s="717"/>
      <c r="Y2" s="716">
        <v>43922</v>
      </c>
      <c r="Z2" s="716"/>
      <c r="AA2" s="717"/>
      <c r="AB2" s="716">
        <v>43952</v>
      </c>
      <c r="AC2" s="716"/>
      <c r="AD2" s="717"/>
      <c r="AE2" s="716">
        <v>43983</v>
      </c>
      <c r="AF2" s="716"/>
      <c r="AG2" s="717"/>
      <c r="AH2" s="716">
        <v>44013</v>
      </c>
      <c r="AI2" s="716"/>
      <c r="AJ2" s="717"/>
      <c r="AK2" s="716">
        <v>44044</v>
      </c>
      <c r="AL2" s="716"/>
      <c r="AM2" s="717"/>
      <c r="AN2" s="716">
        <v>44075</v>
      </c>
      <c r="AO2" s="716"/>
      <c r="AP2" s="717"/>
      <c r="AQ2" s="716">
        <v>44105</v>
      </c>
      <c r="AR2" s="716"/>
      <c r="AS2" s="717"/>
      <c r="AT2" s="716">
        <v>44136</v>
      </c>
      <c r="AU2" s="716"/>
      <c r="AV2" s="717"/>
      <c r="AW2" s="716">
        <v>44166</v>
      </c>
      <c r="AX2" s="716"/>
      <c r="AY2" s="717"/>
      <c r="AZ2" s="751" t="s">
        <v>79</v>
      </c>
      <c r="BA2" s="719"/>
    </row>
    <row r="3" spans="2:53" x14ac:dyDescent="0.25">
      <c r="B3" s="720" t="s">
        <v>50</v>
      </c>
      <c r="C3" s="720"/>
      <c r="D3" s="720"/>
      <c r="E3" s="720"/>
      <c r="F3" s="73"/>
      <c r="G3" s="508" t="s">
        <v>1</v>
      </c>
      <c r="H3" s="494" t="s">
        <v>22</v>
      </c>
      <c r="I3" s="77" t="s">
        <v>23</v>
      </c>
      <c r="J3" s="508" t="s">
        <v>1</v>
      </c>
      <c r="K3" s="494" t="s">
        <v>22</v>
      </c>
      <c r="L3" s="77" t="s">
        <v>23</v>
      </c>
      <c r="M3" s="508" t="s">
        <v>1</v>
      </c>
      <c r="N3" s="494" t="s">
        <v>22</v>
      </c>
      <c r="O3" s="77" t="s">
        <v>23</v>
      </c>
      <c r="P3" s="508" t="s">
        <v>1</v>
      </c>
      <c r="Q3" s="494" t="s">
        <v>22</v>
      </c>
      <c r="R3" s="77" t="s">
        <v>23</v>
      </c>
      <c r="S3" s="508" t="s">
        <v>1</v>
      </c>
      <c r="T3" s="494" t="s">
        <v>22</v>
      </c>
      <c r="U3" s="77" t="s">
        <v>23</v>
      </c>
      <c r="V3" s="508" t="s">
        <v>1</v>
      </c>
      <c r="W3" s="494" t="s">
        <v>22</v>
      </c>
      <c r="X3" s="77" t="s">
        <v>23</v>
      </c>
      <c r="Y3" s="508" t="s">
        <v>1</v>
      </c>
      <c r="Z3" s="494" t="s">
        <v>22</v>
      </c>
      <c r="AA3" s="77" t="s">
        <v>23</v>
      </c>
      <c r="AB3" s="508" t="s">
        <v>1</v>
      </c>
      <c r="AC3" s="494" t="s">
        <v>22</v>
      </c>
      <c r="AD3" s="77" t="s">
        <v>23</v>
      </c>
      <c r="AE3" s="508" t="s">
        <v>1</v>
      </c>
      <c r="AF3" s="494" t="s">
        <v>22</v>
      </c>
      <c r="AG3" s="77" t="s">
        <v>23</v>
      </c>
      <c r="AH3" s="508" t="s">
        <v>1</v>
      </c>
      <c r="AI3" s="494" t="s">
        <v>22</v>
      </c>
      <c r="AJ3" s="77" t="s">
        <v>23</v>
      </c>
      <c r="AK3" s="508" t="s">
        <v>1</v>
      </c>
      <c r="AL3" s="494" t="s">
        <v>22</v>
      </c>
      <c r="AM3" s="77" t="s">
        <v>23</v>
      </c>
      <c r="AN3" s="508" t="s">
        <v>1</v>
      </c>
      <c r="AO3" s="546" t="s">
        <v>22</v>
      </c>
      <c r="AP3" s="77" t="s">
        <v>23</v>
      </c>
      <c r="AQ3" s="508" t="s">
        <v>1</v>
      </c>
      <c r="AR3" s="621" t="s">
        <v>22</v>
      </c>
      <c r="AS3" s="77" t="s">
        <v>23</v>
      </c>
      <c r="AT3" s="508" t="s">
        <v>1</v>
      </c>
      <c r="AU3" s="658" t="s">
        <v>22</v>
      </c>
      <c r="AV3" s="555" t="s">
        <v>23</v>
      </c>
      <c r="AW3" s="693"/>
      <c r="AX3" s="693"/>
      <c r="AY3" s="693"/>
      <c r="AZ3" s="545" t="s">
        <v>77</v>
      </c>
      <c r="BA3" s="545" t="s">
        <v>78</v>
      </c>
    </row>
    <row r="4" spans="2:53" x14ac:dyDescent="0.25">
      <c r="B4" s="718" t="s">
        <v>6</v>
      </c>
      <c r="C4" s="735" t="s">
        <v>9</v>
      </c>
      <c r="D4" s="724" t="s">
        <v>14</v>
      </c>
      <c r="E4" s="724"/>
      <c r="G4" s="501">
        <v>-35.840000000000003</v>
      </c>
      <c r="H4" s="491">
        <v>3</v>
      </c>
      <c r="I4" s="430">
        <v>17</v>
      </c>
      <c r="J4" s="501">
        <v>-36.950000000000003</v>
      </c>
      <c r="K4" s="491">
        <v>3</v>
      </c>
      <c r="L4" s="430">
        <v>17</v>
      </c>
      <c r="M4" s="501">
        <v>-20.54</v>
      </c>
      <c r="N4" s="491">
        <v>2</v>
      </c>
      <c r="O4" s="430">
        <v>9</v>
      </c>
      <c r="P4" s="501">
        <v>-33.290000000000006</v>
      </c>
      <c r="Q4" s="491">
        <v>0</v>
      </c>
      <c r="R4" s="430">
        <v>11</v>
      </c>
      <c r="S4" s="501">
        <v>-20.010000000000002</v>
      </c>
      <c r="T4" s="491">
        <v>3</v>
      </c>
      <c r="U4" s="430">
        <v>13</v>
      </c>
      <c r="V4" s="501">
        <v>28.450000000000006</v>
      </c>
      <c r="W4" s="491">
        <v>11</v>
      </c>
      <c r="X4" s="430">
        <v>17</v>
      </c>
      <c r="Y4" s="501">
        <v>-4.7699999999999987</v>
      </c>
      <c r="Z4" s="491">
        <v>8</v>
      </c>
      <c r="AA4" s="430">
        <v>16</v>
      </c>
      <c r="AB4" s="501">
        <v>-23.610000000000003</v>
      </c>
      <c r="AC4" s="491">
        <v>2</v>
      </c>
      <c r="AD4" s="430">
        <v>11</v>
      </c>
      <c r="AE4" s="501">
        <v>-42.120000000000005</v>
      </c>
      <c r="AF4" s="491">
        <v>4</v>
      </c>
      <c r="AG4" s="430">
        <v>16</v>
      </c>
      <c r="AH4" s="501">
        <v>-40.71</v>
      </c>
      <c r="AI4" s="491">
        <v>3</v>
      </c>
      <c r="AJ4" s="430">
        <v>16</v>
      </c>
      <c r="AK4" s="501">
        <v>-54.59</v>
      </c>
      <c r="AL4" s="491">
        <v>2</v>
      </c>
      <c r="AM4" s="430">
        <v>16</v>
      </c>
      <c r="AN4" s="501">
        <v>-35.140000000000008</v>
      </c>
      <c r="AO4" s="545">
        <v>4</v>
      </c>
      <c r="AP4" s="430">
        <v>14</v>
      </c>
      <c r="AQ4" s="501">
        <v>-48.94</v>
      </c>
      <c r="AR4" s="554">
        <v>1</v>
      </c>
      <c r="AS4" s="109">
        <v>16</v>
      </c>
      <c r="AT4" s="501">
        <v>-1.5599999999999978</v>
      </c>
      <c r="AU4" s="554">
        <v>4</v>
      </c>
      <c r="AV4" s="109">
        <v>7</v>
      </c>
      <c r="AW4" s="693"/>
      <c r="AX4" s="693"/>
      <c r="AY4" s="693"/>
      <c r="BA4" s="545"/>
    </row>
    <row r="5" spans="2:53" x14ac:dyDescent="0.25">
      <c r="B5" s="718"/>
      <c r="C5" s="735"/>
      <c r="D5" s="724" t="s">
        <v>7</v>
      </c>
      <c r="E5" s="724"/>
      <c r="G5" s="501">
        <v>-29.08</v>
      </c>
      <c r="H5" s="491">
        <v>4</v>
      </c>
      <c r="I5" s="430">
        <v>17</v>
      </c>
      <c r="J5" s="501">
        <v>-26.75</v>
      </c>
      <c r="K5" s="491">
        <v>4</v>
      </c>
      <c r="L5" s="430">
        <v>17</v>
      </c>
      <c r="M5" s="501">
        <v>-6.4899999999999993</v>
      </c>
      <c r="N5" s="491">
        <v>2</v>
      </c>
      <c r="O5" s="430">
        <v>7</v>
      </c>
      <c r="P5" s="501">
        <v>-10.3</v>
      </c>
      <c r="Q5" s="491">
        <v>2</v>
      </c>
      <c r="R5" s="430">
        <v>9</v>
      </c>
      <c r="S5" s="501">
        <v>-6.25</v>
      </c>
      <c r="T5" s="491">
        <v>4</v>
      </c>
      <c r="U5" s="430">
        <v>11</v>
      </c>
      <c r="V5" s="501">
        <v>-2.910000000000001</v>
      </c>
      <c r="W5" s="491">
        <v>7</v>
      </c>
      <c r="X5" s="430">
        <v>12</v>
      </c>
      <c r="Y5" s="501">
        <v>-18.77</v>
      </c>
      <c r="Z5" s="491">
        <v>5</v>
      </c>
      <c r="AA5" s="430">
        <v>15</v>
      </c>
      <c r="AB5" s="501">
        <v>-28.470000000000006</v>
      </c>
      <c r="AC5" s="491">
        <v>1</v>
      </c>
      <c r="AD5" s="430">
        <v>11</v>
      </c>
      <c r="AE5" s="501">
        <v>-11.620000000000003</v>
      </c>
      <c r="AF5" s="491">
        <v>7</v>
      </c>
      <c r="AG5" s="430">
        <v>16</v>
      </c>
      <c r="AH5" s="501">
        <v>-15.479999999999999</v>
      </c>
      <c r="AI5" s="491">
        <v>6</v>
      </c>
      <c r="AJ5" s="430">
        <v>14</v>
      </c>
      <c r="AK5" s="501">
        <v>-31.450000000000003</v>
      </c>
      <c r="AL5" s="491">
        <v>3</v>
      </c>
      <c r="AM5" s="430">
        <v>15</v>
      </c>
      <c r="AN5" s="501">
        <v>-12.499999999999998</v>
      </c>
      <c r="AO5" s="545">
        <v>5</v>
      </c>
      <c r="AP5" s="430">
        <v>13</v>
      </c>
      <c r="AQ5" s="501">
        <v>-13.75</v>
      </c>
      <c r="AR5" s="554">
        <v>4</v>
      </c>
      <c r="AS5" s="109">
        <v>16</v>
      </c>
      <c r="AT5" s="501">
        <v>-7.1000000000000014</v>
      </c>
      <c r="AU5" s="554">
        <v>2</v>
      </c>
      <c r="AV5" s="109">
        <v>6</v>
      </c>
      <c r="AW5" s="693"/>
      <c r="AX5" s="693"/>
      <c r="AY5" s="693"/>
      <c r="BA5" s="545"/>
    </row>
    <row r="6" spans="2:53" x14ac:dyDescent="0.25">
      <c r="B6" s="718"/>
      <c r="C6" s="735"/>
      <c r="D6" s="724" t="s">
        <v>16</v>
      </c>
      <c r="E6" s="724"/>
      <c r="G6" s="501">
        <v>-185.73999999999995</v>
      </c>
      <c r="H6" s="491">
        <v>5</v>
      </c>
      <c r="I6" s="430">
        <v>17</v>
      </c>
      <c r="J6" s="501">
        <v>-72.02000000000001</v>
      </c>
      <c r="K6" s="491">
        <v>7</v>
      </c>
      <c r="L6" s="430">
        <v>17</v>
      </c>
      <c r="M6" s="501">
        <v>-230.39999999999995</v>
      </c>
      <c r="N6" s="491">
        <v>2</v>
      </c>
      <c r="O6" s="430">
        <v>9</v>
      </c>
      <c r="P6" s="501">
        <v>-98.740000000000023</v>
      </c>
      <c r="Q6" s="491">
        <v>3</v>
      </c>
      <c r="R6" s="430">
        <v>11</v>
      </c>
      <c r="S6" s="501">
        <v>-79.489999999999952</v>
      </c>
      <c r="T6" s="491">
        <v>6</v>
      </c>
      <c r="U6" s="430">
        <v>13</v>
      </c>
      <c r="V6" s="501">
        <v>-9.580000000000009</v>
      </c>
      <c r="W6" s="491">
        <v>9</v>
      </c>
      <c r="X6" s="430">
        <v>17</v>
      </c>
      <c r="Y6" s="501">
        <v>-59.570000000000007</v>
      </c>
      <c r="Z6" s="491">
        <v>4</v>
      </c>
      <c r="AA6" s="430">
        <v>16</v>
      </c>
      <c r="AB6" s="501">
        <v>-79.88</v>
      </c>
      <c r="AC6" s="491">
        <v>3</v>
      </c>
      <c r="AD6" s="430">
        <v>11</v>
      </c>
      <c r="AE6" s="501">
        <v>-166.45999999999998</v>
      </c>
      <c r="AF6" s="491">
        <v>5</v>
      </c>
      <c r="AG6" s="430">
        <v>16</v>
      </c>
      <c r="AH6" s="501">
        <v>-9.2200000000000095</v>
      </c>
      <c r="AI6" s="491">
        <v>10</v>
      </c>
      <c r="AJ6" s="430">
        <v>16</v>
      </c>
      <c r="AK6" s="501">
        <v>-147.62000000000003</v>
      </c>
      <c r="AL6" s="491">
        <v>4</v>
      </c>
      <c r="AM6" s="430">
        <v>16</v>
      </c>
      <c r="AN6" s="501">
        <v>-183.86999999999998</v>
      </c>
      <c r="AO6" s="545">
        <v>2</v>
      </c>
      <c r="AP6" s="430">
        <v>14</v>
      </c>
      <c r="AQ6" s="501">
        <v>-177.35000000000002</v>
      </c>
      <c r="AR6" s="554">
        <v>4</v>
      </c>
      <c r="AS6" s="109">
        <v>16</v>
      </c>
      <c r="AT6" s="501">
        <v>-43.349999999999987</v>
      </c>
      <c r="AU6" s="554">
        <v>4</v>
      </c>
      <c r="AV6" s="109">
        <v>7</v>
      </c>
      <c r="AW6" s="693"/>
      <c r="AX6" s="693"/>
      <c r="AY6" s="693"/>
      <c r="BA6" s="545"/>
    </row>
    <row r="7" spans="2:53" x14ac:dyDescent="0.25">
      <c r="B7" s="718"/>
      <c r="C7" s="736"/>
      <c r="D7" s="725" t="s">
        <v>17</v>
      </c>
      <c r="E7" s="725"/>
      <c r="G7" s="501">
        <v>-118.32000000000001</v>
      </c>
      <c r="H7" s="491">
        <v>2</v>
      </c>
      <c r="I7" s="430">
        <v>17</v>
      </c>
      <c r="J7" s="501">
        <v>-37.660000000000004</v>
      </c>
      <c r="K7" s="491">
        <v>7</v>
      </c>
      <c r="L7" s="430">
        <v>17</v>
      </c>
      <c r="M7" s="501">
        <v>-38.53</v>
      </c>
      <c r="N7" s="491">
        <v>1</v>
      </c>
      <c r="O7" s="430">
        <v>9</v>
      </c>
      <c r="P7" s="501">
        <v>-58.32</v>
      </c>
      <c r="Q7" s="491">
        <v>1</v>
      </c>
      <c r="R7" s="430">
        <v>11</v>
      </c>
      <c r="S7" s="501">
        <v>-42.099999999999994</v>
      </c>
      <c r="T7" s="491">
        <v>4</v>
      </c>
      <c r="U7" s="430">
        <v>13</v>
      </c>
      <c r="V7" s="501">
        <v>-39.730000000000004</v>
      </c>
      <c r="W7" s="491">
        <v>6</v>
      </c>
      <c r="X7" s="430">
        <v>16</v>
      </c>
      <c r="Y7" s="501">
        <v>-28</v>
      </c>
      <c r="Z7" s="491">
        <v>5</v>
      </c>
      <c r="AA7" s="430">
        <v>16</v>
      </c>
      <c r="AB7" s="501">
        <v>-53.349999999999987</v>
      </c>
      <c r="AC7" s="491">
        <v>4</v>
      </c>
      <c r="AD7" s="430">
        <v>11</v>
      </c>
      <c r="AE7" s="501">
        <v>-101.3</v>
      </c>
      <c r="AF7" s="491">
        <v>3</v>
      </c>
      <c r="AG7" s="430">
        <v>16</v>
      </c>
      <c r="AH7" s="501">
        <v>-80.469999999999985</v>
      </c>
      <c r="AI7" s="491">
        <v>3</v>
      </c>
      <c r="AJ7" s="430">
        <v>16</v>
      </c>
      <c r="AK7" s="501">
        <v>-126.13000000000002</v>
      </c>
      <c r="AL7" s="491">
        <v>2</v>
      </c>
      <c r="AM7" s="430">
        <v>16</v>
      </c>
      <c r="AN7" s="501">
        <v>-89.61999999999999</v>
      </c>
      <c r="AO7" s="545">
        <v>3</v>
      </c>
      <c r="AP7" s="430">
        <v>14</v>
      </c>
      <c r="AQ7" s="501">
        <v>-120.83</v>
      </c>
      <c r="AR7" s="554">
        <v>2</v>
      </c>
      <c r="AS7" s="109">
        <v>16</v>
      </c>
      <c r="AT7" s="501">
        <v>-13.139999999999997</v>
      </c>
      <c r="AU7" s="554">
        <v>3</v>
      </c>
      <c r="AV7" s="109">
        <v>7</v>
      </c>
      <c r="AW7" s="693"/>
      <c r="AX7" s="693"/>
      <c r="AY7" s="693"/>
      <c r="BA7" s="545"/>
    </row>
    <row r="8" spans="2:53" x14ac:dyDescent="0.25">
      <c r="B8" s="718"/>
      <c r="C8" s="726" t="s">
        <v>18</v>
      </c>
      <c r="D8" s="724" t="s">
        <v>14</v>
      </c>
      <c r="E8" s="724"/>
      <c r="G8" s="501">
        <v>-43.039999999999992</v>
      </c>
      <c r="H8" s="491">
        <v>6</v>
      </c>
      <c r="I8" s="430">
        <v>17</v>
      </c>
      <c r="J8" s="501">
        <v>-44.699999999999996</v>
      </c>
      <c r="K8" s="491">
        <v>5</v>
      </c>
      <c r="L8" s="430">
        <v>17</v>
      </c>
      <c r="M8" s="501">
        <v>-25.98</v>
      </c>
      <c r="N8" s="491">
        <v>3</v>
      </c>
      <c r="O8" s="430">
        <v>12</v>
      </c>
      <c r="P8" s="501">
        <v>-20.55</v>
      </c>
      <c r="Q8" s="491">
        <v>4</v>
      </c>
      <c r="R8" s="430">
        <v>14</v>
      </c>
      <c r="S8" s="501">
        <v>-6.7099999999999964</v>
      </c>
      <c r="T8" s="491">
        <v>8</v>
      </c>
      <c r="U8" s="430">
        <v>13</v>
      </c>
      <c r="V8" s="501">
        <v>-59.710000000000008</v>
      </c>
      <c r="W8" s="491">
        <v>5</v>
      </c>
      <c r="X8" s="430">
        <v>18</v>
      </c>
      <c r="Y8" s="501">
        <v>-66.670000000000016</v>
      </c>
      <c r="Z8" s="491">
        <v>5</v>
      </c>
      <c r="AA8" s="430">
        <v>17</v>
      </c>
      <c r="AB8" s="501">
        <v>-56.08</v>
      </c>
      <c r="AC8" s="491">
        <v>0</v>
      </c>
      <c r="AD8" s="430">
        <v>10</v>
      </c>
      <c r="AE8" s="501">
        <v>-34.220000000000006</v>
      </c>
      <c r="AF8" s="491">
        <v>5</v>
      </c>
      <c r="AG8" s="430">
        <v>17</v>
      </c>
      <c r="AH8" s="501">
        <v>-34.74</v>
      </c>
      <c r="AI8" s="491">
        <v>3</v>
      </c>
      <c r="AJ8" s="430">
        <v>15</v>
      </c>
      <c r="AK8" s="501">
        <v>-46.250000000000007</v>
      </c>
      <c r="AL8" s="491">
        <v>3</v>
      </c>
      <c r="AM8" s="430">
        <v>16</v>
      </c>
      <c r="AN8" s="501">
        <v>-28.180000000000007</v>
      </c>
      <c r="AO8" s="545">
        <v>5</v>
      </c>
      <c r="AP8" s="430">
        <v>15</v>
      </c>
      <c r="AQ8" s="501">
        <v>-41.9</v>
      </c>
      <c r="AR8" s="554">
        <v>5</v>
      </c>
      <c r="AS8" s="109">
        <v>17</v>
      </c>
      <c r="AT8" s="501">
        <v>-19.600000000000001</v>
      </c>
      <c r="AU8" s="554">
        <v>1</v>
      </c>
      <c r="AV8" s="109">
        <v>7</v>
      </c>
      <c r="AW8" s="693"/>
      <c r="AX8" s="693"/>
      <c r="AY8" s="693"/>
      <c r="BA8" s="545"/>
    </row>
    <row r="9" spans="2:53" x14ac:dyDescent="0.25">
      <c r="B9" s="718"/>
      <c r="C9" s="727"/>
      <c r="D9" s="724" t="s">
        <v>7</v>
      </c>
      <c r="E9" s="724"/>
      <c r="G9" s="501">
        <v>-4.8499999999999996</v>
      </c>
      <c r="H9" s="491">
        <v>7</v>
      </c>
      <c r="I9" s="430">
        <v>17</v>
      </c>
      <c r="J9" s="501">
        <v>-27.23</v>
      </c>
      <c r="K9" s="491">
        <v>6</v>
      </c>
      <c r="L9" s="430">
        <v>17</v>
      </c>
      <c r="M9" s="501">
        <v>-12.98</v>
      </c>
      <c r="N9" s="491">
        <v>6</v>
      </c>
      <c r="O9" s="430">
        <v>12</v>
      </c>
      <c r="P9" s="501">
        <v>-11.040000000000003</v>
      </c>
      <c r="Q9" s="491">
        <v>6</v>
      </c>
      <c r="R9" s="430">
        <v>14</v>
      </c>
      <c r="S9" s="501">
        <v>-0.42000000000000082</v>
      </c>
      <c r="T9" s="491">
        <v>8</v>
      </c>
      <c r="U9" s="430">
        <v>13</v>
      </c>
      <c r="V9" s="501">
        <v>-24.039999999999992</v>
      </c>
      <c r="W9" s="491">
        <v>8</v>
      </c>
      <c r="X9" s="430">
        <v>18</v>
      </c>
      <c r="Y9" s="501">
        <v>-7.2100000000000026</v>
      </c>
      <c r="Z9" s="491">
        <v>9</v>
      </c>
      <c r="AA9" s="430">
        <v>17</v>
      </c>
      <c r="AB9" s="501">
        <v>-27.979999999999997</v>
      </c>
      <c r="AC9" s="491">
        <v>2</v>
      </c>
      <c r="AD9" s="430">
        <v>10</v>
      </c>
      <c r="AE9" s="501">
        <v>-0.70000000000000018</v>
      </c>
      <c r="AF9" s="491">
        <v>9</v>
      </c>
      <c r="AG9" s="430">
        <v>17</v>
      </c>
      <c r="AH9" s="501">
        <v>-19.790000000000006</v>
      </c>
      <c r="AI9" s="491">
        <v>6</v>
      </c>
      <c r="AJ9" s="430">
        <v>15</v>
      </c>
      <c r="AK9" s="501">
        <v>-14.980000000000004</v>
      </c>
      <c r="AL9" s="491">
        <v>4</v>
      </c>
      <c r="AM9" s="430">
        <v>16</v>
      </c>
      <c r="AN9" s="501">
        <v>-29.020000000000003</v>
      </c>
      <c r="AO9" s="545">
        <v>4</v>
      </c>
      <c r="AP9" s="430">
        <v>15</v>
      </c>
      <c r="AQ9" s="501">
        <v>-21.089999999999996</v>
      </c>
      <c r="AR9" s="554">
        <v>7</v>
      </c>
      <c r="AS9" s="109">
        <v>17</v>
      </c>
      <c r="AT9" s="501">
        <v>-7.6000000000000005</v>
      </c>
      <c r="AU9" s="554">
        <v>3</v>
      </c>
      <c r="AV9" s="109">
        <v>7</v>
      </c>
      <c r="AW9" s="693"/>
      <c r="AX9" s="693"/>
      <c r="AY9" s="693"/>
      <c r="BA9" s="545"/>
    </row>
    <row r="10" spans="2:53" x14ac:dyDescent="0.25">
      <c r="B10" s="718"/>
      <c r="C10" s="727"/>
      <c r="D10" s="724" t="s">
        <v>16</v>
      </c>
      <c r="E10" s="724"/>
      <c r="G10" s="501">
        <v>-51.109999999999978</v>
      </c>
      <c r="H10" s="491">
        <v>9</v>
      </c>
      <c r="I10" s="430">
        <v>17</v>
      </c>
      <c r="J10" s="501">
        <v>19.929999999999986</v>
      </c>
      <c r="K10" s="444">
        <v>7</v>
      </c>
      <c r="L10" s="110">
        <v>17</v>
      </c>
      <c r="M10" s="501">
        <v>-59.089999999999996</v>
      </c>
      <c r="N10" s="491">
        <v>6</v>
      </c>
      <c r="O10" s="430">
        <v>12</v>
      </c>
      <c r="P10" s="501">
        <v>-55.139999999999958</v>
      </c>
      <c r="Q10" s="491">
        <v>6</v>
      </c>
      <c r="R10" s="430">
        <v>14</v>
      </c>
      <c r="S10" s="501">
        <v>-202.04999999999995</v>
      </c>
      <c r="T10" s="491">
        <v>1</v>
      </c>
      <c r="U10" s="430">
        <v>13</v>
      </c>
      <c r="V10" s="501">
        <v>-129.51999999999998</v>
      </c>
      <c r="W10" s="491">
        <v>6</v>
      </c>
      <c r="X10" s="430">
        <v>18</v>
      </c>
      <c r="Y10" s="501">
        <v>-96.33</v>
      </c>
      <c r="Z10" s="491">
        <v>5</v>
      </c>
      <c r="AA10" s="430">
        <v>17</v>
      </c>
      <c r="AB10" s="501">
        <v>82.65</v>
      </c>
      <c r="AC10" s="491">
        <v>6</v>
      </c>
      <c r="AD10" s="430">
        <v>10</v>
      </c>
      <c r="AE10" s="501">
        <v>-197.25999999999996</v>
      </c>
      <c r="AF10" s="491">
        <v>6</v>
      </c>
      <c r="AG10" s="430">
        <v>17</v>
      </c>
      <c r="AH10" s="501">
        <v>-114.24000000000001</v>
      </c>
      <c r="AI10" s="491">
        <v>7</v>
      </c>
      <c r="AJ10" s="430">
        <v>15</v>
      </c>
      <c r="AK10" s="501">
        <v>-62.65</v>
      </c>
      <c r="AL10" s="491">
        <v>5</v>
      </c>
      <c r="AM10" s="430">
        <v>16</v>
      </c>
      <c r="AN10" s="501">
        <v>-169.92999999999995</v>
      </c>
      <c r="AO10" s="545">
        <v>6</v>
      </c>
      <c r="AP10" s="430">
        <v>15</v>
      </c>
      <c r="AQ10" s="501">
        <v>-210.27</v>
      </c>
      <c r="AR10" s="554">
        <v>5</v>
      </c>
      <c r="AS10" s="109">
        <v>17</v>
      </c>
      <c r="AT10" s="501">
        <v>-63.370000000000005</v>
      </c>
      <c r="AU10" s="554">
        <v>3</v>
      </c>
      <c r="AV10" s="109">
        <v>7</v>
      </c>
      <c r="AW10" s="693"/>
      <c r="AX10" s="693"/>
      <c r="AY10" s="693"/>
      <c r="BA10" s="545"/>
    </row>
    <row r="11" spans="2:53" x14ac:dyDescent="0.25">
      <c r="B11" s="718"/>
      <c r="C11" s="728"/>
      <c r="D11" s="725" t="s">
        <v>17</v>
      </c>
      <c r="E11" s="725"/>
      <c r="G11" s="501">
        <v>-22.65</v>
      </c>
      <c r="H11" s="491">
        <v>6</v>
      </c>
      <c r="I11" s="430">
        <v>17</v>
      </c>
      <c r="J11" s="501">
        <v>-41.720000000000006</v>
      </c>
      <c r="K11" s="491">
        <v>5</v>
      </c>
      <c r="L11" s="430">
        <v>17</v>
      </c>
      <c r="M11" s="501">
        <v>-54.780000000000008</v>
      </c>
      <c r="N11" s="491">
        <v>3</v>
      </c>
      <c r="O11" s="430">
        <v>12</v>
      </c>
      <c r="P11" s="501">
        <v>-65.88</v>
      </c>
      <c r="Q11" s="491">
        <v>5</v>
      </c>
      <c r="R11" s="430">
        <v>14</v>
      </c>
      <c r="S11" s="501">
        <v>8.6899999999999977</v>
      </c>
      <c r="T11" s="444">
        <v>9</v>
      </c>
      <c r="U11" s="110">
        <v>13</v>
      </c>
      <c r="V11" s="501">
        <v>-212.22</v>
      </c>
      <c r="W11" s="491">
        <v>4</v>
      </c>
      <c r="X11" s="430">
        <v>18</v>
      </c>
      <c r="Y11" s="501">
        <v>-115.82999999999998</v>
      </c>
      <c r="Z11" s="491">
        <v>8</v>
      </c>
      <c r="AA11" s="430">
        <v>17</v>
      </c>
      <c r="AB11" s="501">
        <v>-103.48999999999997</v>
      </c>
      <c r="AC11" s="491">
        <v>3</v>
      </c>
      <c r="AD11" s="430">
        <v>10</v>
      </c>
      <c r="AE11" s="501">
        <v>-70.94</v>
      </c>
      <c r="AF11" s="491">
        <v>6</v>
      </c>
      <c r="AG11" s="430">
        <v>17</v>
      </c>
      <c r="AH11" s="501">
        <v>-93.46999999999997</v>
      </c>
      <c r="AI11" s="491">
        <v>3</v>
      </c>
      <c r="AJ11" s="430">
        <v>15</v>
      </c>
      <c r="AK11" s="501">
        <v>-73.239999999999995</v>
      </c>
      <c r="AL11" s="491">
        <v>4</v>
      </c>
      <c r="AM11" s="430">
        <v>16</v>
      </c>
      <c r="AN11" s="501">
        <v>-103.36</v>
      </c>
      <c r="AO11" s="545">
        <v>3</v>
      </c>
      <c r="AP11" s="430">
        <v>15</v>
      </c>
      <c r="AQ11" s="501">
        <v>-58.339999999999996</v>
      </c>
      <c r="AR11" s="554">
        <v>6</v>
      </c>
      <c r="AS11" s="109">
        <v>17</v>
      </c>
      <c r="AT11" s="501">
        <v>-51.09</v>
      </c>
      <c r="AU11" s="554">
        <v>1</v>
      </c>
      <c r="AV11" s="109">
        <v>7</v>
      </c>
      <c r="AW11" s="693"/>
      <c r="AX11" s="693"/>
      <c r="AY11" s="693"/>
      <c r="BA11" s="545"/>
    </row>
    <row r="12" spans="2:53" x14ac:dyDescent="0.25">
      <c r="B12" s="718"/>
      <c r="C12" s="721" t="s">
        <v>10</v>
      </c>
      <c r="D12" s="724" t="s">
        <v>14</v>
      </c>
      <c r="E12" s="724"/>
      <c r="G12" s="501">
        <v>-27.810000000000009</v>
      </c>
      <c r="H12" s="491">
        <v>5</v>
      </c>
      <c r="I12" s="430">
        <v>17</v>
      </c>
      <c r="J12" s="501">
        <v>-20.119999999999997</v>
      </c>
      <c r="K12" s="491">
        <v>5</v>
      </c>
      <c r="L12" s="430">
        <v>18</v>
      </c>
      <c r="M12" s="501">
        <v>-3.0700000000000003</v>
      </c>
      <c r="N12" s="491">
        <v>6</v>
      </c>
      <c r="O12" s="430">
        <v>10</v>
      </c>
      <c r="P12" s="501">
        <v>-2.6099999999999977</v>
      </c>
      <c r="Q12" s="491">
        <v>5</v>
      </c>
      <c r="R12" s="430">
        <v>10</v>
      </c>
      <c r="S12" s="501">
        <v>-20.36</v>
      </c>
      <c r="T12" s="491">
        <v>5</v>
      </c>
      <c r="U12" s="430">
        <v>15</v>
      </c>
      <c r="V12" s="501">
        <v>-47.169999999999995</v>
      </c>
      <c r="W12" s="491">
        <v>6</v>
      </c>
      <c r="X12" s="430">
        <v>19</v>
      </c>
      <c r="Y12" s="501">
        <v>-26.48</v>
      </c>
      <c r="Z12" s="491">
        <v>9</v>
      </c>
      <c r="AA12" s="430">
        <v>18</v>
      </c>
      <c r="AB12" s="501">
        <v>-37.01</v>
      </c>
      <c r="AC12" s="491">
        <v>2</v>
      </c>
      <c r="AD12" s="430">
        <v>13</v>
      </c>
      <c r="AE12" s="501">
        <v>-25.849999999999994</v>
      </c>
      <c r="AF12" s="491">
        <v>8</v>
      </c>
      <c r="AG12" s="430">
        <v>16</v>
      </c>
      <c r="AH12" s="501">
        <v>-23.619999999999987</v>
      </c>
      <c r="AI12" s="491">
        <v>5</v>
      </c>
      <c r="AJ12" s="430">
        <v>16</v>
      </c>
      <c r="AK12" s="501">
        <v>-49.37</v>
      </c>
      <c r="AL12" s="491">
        <v>3</v>
      </c>
      <c r="AM12" s="430">
        <v>18</v>
      </c>
      <c r="AN12" s="501">
        <v>-35.99</v>
      </c>
      <c r="AO12" s="545">
        <v>3</v>
      </c>
      <c r="AP12" s="430">
        <v>15</v>
      </c>
      <c r="AQ12" s="501">
        <v>-42.26</v>
      </c>
      <c r="AR12" s="554">
        <v>5</v>
      </c>
      <c r="AS12" s="109">
        <v>18</v>
      </c>
      <c r="AT12" s="501">
        <v>-10.629999999999999</v>
      </c>
      <c r="AU12" s="554">
        <v>3</v>
      </c>
      <c r="AV12" s="109">
        <v>7</v>
      </c>
      <c r="AW12" s="693"/>
      <c r="AX12" s="693"/>
      <c r="AY12" s="693"/>
      <c r="BA12" s="545"/>
    </row>
    <row r="13" spans="2:53" x14ac:dyDescent="0.25">
      <c r="B13" s="718"/>
      <c r="C13" s="722"/>
      <c r="D13" s="724" t="s">
        <v>7</v>
      </c>
      <c r="E13" s="724"/>
      <c r="G13" s="501">
        <v>-7.1300000000000017</v>
      </c>
      <c r="H13" s="491">
        <v>8</v>
      </c>
      <c r="I13" s="430">
        <v>17</v>
      </c>
      <c r="J13" s="501">
        <v>-14.6</v>
      </c>
      <c r="K13" s="491">
        <v>6</v>
      </c>
      <c r="L13" s="430">
        <v>18</v>
      </c>
      <c r="M13" s="501">
        <v>-5.6799999999999988</v>
      </c>
      <c r="N13" s="491">
        <v>3</v>
      </c>
      <c r="O13" s="430">
        <v>10</v>
      </c>
      <c r="P13" s="501">
        <v>-7.37</v>
      </c>
      <c r="Q13" s="491">
        <v>3</v>
      </c>
      <c r="R13" s="430">
        <v>10</v>
      </c>
      <c r="S13" s="501">
        <v>-20.580000000000002</v>
      </c>
      <c r="T13" s="491">
        <v>8</v>
      </c>
      <c r="U13" s="430">
        <v>15</v>
      </c>
      <c r="V13" s="501">
        <v>-26.290000000000003</v>
      </c>
      <c r="W13" s="491">
        <v>10</v>
      </c>
      <c r="X13" s="430">
        <v>19</v>
      </c>
      <c r="Y13" s="501">
        <v>-33.779999999999994</v>
      </c>
      <c r="Z13" s="491">
        <v>8</v>
      </c>
      <c r="AA13" s="430">
        <v>17</v>
      </c>
      <c r="AB13" s="501">
        <v>-8.8999999999999986</v>
      </c>
      <c r="AC13" s="491">
        <v>5</v>
      </c>
      <c r="AD13" s="430">
        <v>13</v>
      </c>
      <c r="AE13" s="501">
        <v>-31.770000000000003</v>
      </c>
      <c r="AF13" s="491">
        <v>4</v>
      </c>
      <c r="AG13" s="430">
        <v>16</v>
      </c>
      <c r="AH13" s="501">
        <v>-16.240000000000002</v>
      </c>
      <c r="AI13" s="491">
        <v>4</v>
      </c>
      <c r="AJ13" s="430">
        <v>16</v>
      </c>
      <c r="AK13" s="501">
        <v>-37.58</v>
      </c>
      <c r="AL13" s="491">
        <v>4</v>
      </c>
      <c r="AM13" s="430">
        <v>18</v>
      </c>
      <c r="AN13" s="501">
        <v>-32.190000000000005</v>
      </c>
      <c r="AO13" s="545">
        <v>4</v>
      </c>
      <c r="AP13" s="430">
        <v>15</v>
      </c>
      <c r="AQ13" s="501">
        <v>-3.7700000000000022</v>
      </c>
      <c r="AR13" s="554">
        <v>11</v>
      </c>
      <c r="AS13" s="109">
        <v>18</v>
      </c>
      <c r="AT13" s="501">
        <v>-8.6799999999999979</v>
      </c>
      <c r="AU13" s="554">
        <v>1</v>
      </c>
      <c r="AV13" s="109">
        <v>7</v>
      </c>
      <c r="AW13" s="693"/>
      <c r="AX13" s="693"/>
      <c r="AY13" s="693"/>
      <c r="BA13" s="545"/>
    </row>
    <row r="14" spans="2:53" x14ac:dyDescent="0.25">
      <c r="B14" s="718"/>
      <c r="C14" s="722"/>
      <c r="D14" s="724" t="s">
        <v>16</v>
      </c>
      <c r="E14" s="724"/>
      <c r="G14" s="501">
        <v>7.7800000000000189</v>
      </c>
      <c r="H14" s="444">
        <v>9</v>
      </c>
      <c r="I14" s="110">
        <v>17</v>
      </c>
      <c r="J14" s="501">
        <v>-83.4</v>
      </c>
      <c r="K14" s="491">
        <v>6</v>
      </c>
      <c r="L14" s="430">
        <v>18</v>
      </c>
      <c r="M14" s="501">
        <v>-47.939999999999984</v>
      </c>
      <c r="N14" s="491">
        <v>7</v>
      </c>
      <c r="O14" s="430">
        <v>10</v>
      </c>
      <c r="P14" s="501">
        <v>26</v>
      </c>
      <c r="Q14" s="444">
        <v>6</v>
      </c>
      <c r="R14" s="110">
        <v>10</v>
      </c>
      <c r="S14" s="501">
        <v>-43.959999999999994</v>
      </c>
      <c r="T14" s="491">
        <v>9</v>
      </c>
      <c r="U14" s="430">
        <v>15</v>
      </c>
      <c r="V14" s="501">
        <v>-173.60000000000002</v>
      </c>
      <c r="W14" s="491">
        <v>5</v>
      </c>
      <c r="X14" s="430">
        <v>19</v>
      </c>
      <c r="Y14" s="501">
        <v>-140.92999999999998</v>
      </c>
      <c r="Z14" s="491">
        <v>7</v>
      </c>
      <c r="AA14" s="430">
        <v>18</v>
      </c>
      <c r="AB14" s="501">
        <v>-65.989999999999995</v>
      </c>
      <c r="AC14" s="491">
        <v>4</v>
      </c>
      <c r="AD14" s="430">
        <v>13</v>
      </c>
      <c r="AE14" s="501">
        <v>-96.78</v>
      </c>
      <c r="AF14" s="491">
        <v>7</v>
      </c>
      <c r="AG14" s="430">
        <v>16</v>
      </c>
      <c r="AH14" s="501">
        <v>-129.85000000000002</v>
      </c>
      <c r="AI14" s="491">
        <v>7</v>
      </c>
      <c r="AJ14" s="430">
        <v>16</v>
      </c>
      <c r="AK14" s="501">
        <v>-136.06</v>
      </c>
      <c r="AL14" s="491">
        <v>7</v>
      </c>
      <c r="AM14" s="430">
        <v>18</v>
      </c>
      <c r="AN14" s="501">
        <v>-124.25</v>
      </c>
      <c r="AO14" s="545">
        <v>6</v>
      </c>
      <c r="AP14" s="430">
        <v>15</v>
      </c>
      <c r="AQ14" s="501">
        <v>-95.509999999999991</v>
      </c>
      <c r="AR14" s="554">
        <v>8</v>
      </c>
      <c r="AS14" s="109">
        <v>18</v>
      </c>
      <c r="AT14" s="501">
        <v>53.960000000000008</v>
      </c>
      <c r="AU14" s="554">
        <v>5</v>
      </c>
      <c r="AV14" s="109">
        <v>7</v>
      </c>
      <c r="AW14" s="693"/>
      <c r="AX14" s="693"/>
      <c r="AY14" s="693"/>
      <c r="BA14" s="545"/>
    </row>
    <row r="15" spans="2:53" x14ac:dyDescent="0.25">
      <c r="B15" s="718"/>
      <c r="C15" s="723"/>
      <c r="D15" s="725" t="s">
        <v>17</v>
      </c>
      <c r="E15" s="725"/>
      <c r="G15" s="501">
        <v>-44.789999999999992</v>
      </c>
      <c r="H15" s="491">
        <v>5</v>
      </c>
      <c r="I15" s="430">
        <v>17</v>
      </c>
      <c r="J15" s="501">
        <v>-49.480000000000004</v>
      </c>
      <c r="K15" s="491">
        <v>7</v>
      </c>
      <c r="L15" s="430">
        <v>18</v>
      </c>
      <c r="M15" s="501">
        <v>-6.77</v>
      </c>
      <c r="N15" s="491">
        <v>7</v>
      </c>
      <c r="O15" s="430">
        <v>10</v>
      </c>
      <c r="P15" s="501">
        <v>-1.3699999999999974</v>
      </c>
      <c r="Q15" s="491">
        <v>4</v>
      </c>
      <c r="R15" s="430">
        <v>10</v>
      </c>
      <c r="S15" s="501">
        <v>-63.14</v>
      </c>
      <c r="T15" s="491">
        <v>5</v>
      </c>
      <c r="U15" s="430">
        <v>15</v>
      </c>
      <c r="V15" s="501">
        <v>-57.89</v>
      </c>
      <c r="W15" s="491">
        <v>10</v>
      </c>
      <c r="X15" s="430">
        <v>19</v>
      </c>
      <c r="Y15" s="501">
        <v>-127.19999999999999</v>
      </c>
      <c r="Z15" s="491">
        <v>4</v>
      </c>
      <c r="AA15" s="430">
        <v>18</v>
      </c>
      <c r="AB15" s="501">
        <v>-55.03</v>
      </c>
      <c r="AC15" s="491">
        <v>3</v>
      </c>
      <c r="AD15" s="430">
        <v>13</v>
      </c>
      <c r="AE15" s="501">
        <v>-49.49</v>
      </c>
      <c r="AF15" s="491">
        <v>7</v>
      </c>
      <c r="AG15" s="430">
        <v>16</v>
      </c>
      <c r="AH15" s="501">
        <v>-6.8899999999999988</v>
      </c>
      <c r="AI15" s="491">
        <v>6</v>
      </c>
      <c r="AJ15" s="430">
        <v>16</v>
      </c>
      <c r="AK15" s="501">
        <v>-72.45</v>
      </c>
      <c r="AL15" s="491">
        <v>6</v>
      </c>
      <c r="AM15" s="430">
        <v>18</v>
      </c>
      <c r="AN15" s="501">
        <v>-109.85999999999999</v>
      </c>
      <c r="AO15" s="545">
        <v>2</v>
      </c>
      <c r="AP15" s="430">
        <v>15</v>
      </c>
      <c r="AQ15" s="501">
        <v>-14.760000000000002</v>
      </c>
      <c r="AR15" s="554">
        <v>10</v>
      </c>
      <c r="AS15" s="109">
        <v>18</v>
      </c>
      <c r="AT15" s="501">
        <v>-33.35</v>
      </c>
      <c r="AU15" s="554">
        <v>2</v>
      </c>
      <c r="AV15" s="109">
        <v>7</v>
      </c>
      <c r="AW15" s="693"/>
      <c r="AX15" s="693"/>
      <c r="AY15" s="693"/>
      <c r="BA15" s="545"/>
    </row>
    <row r="16" spans="2:53" x14ac:dyDescent="0.25">
      <c r="B16" s="718"/>
      <c r="C16" s="743" t="s">
        <v>8</v>
      </c>
      <c r="D16" s="724" t="s">
        <v>14</v>
      </c>
      <c r="E16" s="724"/>
      <c r="G16" s="501">
        <v>-11.290000000000001</v>
      </c>
      <c r="H16" s="491">
        <v>8</v>
      </c>
      <c r="I16" s="430">
        <v>17</v>
      </c>
      <c r="J16" s="501">
        <v>-47.289999999999992</v>
      </c>
      <c r="K16" s="491">
        <v>3</v>
      </c>
      <c r="L16" s="430">
        <v>17</v>
      </c>
      <c r="M16" s="501">
        <v>-23.710000000000004</v>
      </c>
      <c r="N16" s="491">
        <v>2</v>
      </c>
      <c r="O16" s="430">
        <v>10</v>
      </c>
      <c r="P16" s="501">
        <v>-27.380000000000006</v>
      </c>
      <c r="Q16" s="491">
        <v>2</v>
      </c>
      <c r="R16" s="430">
        <v>10</v>
      </c>
      <c r="S16" s="501">
        <v>-75.760000000000005</v>
      </c>
      <c r="T16" s="491">
        <v>3</v>
      </c>
      <c r="U16" s="430">
        <v>13</v>
      </c>
      <c r="V16" s="501">
        <v>-62.140000000000008</v>
      </c>
      <c r="W16" s="491">
        <v>5</v>
      </c>
      <c r="X16" s="430">
        <v>18</v>
      </c>
      <c r="Y16" s="501">
        <v>-36.370000000000005</v>
      </c>
      <c r="Z16" s="491">
        <v>9</v>
      </c>
      <c r="AA16" s="430">
        <v>17</v>
      </c>
      <c r="AB16" s="501">
        <v>11.120000000000001</v>
      </c>
      <c r="AC16" s="491">
        <v>6</v>
      </c>
      <c r="AD16" s="430">
        <v>11</v>
      </c>
      <c r="AE16" s="501">
        <v>-38.010000000000005</v>
      </c>
      <c r="AF16" s="491">
        <v>7</v>
      </c>
      <c r="AG16" s="430">
        <v>16</v>
      </c>
      <c r="AH16" s="501">
        <v>-72.95</v>
      </c>
      <c r="AI16" s="491">
        <v>3</v>
      </c>
      <c r="AJ16" s="430">
        <v>16</v>
      </c>
      <c r="AK16" s="501">
        <v>-50.840000000000011</v>
      </c>
      <c r="AL16" s="491">
        <v>4</v>
      </c>
      <c r="AM16" s="430">
        <v>16</v>
      </c>
      <c r="AN16" s="501">
        <v>-32.430000000000007</v>
      </c>
      <c r="AO16" s="545">
        <v>4</v>
      </c>
      <c r="AP16" s="430">
        <v>15</v>
      </c>
      <c r="AQ16" s="501">
        <v>-70.16</v>
      </c>
      <c r="AR16" s="554">
        <v>6</v>
      </c>
      <c r="AS16" s="109">
        <v>17</v>
      </c>
      <c r="AT16" s="501">
        <v>0.25999999999999801</v>
      </c>
      <c r="AU16" s="554">
        <v>3</v>
      </c>
      <c r="AV16" s="109">
        <v>7</v>
      </c>
      <c r="AW16" s="693"/>
      <c r="AX16" s="693"/>
      <c r="AY16" s="693"/>
      <c r="BA16" s="545"/>
    </row>
    <row r="17" spans="2:53" x14ac:dyDescent="0.25">
      <c r="B17" s="718"/>
      <c r="C17" s="744"/>
      <c r="D17" s="724" t="s">
        <v>7</v>
      </c>
      <c r="E17" s="724"/>
      <c r="G17" s="501">
        <v>-18.02</v>
      </c>
      <c r="H17" s="491">
        <v>8</v>
      </c>
      <c r="I17" s="430">
        <v>17</v>
      </c>
      <c r="J17" s="501">
        <v>-6.4699999999999989</v>
      </c>
      <c r="K17" s="491">
        <v>6</v>
      </c>
      <c r="L17" s="430">
        <v>17</v>
      </c>
      <c r="M17" s="501">
        <v>-12.819999999999999</v>
      </c>
      <c r="N17" s="491">
        <v>3</v>
      </c>
      <c r="O17" s="430">
        <v>10</v>
      </c>
      <c r="P17" s="501">
        <v>-6.6</v>
      </c>
      <c r="Q17" s="491">
        <v>4</v>
      </c>
      <c r="R17" s="430">
        <v>10</v>
      </c>
      <c r="S17" s="501">
        <v>-20.259999999999998</v>
      </c>
      <c r="T17" s="491">
        <v>4</v>
      </c>
      <c r="U17" s="430">
        <v>12</v>
      </c>
      <c r="V17" s="501">
        <v>-30.770000000000007</v>
      </c>
      <c r="W17" s="491">
        <v>5</v>
      </c>
      <c r="X17" s="430">
        <v>17</v>
      </c>
      <c r="Y17" s="501">
        <v>-19.819999999999997</v>
      </c>
      <c r="Z17" s="491">
        <v>8</v>
      </c>
      <c r="AA17" s="430">
        <v>15</v>
      </c>
      <c r="AB17" s="501">
        <v>-6.1800000000000006</v>
      </c>
      <c r="AC17" s="491">
        <v>4</v>
      </c>
      <c r="AD17" s="430">
        <v>10</v>
      </c>
      <c r="AE17" s="501">
        <v>-33.260000000000005</v>
      </c>
      <c r="AF17" s="491">
        <v>5</v>
      </c>
      <c r="AG17" s="430">
        <v>16</v>
      </c>
      <c r="AH17" s="501">
        <v>13.059999999999999</v>
      </c>
      <c r="AI17" s="491">
        <v>11</v>
      </c>
      <c r="AJ17" s="430">
        <v>16</v>
      </c>
      <c r="AK17" s="501">
        <v>-33.769999999999996</v>
      </c>
      <c r="AL17" s="491">
        <v>4</v>
      </c>
      <c r="AM17" s="430">
        <v>16</v>
      </c>
      <c r="AN17" s="501">
        <v>-31.98</v>
      </c>
      <c r="AO17" s="545">
        <v>6</v>
      </c>
      <c r="AP17" s="430">
        <v>15</v>
      </c>
      <c r="AQ17" s="501">
        <v>-8.4599999999999991</v>
      </c>
      <c r="AR17" s="554">
        <v>5</v>
      </c>
      <c r="AS17" s="109">
        <v>16</v>
      </c>
      <c r="AT17" s="501">
        <v>0.27000000000000135</v>
      </c>
      <c r="AU17" s="554">
        <v>3</v>
      </c>
      <c r="AV17" s="109">
        <v>7</v>
      </c>
      <c r="AW17" s="693"/>
      <c r="AX17" s="693"/>
      <c r="AY17" s="693"/>
      <c r="BA17" s="545"/>
    </row>
    <row r="18" spans="2:53" x14ac:dyDescent="0.25">
      <c r="B18" s="718"/>
      <c r="C18" s="744"/>
      <c r="D18" s="724" t="s">
        <v>16</v>
      </c>
      <c r="E18" s="724"/>
      <c r="G18" s="501">
        <v>45.210000000000008</v>
      </c>
      <c r="H18" s="444">
        <v>8</v>
      </c>
      <c r="I18" s="110">
        <v>17</v>
      </c>
      <c r="J18" s="501">
        <v>-70.79000000000002</v>
      </c>
      <c r="K18" s="491">
        <v>8</v>
      </c>
      <c r="L18" s="430">
        <v>17</v>
      </c>
      <c r="M18" s="501">
        <v>-104.64</v>
      </c>
      <c r="N18" s="491">
        <v>3</v>
      </c>
      <c r="O18" s="430">
        <v>10</v>
      </c>
      <c r="P18" s="501">
        <v>42.199999999999996</v>
      </c>
      <c r="Q18" s="444">
        <v>7</v>
      </c>
      <c r="R18" s="110">
        <v>10</v>
      </c>
      <c r="S18" s="501">
        <v>21.169999999999991</v>
      </c>
      <c r="T18" s="444">
        <v>7</v>
      </c>
      <c r="U18" s="110">
        <v>13</v>
      </c>
      <c r="V18" s="501">
        <v>-178.75999999999996</v>
      </c>
      <c r="W18" s="491">
        <v>4</v>
      </c>
      <c r="X18" s="430">
        <v>18</v>
      </c>
      <c r="Y18" s="501">
        <v>-68.759999999999977</v>
      </c>
      <c r="Z18" s="491">
        <v>5</v>
      </c>
      <c r="AA18" s="430">
        <v>16</v>
      </c>
      <c r="AB18" s="501">
        <v>-105.42</v>
      </c>
      <c r="AC18" s="491">
        <v>4</v>
      </c>
      <c r="AD18" s="430">
        <v>11</v>
      </c>
      <c r="AE18" s="501">
        <v>-197.57</v>
      </c>
      <c r="AF18" s="491">
        <v>2</v>
      </c>
      <c r="AG18" s="430">
        <v>16</v>
      </c>
      <c r="AH18" s="501">
        <v>-68.36999999999999</v>
      </c>
      <c r="AI18" s="491">
        <v>8</v>
      </c>
      <c r="AJ18" s="430">
        <v>16</v>
      </c>
      <c r="AK18" s="501">
        <v>-223.51999999999998</v>
      </c>
      <c r="AL18" s="491">
        <v>4</v>
      </c>
      <c r="AM18" s="430">
        <v>16</v>
      </c>
      <c r="AN18" s="501">
        <v>-107.02</v>
      </c>
      <c r="AO18" s="545">
        <v>5</v>
      </c>
      <c r="AP18" s="430">
        <v>15</v>
      </c>
      <c r="AQ18" s="501">
        <v>-99.740000000000009</v>
      </c>
      <c r="AR18" s="554">
        <v>6</v>
      </c>
      <c r="AS18" s="109">
        <v>17</v>
      </c>
      <c r="AT18" s="501">
        <v>-22.160000000000007</v>
      </c>
      <c r="AU18" s="554">
        <v>3</v>
      </c>
      <c r="AV18" s="109">
        <v>7</v>
      </c>
      <c r="AW18" s="693"/>
      <c r="AX18" s="693"/>
      <c r="AY18" s="693"/>
      <c r="BA18" s="545"/>
    </row>
    <row r="19" spans="2:53" x14ac:dyDescent="0.25">
      <c r="B19" s="718"/>
      <c r="C19" s="745"/>
      <c r="D19" s="725" t="s">
        <v>17</v>
      </c>
      <c r="E19" s="725"/>
      <c r="G19" s="501">
        <v>5.3699999999999957</v>
      </c>
      <c r="H19" s="444">
        <v>9</v>
      </c>
      <c r="I19" s="110">
        <v>17</v>
      </c>
      <c r="J19" s="501">
        <v>-30.350000000000019</v>
      </c>
      <c r="K19" s="491">
        <v>4</v>
      </c>
      <c r="L19" s="430">
        <v>17</v>
      </c>
      <c r="M19" s="501">
        <v>-41.449999999999989</v>
      </c>
      <c r="N19" s="491">
        <v>1</v>
      </c>
      <c r="O19" s="430">
        <v>10</v>
      </c>
      <c r="P19" s="501">
        <v>-37.279999999999994</v>
      </c>
      <c r="Q19" s="491">
        <v>2</v>
      </c>
      <c r="R19" s="430">
        <v>10</v>
      </c>
      <c r="S19" s="501">
        <v>-70.599999999999994</v>
      </c>
      <c r="T19" s="491">
        <v>4</v>
      </c>
      <c r="U19" s="430">
        <v>13</v>
      </c>
      <c r="V19" s="501">
        <v>-111.63000000000001</v>
      </c>
      <c r="W19" s="491">
        <v>6</v>
      </c>
      <c r="X19" s="430">
        <v>17</v>
      </c>
      <c r="Y19" s="501">
        <v>-20.84</v>
      </c>
      <c r="Z19" s="491">
        <v>8</v>
      </c>
      <c r="AA19" s="430">
        <v>17</v>
      </c>
      <c r="AB19" s="501">
        <v>-51.15</v>
      </c>
      <c r="AC19" s="491">
        <v>4</v>
      </c>
      <c r="AD19" s="430">
        <v>11</v>
      </c>
      <c r="AE19" s="501">
        <v>-105.69</v>
      </c>
      <c r="AF19" s="491">
        <v>4</v>
      </c>
      <c r="AG19" s="430">
        <v>16</v>
      </c>
      <c r="AH19" s="501">
        <v>-22.939999999999998</v>
      </c>
      <c r="AI19" s="491">
        <v>7</v>
      </c>
      <c r="AJ19" s="430">
        <v>16</v>
      </c>
      <c r="AK19" s="501">
        <v>-110.84000000000002</v>
      </c>
      <c r="AL19" s="491">
        <v>4</v>
      </c>
      <c r="AM19" s="430">
        <v>16</v>
      </c>
      <c r="AN19" s="501">
        <v>-100.27000000000002</v>
      </c>
      <c r="AO19" s="545">
        <v>4</v>
      </c>
      <c r="AP19" s="430">
        <v>15</v>
      </c>
      <c r="AQ19" s="501">
        <v>-92.48</v>
      </c>
      <c r="AR19" s="554">
        <v>5</v>
      </c>
      <c r="AS19" s="109">
        <v>17</v>
      </c>
      <c r="AT19" s="501">
        <v>-15.869999999999996</v>
      </c>
      <c r="AU19" s="554">
        <v>3</v>
      </c>
      <c r="AV19" s="109">
        <v>7</v>
      </c>
      <c r="AW19" s="693"/>
      <c r="AX19" s="693"/>
      <c r="AY19" s="693"/>
      <c r="BA19" s="545"/>
    </row>
    <row r="20" spans="2:53" x14ac:dyDescent="0.25">
      <c r="B20" s="718"/>
      <c r="C20" s="730" t="s">
        <v>11</v>
      </c>
      <c r="D20" s="724" t="s">
        <v>14</v>
      </c>
      <c r="E20" s="724"/>
      <c r="G20" s="501">
        <v>-0.89999999999999969</v>
      </c>
      <c r="H20" s="491">
        <v>9</v>
      </c>
      <c r="I20" s="430">
        <v>17</v>
      </c>
      <c r="J20" s="501">
        <v>-43.86</v>
      </c>
      <c r="K20" s="491">
        <v>5</v>
      </c>
      <c r="L20" s="430">
        <v>19</v>
      </c>
      <c r="M20" s="501">
        <v>-19.02</v>
      </c>
      <c r="N20" s="491">
        <v>4</v>
      </c>
      <c r="O20" s="430">
        <v>10</v>
      </c>
      <c r="P20" s="501">
        <v>-15.700000000000003</v>
      </c>
      <c r="Q20" s="491">
        <v>4</v>
      </c>
      <c r="R20" s="430">
        <v>10</v>
      </c>
      <c r="S20" s="501">
        <v>-34.379999999999995</v>
      </c>
      <c r="T20" s="491">
        <v>3</v>
      </c>
      <c r="U20" s="430">
        <v>14</v>
      </c>
      <c r="V20" s="501">
        <v>-46.98</v>
      </c>
      <c r="W20" s="491">
        <v>6</v>
      </c>
      <c r="X20" s="430">
        <v>19</v>
      </c>
      <c r="Y20" s="501">
        <v>-105.78000000000002</v>
      </c>
      <c r="Z20" s="491">
        <v>2</v>
      </c>
      <c r="AA20" s="430">
        <v>18</v>
      </c>
      <c r="AB20" s="501">
        <v>-32.11</v>
      </c>
      <c r="AC20" s="491">
        <v>4</v>
      </c>
      <c r="AD20" s="430">
        <v>13</v>
      </c>
      <c r="AE20" s="501">
        <v>-47.54</v>
      </c>
      <c r="AF20" s="491">
        <v>4</v>
      </c>
      <c r="AG20" s="430">
        <v>16</v>
      </c>
      <c r="AH20" s="501">
        <v>-12.630000000000003</v>
      </c>
      <c r="AI20" s="491">
        <v>6</v>
      </c>
      <c r="AJ20" s="430">
        <v>16</v>
      </c>
      <c r="AK20" s="501">
        <v>-58.98</v>
      </c>
      <c r="AL20" s="491">
        <v>4</v>
      </c>
      <c r="AM20" s="430">
        <v>18</v>
      </c>
      <c r="AN20" s="501">
        <v>-49.86</v>
      </c>
      <c r="AO20" s="545">
        <v>4</v>
      </c>
      <c r="AP20" s="430">
        <v>15</v>
      </c>
      <c r="AQ20" s="501">
        <v>-47.769999999999996</v>
      </c>
      <c r="AR20" s="554">
        <v>5</v>
      </c>
      <c r="AS20" s="109">
        <v>18</v>
      </c>
      <c r="AT20" s="501">
        <v>-14.16</v>
      </c>
      <c r="AU20" s="554">
        <v>2</v>
      </c>
      <c r="AV20" s="109">
        <v>7</v>
      </c>
      <c r="AW20" s="693"/>
      <c r="AX20" s="693"/>
      <c r="AY20" s="693"/>
      <c r="BA20" s="545"/>
    </row>
    <row r="21" spans="2:53" x14ac:dyDescent="0.25">
      <c r="B21" s="718"/>
      <c r="C21" s="731"/>
      <c r="D21" s="724" t="s">
        <v>7</v>
      </c>
      <c r="E21" s="724"/>
      <c r="G21" s="501">
        <v>-13.239999999999998</v>
      </c>
      <c r="H21" s="491">
        <v>8</v>
      </c>
      <c r="I21" s="430">
        <v>17</v>
      </c>
      <c r="J21" s="501">
        <v>-34.72</v>
      </c>
      <c r="K21" s="491">
        <v>8</v>
      </c>
      <c r="L21" s="430">
        <v>19</v>
      </c>
      <c r="M21" s="501">
        <v>-22.49</v>
      </c>
      <c r="N21" s="491">
        <v>3</v>
      </c>
      <c r="O21" s="430">
        <v>10</v>
      </c>
      <c r="P21" s="501">
        <v>-4.6900000000000004</v>
      </c>
      <c r="Q21" s="491">
        <v>6</v>
      </c>
      <c r="R21" s="430">
        <v>10</v>
      </c>
      <c r="S21" s="501">
        <v>-15.559999999999999</v>
      </c>
      <c r="T21" s="491">
        <v>5</v>
      </c>
      <c r="U21" s="430">
        <v>14</v>
      </c>
      <c r="V21" s="501">
        <v>-12.979999999999999</v>
      </c>
      <c r="W21" s="491">
        <v>10</v>
      </c>
      <c r="X21" s="430">
        <v>18</v>
      </c>
      <c r="Y21" s="501">
        <v>-31.789999999999996</v>
      </c>
      <c r="Z21" s="491">
        <v>5</v>
      </c>
      <c r="AA21" s="430">
        <v>18</v>
      </c>
      <c r="AB21" s="501">
        <v>-11.889999999999997</v>
      </c>
      <c r="AC21" s="491">
        <v>6</v>
      </c>
      <c r="AD21" s="430">
        <v>13</v>
      </c>
      <c r="AE21" s="501">
        <v>2.5900000000000034</v>
      </c>
      <c r="AF21" s="491">
        <v>10</v>
      </c>
      <c r="AG21" s="430">
        <v>16</v>
      </c>
      <c r="AH21" s="501">
        <v>-14.669999999999998</v>
      </c>
      <c r="AI21" s="491">
        <v>7</v>
      </c>
      <c r="AJ21" s="430">
        <v>16</v>
      </c>
      <c r="AK21" s="501">
        <v>-16.829999999999998</v>
      </c>
      <c r="AL21" s="491">
        <v>4</v>
      </c>
      <c r="AM21" s="430">
        <v>18</v>
      </c>
      <c r="AN21" s="501">
        <v>-23.79</v>
      </c>
      <c r="AO21" s="545">
        <v>5</v>
      </c>
      <c r="AP21" s="430">
        <v>15</v>
      </c>
      <c r="AQ21" s="501">
        <v>1.149999999999999</v>
      </c>
      <c r="AR21" s="554">
        <v>9</v>
      </c>
      <c r="AS21" s="109">
        <v>18</v>
      </c>
      <c r="AT21" s="501">
        <v>3.7199999999999998</v>
      </c>
      <c r="AU21" s="554">
        <v>4</v>
      </c>
      <c r="AV21" s="109">
        <v>7</v>
      </c>
      <c r="AW21" s="693"/>
      <c r="AX21" s="693"/>
      <c r="AY21" s="693"/>
      <c r="BA21" s="545"/>
    </row>
    <row r="22" spans="2:53" x14ac:dyDescent="0.25">
      <c r="B22" s="718"/>
      <c r="C22" s="731"/>
      <c r="D22" s="724" t="s">
        <v>16</v>
      </c>
      <c r="E22" s="724"/>
      <c r="G22" s="501">
        <v>-170.41999999999996</v>
      </c>
      <c r="H22" s="491">
        <v>3</v>
      </c>
      <c r="I22" s="430">
        <v>17</v>
      </c>
      <c r="J22" s="501">
        <v>-79.330000000000013</v>
      </c>
      <c r="K22" s="491">
        <v>8</v>
      </c>
      <c r="L22" s="430">
        <v>19</v>
      </c>
      <c r="M22" s="501">
        <v>-59.679999999999993</v>
      </c>
      <c r="N22" s="491">
        <v>5</v>
      </c>
      <c r="O22" s="430">
        <v>10</v>
      </c>
      <c r="P22" s="501">
        <v>-57.920000000000009</v>
      </c>
      <c r="Q22" s="491">
        <v>3</v>
      </c>
      <c r="R22" s="430">
        <v>10</v>
      </c>
      <c r="S22" s="501">
        <v>-67.280000000000015</v>
      </c>
      <c r="T22" s="491">
        <v>6</v>
      </c>
      <c r="U22" s="430">
        <v>14</v>
      </c>
      <c r="V22" s="501">
        <v>-76.809999999999988</v>
      </c>
      <c r="W22" s="491">
        <v>8</v>
      </c>
      <c r="X22" s="430">
        <v>19</v>
      </c>
      <c r="Y22" s="501">
        <v>-105.53999999999999</v>
      </c>
      <c r="Z22" s="491">
        <v>4</v>
      </c>
      <c r="AA22" s="430">
        <v>18</v>
      </c>
      <c r="AB22" s="501">
        <v>-71.109999999999985</v>
      </c>
      <c r="AC22" s="491">
        <v>5</v>
      </c>
      <c r="AD22" s="430">
        <v>13</v>
      </c>
      <c r="AE22" s="501">
        <v>-41.919999999999987</v>
      </c>
      <c r="AF22" s="491">
        <v>10</v>
      </c>
      <c r="AG22" s="430">
        <v>16</v>
      </c>
      <c r="AH22" s="501">
        <v>-117.51</v>
      </c>
      <c r="AI22" s="491">
        <v>5</v>
      </c>
      <c r="AJ22" s="430">
        <v>16</v>
      </c>
      <c r="AK22" s="501">
        <v>-87.949999999999989</v>
      </c>
      <c r="AL22" s="491">
        <v>8</v>
      </c>
      <c r="AM22" s="430">
        <v>18</v>
      </c>
      <c r="AN22" s="501">
        <v>-140.27000000000001</v>
      </c>
      <c r="AO22" s="545">
        <v>6</v>
      </c>
      <c r="AP22" s="430">
        <v>15</v>
      </c>
      <c r="AQ22" s="501">
        <v>-64.569999999999993</v>
      </c>
      <c r="AR22" s="554">
        <v>8</v>
      </c>
      <c r="AS22" s="109">
        <v>18</v>
      </c>
      <c r="AT22" s="501">
        <v>-5.2799999999999976</v>
      </c>
      <c r="AU22" s="554">
        <v>4</v>
      </c>
      <c r="AV22" s="109">
        <v>7</v>
      </c>
      <c r="AW22" s="693"/>
      <c r="AX22" s="693"/>
      <c r="AY22" s="693"/>
      <c r="BA22" s="545"/>
    </row>
    <row r="23" spans="2:53" ht="15.75" thickBot="1" x14ac:dyDescent="0.3">
      <c r="B23" s="718"/>
      <c r="C23" s="732"/>
      <c r="D23" s="725" t="s">
        <v>17</v>
      </c>
      <c r="E23" s="725"/>
      <c r="G23" s="501">
        <v>-22.050000000000004</v>
      </c>
      <c r="H23" s="491">
        <v>10</v>
      </c>
      <c r="I23" s="430">
        <v>17</v>
      </c>
      <c r="J23" s="501">
        <v>-109.35999999999999</v>
      </c>
      <c r="K23" s="491">
        <v>4</v>
      </c>
      <c r="L23" s="430">
        <v>19</v>
      </c>
      <c r="M23" s="501">
        <v>-62.14</v>
      </c>
      <c r="N23" s="491">
        <v>2</v>
      </c>
      <c r="O23" s="430">
        <v>10</v>
      </c>
      <c r="P23" s="501">
        <v>-42.04999999999999</v>
      </c>
      <c r="Q23" s="491">
        <v>2</v>
      </c>
      <c r="R23" s="430">
        <v>10</v>
      </c>
      <c r="S23" s="501">
        <v>-43.459999999999994</v>
      </c>
      <c r="T23" s="491">
        <v>5</v>
      </c>
      <c r="U23" s="430">
        <v>14</v>
      </c>
      <c r="V23" s="501">
        <v>-50.580000000000013</v>
      </c>
      <c r="W23" s="491">
        <v>10</v>
      </c>
      <c r="X23" s="430">
        <v>19</v>
      </c>
      <c r="Y23" s="501">
        <v>23.730000000000011</v>
      </c>
      <c r="Z23" s="491">
        <v>11</v>
      </c>
      <c r="AA23" s="430">
        <v>18</v>
      </c>
      <c r="AB23" s="501">
        <v>-71.449999999999989</v>
      </c>
      <c r="AC23" s="491">
        <v>2</v>
      </c>
      <c r="AD23" s="430">
        <v>13</v>
      </c>
      <c r="AE23" s="501">
        <v>-76.269999999999982</v>
      </c>
      <c r="AF23" s="491">
        <v>5</v>
      </c>
      <c r="AG23" s="430">
        <v>16</v>
      </c>
      <c r="AH23" s="501">
        <v>-56.19</v>
      </c>
      <c r="AI23" s="491">
        <v>6</v>
      </c>
      <c r="AJ23" s="430">
        <v>16</v>
      </c>
      <c r="AK23" s="501">
        <v>-36.83</v>
      </c>
      <c r="AL23" s="491">
        <v>7</v>
      </c>
      <c r="AM23" s="430">
        <v>18</v>
      </c>
      <c r="AN23" s="501">
        <v>-59.96</v>
      </c>
      <c r="AO23" s="545">
        <v>6</v>
      </c>
      <c r="AP23" s="430">
        <v>15</v>
      </c>
      <c r="AQ23" s="501">
        <v>-88.359999999999957</v>
      </c>
      <c r="AR23" s="554">
        <v>8</v>
      </c>
      <c r="AS23" s="109">
        <v>18</v>
      </c>
      <c r="AT23" s="501">
        <v>-51.69</v>
      </c>
      <c r="AU23" s="554">
        <v>2</v>
      </c>
      <c r="AV23" s="109">
        <v>7</v>
      </c>
      <c r="AW23" s="693"/>
      <c r="AX23" s="693"/>
      <c r="AY23" s="693"/>
      <c r="BA23" s="545"/>
    </row>
    <row r="24" spans="2:53" x14ac:dyDescent="0.25">
      <c r="B24" s="737" t="s">
        <v>3</v>
      </c>
      <c r="C24" s="742" t="s">
        <v>9</v>
      </c>
      <c r="D24" s="749" t="s">
        <v>14</v>
      </c>
      <c r="E24" s="749"/>
      <c r="G24" s="501">
        <v>-50.11</v>
      </c>
      <c r="H24" s="491">
        <v>0</v>
      </c>
      <c r="I24" s="430">
        <v>17</v>
      </c>
      <c r="J24" s="501">
        <v>-29.290000000000006</v>
      </c>
      <c r="K24" s="491">
        <v>2</v>
      </c>
      <c r="L24" s="430">
        <v>17</v>
      </c>
      <c r="M24" s="501">
        <v>-12.84</v>
      </c>
      <c r="N24" s="491">
        <v>1</v>
      </c>
      <c r="O24" s="430">
        <v>9</v>
      </c>
      <c r="P24" s="501">
        <v>-25.23</v>
      </c>
      <c r="Q24" s="491">
        <v>0</v>
      </c>
      <c r="R24" s="430">
        <v>12</v>
      </c>
      <c r="S24" s="501">
        <v>-18.41</v>
      </c>
      <c r="T24" s="491">
        <v>2</v>
      </c>
      <c r="U24" s="430">
        <v>13</v>
      </c>
      <c r="V24" s="501">
        <v>-27.979999999999997</v>
      </c>
      <c r="W24" s="491">
        <v>6</v>
      </c>
      <c r="X24" s="430">
        <v>17</v>
      </c>
      <c r="Y24" s="501">
        <v>-20.75</v>
      </c>
      <c r="Z24" s="491">
        <v>5</v>
      </c>
      <c r="AA24" s="430">
        <v>16</v>
      </c>
      <c r="AB24" s="501">
        <v>-19.310000000000006</v>
      </c>
      <c r="AC24" s="491">
        <v>4</v>
      </c>
      <c r="AD24" s="430">
        <v>11</v>
      </c>
      <c r="AE24" s="501">
        <v>-41.580000000000005</v>
      </c>
      <c r="AF24" s="491">
        <v>2</v>
      </c>
      <c r="AG24" s="430">
        <v>16</v>
      </c>
      <c r="AH24" s="501">
        <v>-32.19</v>
      </c>
      <c r="AI24" s="491">
        <v>2</v>
      </c>
      <c r="AJ24" s="430">
        <v>16</v>
      </c>
      <c r="AK24" s="501">
        <v>-48.899999999999991</v>
      </c>
      <c r="AL24" s="491">
        <v>1</v>
      </c>
      <c r="AM24" s="430">
        <v>16</v>
      </c>
      <c r="AN24" s="501">
        <v>-42.830000000000005</v>
      </c>
      <c r="AO24" s="545">
        <v>2</v>
      </c>
      <c r="AP24" s="430">
        <v>14</v>
      </c>
      <c r="AQ24" s="501">
        <v>-36.630000000000003</v>
      </c>
      <c r="AR24" s="554">
        <v>2</v>
      </c>
      <c r="AS24" s="109">
        <v>16</v>
      </c>
      <c r="AT24" s="501">
        <v>-17.21</v>
      </c>
      <c r="AU24" s="554">
        <v>1</v>
      </c>
      <c r="AV24" s="109">
        <v>7</v>
      </c>
      <c r="AW24" s="693"/>
      <c r="AX24" s="693"/>
      <c r="AY24" s="693"/>
      <c r="BA24" s="545"/>
    </row>
    <row r="25" spans="2:53" x14ac:dyDescent="0.25">
      <c r="B25" s="718"/>
      <c r="C25" s="735"/>
      <c r="D25" s="724" t="s">
        <v>15</v>
      </c>
      <c r="E25" s="724"/>
      <c r="G25" s="501">
        <v>-43.230000000000004</v>
      </c>
      <c r="H25" s="491">
        <v>3</v>
      </c>
      <c r="I25" s="430">
        <v>17</v>
      </c>
      <c r="J25" s="501">
        <v>-11.540000000000001</v>
      </c>
      <c r="K25" s="491">
        <v>8</v>
      </c>
      <c r="L25" s="430">
        <v>17</v>
      </c>
      <c r="M25" s="501">
        <v>0.73</v>
      </c>
      <c r="N25" s="444">
        <v>4</v>
      </c>
      <c r="O25" s="110">
        <v>7</v>
      </c>
      <c r="P25" s="501">
        <v>-5.7500000000000009</v>
      </c>
      <c r="Q25" s="491">
        <v>3</v>
      </c>
      <c r="R25" s="430">
        <v>10</v>
      </c>
      <c r="S25" s="501">
        <v>-10.260000000000002</v>
      </c>
      <c r="T25" s="491">
        <v>5</v>
      </c>
      <c r="U25" s="430">
        <v>12</v>
      </c>
      <c r="V25" s="501">
        <v>-11.210000000000004</v>
      </c>
      <c r="W25" s="491">
        <v>6</v>
      </c>
      <c r="X25" s="430">
        <v>12</v>
      </c>
      <c r="Y25" s="501">
        <v>-17.200000000000003</v>
      </c>
      <c r="Z25" s="491">
        <v>4</v>
      </c>
      <c r="AA25" s="430">
        <v>14</v>
      </c>
      <c r="AB25" s="501">
        <v>-22.75</v>
      </c>
      <c r="AC25" s="491">
        <v>2</v>
      </c>
      <c r="AD25" s="430">
        <v>10</v>
      </c>
      <c r="AE25" s="501">
        <v>-18.400000000000006</v>
      </c>
      <c r="AF25" s="491">
        <v>5.5</v>
      </c>
      <c r="AG25" s="430">
        <v>15.5</v>
      </c>
      <c r="AH25" s="501">
        <v>-15.34</v>
      </c>
      <c r="AI25" s="491">
        <v>5</v>
      </c>
      <c r="AJ25" s="430">
        <v>14</v>
      </c>
      <c r="AK25" s="501">
        <v>-41.879999999999988</v>
      </c>
      <c r="AL25" s="491">
        <v>5</v>
      </c>
      <c r="AM25" s="430">
        <v>16</v>
      </c>
      <c r="AN25" s="501">
        <v>-4.57</v>
      </c>
      <c r="AO25" s="545">
        <v>4</v>
      </c>
      <c r="AP25" s="430">
        <v>13</v>
      </c>
      <c r="AQ25" s="501">
        <v>-15.479999999999997</v>
      </c>
      <c r="AR25" s="554">
        <v>6</v>
      </c>
      <c r="AS25" s="109">
        <v>16</v>
      </c>
      <c r="AT25" s="501">
        <v>-27.669999999999998</v>
      </c>
      <c r="AU25" s="554">
        <v>0</v>
      </c>
      <c r="AV25" s="109">
        <v>6</v>
      </c>
      <c r="AW25" s="693"/>
      <c r="AX25" s="693"/>
      <c r="AY25" s="693"/>
      <c r="BA25" s="545"/>
    </row>
    <row r="26" spans="2:53" x14ac:dyDescent="0.25">
      <c r="B26" s="718"/>
      <c r="C26" s="735"/>
      <c r="D26" s="724" t="s">
        <v>13</v>
      </c>
      <c r="E26" s="724"/>
      <c r="G26" s="501">
        <v>-107.49000000000002</v>
      </c>
      <c r="H26" s="491">
        <v>2</v>
      </c>
      <c r="I26" s="430">
        <v>17</v>
      </c>
      <c r="J26" s="501">
        <v>-56.4</v>
      </c>
      <c r="K26" s="491">
        <v>5</v>
      </c>
      <c r="L26" s="430">
        <v>17</v>
      </c>
      <c r="M26" s="501">
        <v>-35.290000000000006</v>
      </c>
      <c r="N26" s="491">
        <v>2</v>
      </c>
      <c r="O26" s="430">
        <v>9</v>
      </c>
      <c r="P26" s="501">
        <v>-75.45</v>
      </c>
      <c r="Q26" s="491">
        <v>1</v>
      </c>
      <c r="R26" s="430">
        <v>12</v>
      </c>
      <c r="S26" s="501">
        <v>-77.2</v>
      </c>
      <c r="T26" s="491">
        <v>2</v>
      </c>
      <c r="U26" s="430">
        <v>13</v>
      </c>
      <c r="V26" s="501">
        <v>-169.37999999999997</v>
      </c>
      <c r="W26" s="491">
        <v>1</v>
      </c>
      <c r="X26" s="430">
        <v>17</v>
      </c>
      <c r="Y26" s="501">
        <v>-101.63000000000001</v>
      </c>
      <c r="Z26" s="491">
        <v>5</v>
      </c>
      <c r="AA26" s="430">
        <v>16</v>
      </c>
      <c r="AB26" s="501">
        <v>-96.23</v>
      </c>
      <c r="AC26" s="491">
        <v>3</v>
      </c>
      <c r="AD26" s="430">
        <v>11</v>
      </c>
      <c r="AE26" s="501">
        <v>-144.09000000000003</v>
      </c>
      <c r="AF26" s="491">
        <v>6</v>
      </c>
      <c r="AG26" s="430">
        <v>16</v>
      </c>
      <c r="AH26" s="501">
        <v>-88.02000000000001</v>
      </c>
      <c r="AI26" s="491">
        <v>3</v>
      </c>
      <c r="AJ26" s="430">
        <v>16</v>
      </c>
      <c r="AK26" s="501">
        <v>-142.77999999999997</v>
      </c>
      <c r="AL26" s="491">
        <v>3</v>
      </c>
      <c r="AM26" s="430">
        <v>16</v>
      </c>
      <c r="AN26" s="501">
        <v>-105.3</v>
      </c>
      <c r="AO26" s="545">
        <v>3</v>
      </c>
      <c r="AP26" s="430">
        <v>14</v>
      </c>
      <c r="AQ26" s="501">
        <v>-125.39999999999999</v>
      </c>
      <c r="AR26" s="554">
        <v>3</v>
      </c>
      <c r="AS26" s="109">
        <v>16</v>
      </c>
      <c r="AT26" s="501">
        <v>-53.290000000000006</v>
      </c>
      <c r="AU26" s="554">
        <v>0</v>
      </c>
      <c r="AV26" s="109">
        <v>7</v>
      </c>
      <c r="AW26" s="693"/>
      <c r="AX26" s="693"/>
      <c r="AY26" s="693"/>
      <c r="BA26" s="545"/>
    </row>
    <row r="27" spans="2:53" x14ac:dyDescent="0.25">
      <c r="B27" s="718"/>
      <c r="C27" s="735"/>
      <c r="D27" s="724" t="s">
        <v>12</v>
      </c>
      <c r="E27" s="724"/>
      <c r="G27" s="501">
        <v>-232.7</v>
      </c>
      <c r="H27" s="491">
        <v>1</v>
      </c>
      <c r="I27" s="430">
        <v>17</v>
      </c>
      <c r="J27" s="501">
        <v>-25.320000000000007</v>
      </c>
      <c r="K27" s="491">
        <v>7</v>
      </c>
      <c r="L27" s="430">
        <v>17</v>
      </c>
      <c r="M27" s="501">
        <v>-147.21</v>
      </c>
      <c r="N27" s="491">
        <v>1</v>
      </c>
      <c r="O27" s="430">
        <v>9</v>
      </c>
      <c r="P27" s="501">
        <v>-116.05000000000001</v>
      </c>
      <c r="Q27" s="491">
        <v>3</v>
      </c>
      <c r="R27" s="430">
        <v>12</v>
      </c>
      <c r="S27" s="501">
        <v>-115.09000000000002</v>
      </c>
      <c r="T27" s="491">
        <v>2</v>
      </c>
      <c r="U27" s="430">
        <v>13</v>
      </c>
      <c r="V27" s="501">
        <v>-124.88</v>
      </c>
      <c r="W27" s="491">
        <v>5</v>
      </c>
      <c r="X27" s="430">
        <v>17</v>
      </c>
      <c r="Y27" s="501">
        <v>-141.51</v>
      </c>
      <c r="Z27" s="491">
        <v>4</v>
      </c>
      <c r="AA27" s="430">
        <v>16</v>
      </c>
      <c r="AB27" s="501">
        <v>-71.23</v>
      </c>
      <c r="AC27" s="491">
        <v>6</v>
      </c>
      <c r="AD27" s="430">
        <v>11</v>
      </c>
      <c r="AE27" s="501">
        <v>-114.89999999999999</v>
      </c>
      <c r="AF27" s="491">
        <v>6</v>
      </c>
      <c r="AG27" s="430">
        <v>16</v>
      </c>
      <c r="AH27" s="501">
        <v>-218.37999999999994</v>
      </c>
      <c r="AI27" s="491">
        <v>3</v>
      </c>
      <c r="AJ27" s="430">
        <v>16</v>
      </c>
      <c r="AK27" s="501">
        <v>-334.17999999999995</v>
      </c>
      <c r="AL27" s="491">
        <v>3</v>
      </c>
      <c r="AM27" s="430">
        <v>16</v>
      </c>
      <c r="AN27" s="501">
        <v>-134.38999999999999</v>
      </c>
      <c r="AO27" s="545">
        <v>5</v>
      </c>
      <c r="AP27" s="430">
        <v>14</v>
      </c>
      <c r="AQ27" s="501">
        <v>-146.63000000000002</v>
      </c>
      <c r="AR27" s="554">
        <v>3</v>
      </c>
      <c r="AS27" s="109">
        <v>16</v>
      </c>
      <c r="AT27" s="501">
        <v>-38.090000000000003</v>
      </c>
      <c r="AU27" s="554">
        <v>3</v>
      </c>
      <c r="AV27" s="109">
        <v>7</v>
      </c>
      <c r="AW27" s="693"/>
      <c r="AX27" s="693"/>
      <c r="AY27" s="693"/>
      <c r="BA27" s="545"/>
    </row>
    <row r="28" spans="2:53" x14ac:dyDescent="0.25">
      <c r="B28" s="718"/>
      <c r="C28" s="736"/>
      <c r="D28" s="725" t="s">
        <v>24</v>
      </c>
      <c r="E28" s="725"/>
      <c r="G28" s="501">
        <v>-31.819999999999986</v>
      </c>
      <c r="H28" s="491">
        <v>10</v>
      </c>
      <c r="I28" s="430">
        <v>17</v>
      </c>
      <c r="J28" s="501">
        <v>-113.91</v>
      </c>
      <c r="K28" s="491">
        <v>7</v>
      </c>
      <c r="L28" s="430">
        <v>17</v>
      </c>
      <c r="M28" s="501">
        <v>-83.679999999999993</v>
      </c>
      <c r="N28" s="491">
        <v>3</v>
      </c>
      <c r="O28" s="430">
        <v>8</v>
      </c>
      <c r="P28" s="501">
        <v>11.759999999999993</v>
      </c>
      <c r="Q28" s="444">
        <v>8</v>
      </c>
      <c r="R28" s="110">
        <v>12</v>
      </c>
      <c r="S28" s="501">
        <v>-55.56</v>
      </c>
      <c r="T28" s="491">
        <v>5</v>
      </c>
      <c r="U28" s="430">
        <v>13</v>
      </c>
      <c r="V28" s="501">
        <v>-66.97</v>
      </c>
      <c r="W28" s="491">
        <v>4</v>
      </c>
      <c r="X28" s="430">
        <v>14</v>
      </c>
      <c r="Y28" s="501">
        <v>-158.85</v>
      </c>
      <c r="Z28" s="491">
        <v>7</v>
      </c>
      <c r="AA28" s="430">
        <v>16</v>
      </c>
      <c r="AB28" s="501">
        <v>-163.83999999999997</v>
      </c>
      <c r="AC28" s="491">
        <v>4</v>
      </c>
      <c r="AD28" s="430">
        <v>11</v>
      </c>
      <c r="AE28" s="501">
        <v>-205.39999999999998</v>
      </c>
      <c r="AF28" s="491">
        <v>2</v>
      </c>
      <c r="AG28" s="430">
        <v>16</v>
      </c>
      <c r="AH28" s="501">
        <v>-186.34</v>
      </c>
      <c r="AI28" s="491">
        <v>5</v>
      </c>
      <c r="AJ28" s="430">
        <v>16</v>
      </c>
      <c r="AK28" s="501">
        <v>-164.79</v>
      </c>
      <c r="AL28" s="491">
        <v>5</v>
      </c>
      <c r="AM28" s="430">
        <v>16</v>
      </c>
      <c r="AN28" s="501">
        <v>11.02999999999999</v>
      </c>
      <c r="AO28" s="545">
        <v>10</v>
      </c>
      <c r="AP28" s="430">
        <v>14</v>
      </c>
      <c r="AQ28" s="501">
        <v>-224.85000000000005</v>
      </c>
      <c r="AR28" s="554">
        <v>3</v>
      </c>
      <c r="AS28" s="109">
        <v>16</v>
      </c>
      <c r="AT28" s="501">
        <v>-76.7</v>
      </c>
      <c r="AU28" s="554">
        <v>3</v>
      </c>
      <c r="AV28" s="109">
        <v>7</v>
      </c>
      <c r="AW28" s="693"/>
      <c r="AX28" s="693"/>
      <c r="AY28" s="693"/>
      <c r="BA28" s="545"/>
    </row>
    <row r="29" spans="2:53" x14ac:dyDescent="0.25">
      <c r="B29" s="718"/>
      <c r="C29" s="726" t="s">
        <v>18</v>
      </c>
      <c r="D29" s="729" t="s">
        <v>14</v>
      </c>
      <c r="E29" s="729"/>
      <c r="G29" s="501">
        <v>-49.79999999999999</v>
      </c>
      <c r="H29" s="491">
        <v>4</v>
      </c>
      <c r="I29" s="430">
        <v>17</v>
      </c>
      <c r="J29" s="501">
        <v>-15.329999999999998</v>
      </c>
      <c r="K29" s="491">
        <v>4</v>
      </c>
      <c r="L29" s="430">
        <v>16</v>
      </c>
      <c r="M29" s="501">
        <v>-23.819999999999997</v>
      </c>
      <c r="N29" s="491">
        <v>1</v>
      </c>
      <c r="O29" s="430">
        <v>12</v>
      </c>
      <c r="P29" s="501">
        <v>-37.020000000000003</v>
      </c>
      <c r="Q29" s="491">
        <v>2</v>
      </c>
      <c r="R29" s="430">
        <v>13</v>
      </c>
      <c r="S29" s="501">
        <v>-11.810000000000004</v>
      </c>
      <c r="T29" s="491">
        <v>7</v>
      </c>
      <c r="U29" s="430">
        <v>13</v>
      </c>
      <c r="V29" s="501">
        <v>-66.570000000000007</v>
      </c>
      <c r="W29" s="491">
        <v>3</v>
      </c>
      <c r="X29" s="430">
        <v>18</v>
      </c>
      <c r="Y29" s="501">
        <v>-54.91</v>
      </c>
      <c r="Z29" s="491">
        <v>4</v>
      </c>
      <c r="AA29" s="430">
        <v>17</v>
      </c>
      <c r="AB29" s="501">
        <v>-48.56</v>
      </c>
      <c r="AC29" s="491">
        <v>0</v>
      </c>
      <c r="AD29" s="430">
        <v>10</v>
      </c>
      <c r="AE29" s="501">
        <v>-63.800000000000018</v>
      </c>
      <c r="AF29" s="491">
        <v>2</v>
      </c>
      <c r="AG29" s="430">
        <v>17</v>
      </c>
      <c r="AH29" s="501">
        <v>-47.739999999999995</v>
      </c>
      <c r="AI29" s="491">
        <v>2</v>
      </c>
      <c r="AJ29" s="430">
        <v>15</v>
      </c>
      <c r="AK29" s="501">
        <v>-29.120000000000008</v>
      </c>
      <c r="AL29" s="491">
        <v>4</v>
      </c>
      <c r="AM29" s="430">
        <v>16</v>
      </c>
      <c r="AN29" s="501">
        <v>-40.080000000000005</v>
      </c>
      <c r="AO29" s="545">
        <v>3</v>
      </c>
      <c r="AP29" s="430">
        <v>15</v>
      </c>
      <c r="AQ29" s="501">
        <v>-35.119999999999997</v>
      </c>
      <c r="AR29" s="554">
        <v>4</v>
      </c>
      <c r="AS29" s="109">
        <v>17</v>
      </c>
      <c r="AT29" s="501">
        <v>-20.060000000000006</v>
      </c>
      <c r="AU29" s="554">
        <v>0</v>
      </c>
      <c r="AV29" s="109">
        <v>7</v>
      </c>
      <c r="AW29" s="693"/>
      <c r="AX29" s="693"/>
      <c r="AY29" s="693"/>
      <c r="BA29" s="545"/>
    </row>
    <row r="30" spans="2:53" x14ac:dyDescent="0.25">
      <c r="B30" s="718"/>
      <c r="C30" s="727"/>
      <c r="D30" s="724" t="s">
        <v>15</v>
      </c>
      <c r="E30" s="724"/>
      <c r="G30" s="501">
        <v>-27.679999999999996</v>
      </c>
      <c r="H30" s="491">
        <v>9</v>
      </c>
      <c r="I30" s="430">
        <v>17</v>
      </c>
      <c r="J30" s="501">
        <v>-24.480000000000004</v>
      </c>
      <c r="K30" s="491">
        <v>6</v>
      </c>
      <c r="L30" s="430">
        <v>16</v>
      </c>
      <c r="M30" s="501">
        <v>-52.85</v>
      </c>
      <c r="N30" s="491">
        <v>3</v>
      </c>
      <c r="O30" s="430">
        <v>12</v>
      </c>
      <c r="P30" s="501">
        <v>-3.4600000000000009</v>
      </c>
      <c r="Q30" s="491">
        <v>7</v>
      </c>
      <c r="R30" s="430">
        <v>13</v>
      </c>
      <c r="S30" s="501">
        <v>-29.43</v>
      </c>
      <c r="T30" s="491">
        <v>5</v>
      </c>
      <c r="U30" s="430">
        <v>13</v>
      </c>
      <c r="V30" s="501">
        <v>-34.280000000000008</v>
      </c>
      <c r="W30" s="491">
        <v>6</v>
      </c>
      <c r="X30" s="430">
        <v>18</v>
      </c>
      <c r="Y30" s="501">
        <v>-10.890000000000009</v>
      </c>
      <c r="Z30" s="491">
        <v>7</v>
      </c>
      <c r="AA30" s="430">
        <v>17</v>
      </c>
      <c r="AB30" s="501">
        <v>-5.8500000000000032</v>
      </c>
      <c r="AC30" s="491">
        <v>4</v>
      </c>
      <c r="AD30" s="430">
        <v>10</v>
      </c>
      <c r="AE30" s="501">
        <v>-40.489999999999995</v>
      </c>
      <c r="AF30" s="491">
        <v>7</v>
      </c>
      <c r="AG30" s="430">
        <v>17</v>
      </c>
      <c r="AH30" s="501">
        <v>-24.930000000000003</v>
      </c>
      <c r="AI30" s="491">
        <v>5</v>
      </c>
      <c r="AJ30" s="430">
        <v>15</v>
      </c>
      <c r="AK30" s="501">
        <v>-40.039999999999992</v>
      </c>
      <c r="AL30" s="491">
        <v>6</v>
      </c>
      <c r="AM30" s="430">
        <v>16</v>
      </c>
      <c r="AN30" s="501">
        <v>-37.269999999999996</v>
      </c>
      <c r="AO30" s="545">
        <v>5</v>
      </c>
      <c r="AP30" s="430">
        <v>15</v>
      </c>
      <c r="AQ30" s="501">
        <v>-47.910000000000004</v>
      </c>
      <c r="AR30" s="554">
        <v>6</v>
      </c>
      <c r="AS30" s="109">
        <v>17</v>
      </c>
      <c r="AT30" s="501">
        <v>-32.449999999999996</v>
      </c>
      <c r="AU30" s="554">
        <v>1</v>
      </c>
      <c r="AV30" s="109">
        <v>7</v>
      </c>
      <c r="AW30" s="693"/>
      <c r="AX30" s="693"/>
      <c r="AY30" s="693"/>
      <c r="BA30" s="545"/>
    </row>
    <row r="31" spans="2:53" x14ac:dyDescent="0.25">
      <c r="B31" s="718"/>
      <c r="C31" s="727"/>
      <c r="D31" s="724" t="s">
        <v>13</v>
      </c>
      <c r="E31" s="724"/>
      <c r="G31" s="501">
        <v>-36.97</v>
      </c>
      <c r="H31" s="491">
        <v>8</v>
      </c>
      <c r="I31" s="430">
        <v>17</v>
      </c>
      <c r="J31" s="501">
        <v>-36.799999999999976</v>
      </c>
      <c r="K31" s="491">
        <v>6</v>
      </c>
      <c r="L31" s="430">
        <v>16</v>
      </c>
      <c r="M31" s="501">
        <v>-89.249999999999986</v>
      </c>
      <c r="N31" s="491">
        <v>2</v>
      </c>
      <c r="O31" s="430">
        <v>12</v>
      </c>
      <c r="P31" s="501">
        <v>-116.53000000000003</v>
      </c>
      <c r="Q31" s="491">
        <v>5</v>
      </c>
      <c r="R31" s="430">
        <v>13</v>
      </c>
      <c r="S31" s="501">
        <v>-89.85</v>
      </c>
      <c r="T31" s="491">
        <v>4</v>
      </c>
      <c r="U31" s="430">
        <v>13</v>
      </c>
      <c r="V31" s="501">
        <v>-174.14999999999992</v>
      </c>
      <c r="W31" s="491">
        <v>4</v>
      </c>
      <c r="X31" s="430">
        <v>18</v>
      </c>
      <c r="Y31" s="501">
        <v>-94.669999999999987</v>
      </c>
      <c r="Z31" s="491">
        <v>5</v>
      </c>
      <c r="AA31" s="430">
        <v>17</v>
      </c>
      <c r="AB31" s="501">
        <v>-50.899999999999991</v>
      </c>
      <c r="AC31" s="491">
        <v>5</v>
      </c>
      <c r="AD31" s="430">
        <v>10</v>
      </c>
      <c r="AE31" s="501">
        <v>-178.18999999999997</v>
      </c>
      <c r="AF31" s="491">
        <v>3</v>
      </c>
      <c r="AG31" s="430">
        <v>17</v>
      </c>
      <c r="AH31" s="501">
        <v>-79.969999999999985</v>
      </c>
      <c r="AI31" s="491">
        <v>6</v>
      </c>
      <c r="AJ31" s="430">
        <v>15</v>
      </c>
      <c r="AK31" s="501">
        <v>-92.47</v>
      </c>
      <c r="AL31" s="491">
        <v>7</v>
      </c>
      <c r="AM31" s="430">
        <v>16</v>
      </c>
      <c r="AN31" s="501">
        <v>-115.37</v>
      </c>
      <c r="AO31" s="545">
        <v>4</v>
      </c>
      <c r="AP31" s="430">
        <v>15</v>
      </c>
      <c r="AQ31" s="501">
        <v>-158.55999999999997</v>
      </c>
      <c r="AR31" s="554">
        <v>6</v>
      </c>
      <c r="AS31" s="109">
        <v>17</v>
      </c>
      <c r="AT31" s="501">
        <v>-70.63</v>
      </c>
      <c r="AU31" s="554">
        <v>1</v>
      </c>
      <c r="AV31" s="109">
        <v>7</v>
      </c>
      <c r="AW31" s="693"/>
      <c r="AX31" s="693"/>
      <c r="AY31" s="693"/>
      <c r="BA31" s="545"/>
    </row>
    <row r="32" spans="2:53" x14ac:dyDescent="0.25">
      <c r="B32" s="718"/>
      <c r="C32" s="727"/>
      <c r="D32" s="724" t="s">
        <v>12</v>
      </c>
      <c r="E32" s="724"/>
      <c r="G32" s="501">
        <v>-106.17999999999999</v>
      </c>
      <c r="H32" s="491">
        <v>6</v>
      </c>
      <c r="I32" s="430">
        <v>17</v>
      </c>
      <c r="J32" s="501">
        <v>-142.47</v>
      </c>
      <c r="K32" s="491">
        <v>4</v>
      </c>
      <c r="L32" s="430">
        <v>16</v>
      </c>
      <c r="M32" s="501">
        <v>-56.04</v>
      </c>
      <c r="N32" s="491">
        <v>4</v>
      </c>
      <c r="O32" s="430">
        <v>12</v>
      </c>
      <c r="P32" s="501">
        <v>-94.67</v>
      </c>
      <c r="Q32" s="491">
        <v>4</v>
      </c>
      <c r="R32" s="430">
        <v>13</v>
      </c>
      <c r="S32" s="501">
        <v>-184.73000000000005</v>
      </c>
      <c r="T32" s="491">
        <v>2</v>
      </c>
      <c r="U32" s="430">
        <v>13</v>
      </c>
      <c r="V32" s="501">
        <v>-277.13</v>
      </c>
      <c r="W32" s="491">
        <v>3</v>
      </c>
      <c r="X32" s="430">
        <v>18</v>
      </c>
      <c r="Y32" s="501">
        <v>-97.050000000000011</v>
      </c>
      <c r="Z32" s="491">
        <v>9</v>
      </c>
      <c r="AA32" s="430">
        <v>17</v>
      </c>
      <c r="AB32" s="501">
        <v>-68.050000000000011</v>
      </c>
      <c r="AC32" s="491">
        <v>3</v>
      </c>
      <c r="AD32" s="430">
        <v>10</v>
      </c>
      <c r="AE32" s="501">
        <v>-227.34</v>
      </c>
      <c r="AF32" s="491">
        <v>4</v>
      </c>
      <c r="AG32" s="430">
        <v>17</v>
      </c>
      <c r="AH32" s="501">
        <v>-98.159999999999982</v>
      </c>
      <c r="AI32" s="491">
        <v>6</v>
      </c>
      <c r="AJ32" s="430">
        <v>15</v>
      </c>
      <c r="AK32" s="501">
        <v>-100.97999999999996</v>
      </c>
      <c r="AL32" s="491">
        <v>5</v>
      </c>
      <c r="AM32" s="430">
        <v>16</v>
      </c>
      <c r="AN32" s="501">
        <v>-219.40000000000003</v>
      </c>
      <c r="AO32" s="545">
        <v>3</v>
      </c>
      <c r="AP32" s="430">
        <v>15</v>
      </c>
      <c r="AQ32" s="501">
        <v>-239.94999999999996</v>
      </c>
      <c r="AR32" s="554">
        <v>4</v>
      </c>
      <c r="AS32" s="109">
        <v>17</v>
      </c>
      <c r="AT32" s="501">
        <v>-40.36</v>
      </c>
      <c r="AU32" s="554">
        <v>3</v>
      </c>
      <c r="AV32" s="109">
        <v>7</v>
      </c>
      <c r="AW32" s="693"/>
      <c r="AX32" s="693"/>
      <c r="AY32" s="693"/>
      <c r="BA32" s="545"/>
    </row>
    <row r="33" spans="2:53" x14ac:dyDescent="0.25">
      <c r="B33" s="718"/>
      <c r="C33" s="728"/>
      <c r="D33" s="725" t="s">
        <v>24</v>
      </c>
      <c r="E33" s="725"/>
      <c r="G33" s="501">
        <v>-90.3</v>
      </c>
      <c r="H33" s="491">
        <v>9</v>
      </c>
      <c r="I33" s="430">
        <v>17</v>
      </c>
      <c r="J33" s="501">
        <v>-102.49000000000001</v>
      </c>
      <c r="K33" s="491">
        <v>8</v>
      </c>
      <c r="L33" s="430">
        <v>16</v>
      </c>
      <c r="M33" s="501">
        <v>-111.76000000000002</v>
      </c>
      <c r="N33" s="491">
        <v>6</v>
      </c>
      <c r="O33" s="430">
        <v>12</v>
      </c>
      <c r="P33" s="501">
        <v>28.879999999999995</v>
      </c>
      <c r="Q33" s="444">
        <v>9</v>
      </c>
      <c r="R33" s="110">
        <v>13</v>
      </c>
      <c r="S33" s="501">
        <v>-14.990000000000013</v>
      </c>
      <c r="T33" s="491">
        <v>6</v>
      </c>
      <c r="U33" s="430">
        <v>12</v>
      </c>
      <c r="V33" s="501">
        <v>-127.07</v>
      </c>
      <c r="W33" s="491">
        <v>7</v>
      </c>
      <c r="X33" s="430">
        <v>18</v>
      </c>
      <c r="Y33" s="501">
        <v>-197.11</v>
      </c>
      <c r="Z33" s="491">
        <v>4</v>
      </c>
      <c r="AA33" s="430">
        <v>17</v>
      </c>
      <c r="AB33" s="501">
        <v>-107.77000000000002</v>
      </c>
      <c r="AC33" s="491">
        <v>3</v>
      </c>
      <c r="AD33" s="430">
        <v>10</v>
      </c>
      <c r="AE33" s="501">
        <v>-106.97000000000001</v>
      </c>
      <c r="AF33" s="491">
        <v>8</v>
      </c>
      <c r="AG33" s="430">
        <v>17</v>
      </c>
      <c r="AH33" s="501">
        <v>-148.51000000000005</v>
      </c>
      <c r="AI33" s="491">
        <v>8</v>
      </c>
      <c r="AJ33" s="430">
        <v>15</v>
      </c>
      <c r="AK33" s="501">
        <v>-177.92000000000002</v>
      </c>
      <c r="AL33" s="491">
        <v>6</v>
      </c>
      <c r="AM33" s="430">
        <v>16</v>
      </c>
      <c r="AN33" s="501">
        <v>-174.07000000000002</v>
      </c>
      <c r="AO33" s="545">
        <v>4</v>
      </c>
      <c r="AP33" s="430">
        <v>15</v>
      </c>
      <c r="AQ33" s="501">
        <v>-162.43</v>
      </c>
      <c r="AR33" s="554">
        <v>7</v>
      </c>
      <c r="AS33" s="109">
        <v>17</v>
      </c>
      <c r="AT33" s="501">
        <v>-41.8</v>
      </c>
      <c r="AU33" s="554">
        <v>4</v>
      </c>
      <c r="AV33" s="109">
        <v>7</v>
      </c>
      <c r="AW33" s="693"/>
      <c r="AX33" s="693"/>
      <c r="AY33" s="693"/>
      <c r="BA33" s="545"/>
    </row>
    <row r="34" spans="2:53" x14ac:dyDescent="0.25">
      <c r="B34" s="718"/>
      <c r="C34" s="721" t="s">
        <v>10</v>
      </c>
      <c r="D34" s="729" t="s">
        <v>14</v>
      </c>
      <c r="E34" s="729"/>
      <c r="G34" s="501">
        <v>-30.009999999999994</v>
      </c>
      <c r="H34" s="491">
        <v>6</v>
      </c>
      <c r="I34" s="430">
        <v>17</v>
      </c>
      <c r="J34" s="501">
        <v>-41.870000000000005</v>
      </c>
      <c r="K34" s="491">
        <v>3</v>
      </c>
      <c r="L34" s="430">
        <v>19</v>
      </c>
      <c r="M34" s="501">
        <v>-6.870000000000001</v>
      </c>
      <c r="N34" s="491">
        <v>3</v>
      </c>
      <c r="O34" s="430">
        <v>10</v>
      </c>
      <c r="P34" s="501">
        <v>-10.219999999999999</v>
      </c>
      <c r="Q34" s="491">
        <v>2</v>
      </c>
      <c r="R34" s="430">
        <v>10</v>
      </c>
      <c r="S34" s="501">
        <v>-38.81</v>
      </c>
      <c r="T34" s="491">
        <v>3</v>
      </c>
      <c r="U34" s="430">
        <v>15</v>
      </c>
      <c r="V34" s="501">
        <v>-38.479999999999997</v>
      </c>
      <c r="W34" s="491">
        <v>8</v>
      </c>
      <c r="X34" s="430">
        <v>19</v>
      </c>
      <c r="Y34" s="501">
        <v>-75.13</v>
      </c>
      <c r="Z34" s="491">
        <v>5</v>
      </c>
      <c r="AA34" s="430">
        <v>18</v>
      </c>
      <c r="AB34" s="501">
        <v>-19.149999999999995</v>
      </c>
      <c r="AC34" s="491">
        <v>4</v>
      </c>
      <c r="AD34" s="430">
        <v>13</v>
      </c>
      <c r="AE34" s="501">
        <v>-22.47</v>
      </c>
      <c r="AF34" s="491">
        <v>6</v>
      </c>
      <c r="AG34" s="430">
        <v>16</v>
      </c>
      <c r="AH34" s="501">
        <v>-13.619999999999997</v>
      </c>
      <c r="AI34" s="491">
        <v>6</v>
      </c>
      <c r="AJ34" s="430">
        <v>16</v>
      </c>
      <c r="AK34" s="501">
        <v>-24.940000000000005</v>
      </c>
      <c r="AL34" s="491">
        <v>3</v>
      </c>
      <c r="AM34" s="430">
        <v>18</v>
      </c>
      <c r="AN34" s="501">
        <v>-47.03</v>
      </c>
      <c r="AO34" s="545">
        <v>1</v>
      </c>
      <c r="AP34" s="430">
        <v>15</v>
      </c>
      <c r="AQ34" s="501">
        <v>-15.999999999999998</v>
      </c>
      <c r="AR34" s="554">
        <v>8</v>
      </c>
      <c r="AS34" s="109">
        <v>18</v>
      </c>
      <c r="AT34" s="501">
        <v>-15.319999999999999</v>
      </c>
      <c r="AU34" s="554">
        <v>1</v>
      </c>
      <c r="AV34" s="109">
        <v>7</v>
      </c>
      <c r="AW34" s="693"/>
      <c r="AX34" s="693"/>
      <c r="AY34" s="693"/>
      <c r="BA34" s="545"/>
    </row>
    <row r="35" spans="2:53" x14ac:dyDescent="0.25">
      <c r="B35" s="718"/>
      <c r="C35" s="722"/>
      <c r="D35" s="724" t="s">
        <v>15</v>
      </c>
      <c r="E35" s="724"/>
      <c r="G35" s="501">
        <v>-18.980000000000004</v>
      </c>
      <c r="H35" s="491">
        <v>6</v>
      </c>
      <c r="I35" s="430">
        <v>17</v>
      </c>
      <c r="J35" s="501">
        <v>-36.870000000000005</v>
      </c>
      <c r="K35" s="491">
        <v>5</v>
      </c>
      <c r="L35" s="430">
        <v>19</v>
      </c>
      <c r="M35" s="501">
        <v>-17.420000000000002</v>
      </c>
      <c r="N35" s="491">
        <v>3</v>
      </c>
      <c r="O35" s="430">
        <v>10</v>
      </c>
      <c r="P35" s="501">
        <v>-0.41000000000000147</v>
      </c>
      <c r="Q35" s="491">
        <v>6</v>
      </c>
      <c r="R35" s="430">
        <v>10</v>
      </c>
      <c r="S35" s="501">
        <v>-5.2200000000000024</v>
      </c>
      <c r="T35" s="491">
        <v>9</v>
      </c>
      <c r="U35" s="430">
        <v>15</v>
      </c>
      <c r="V35" s="501">
        <v>-5.75</v>
      </c>
      <c r="W35" s="491">
        <v>10</v>
      </c>
      <c r="X35" s="430">
        <v>18</v>
      </c>
      <c r="Y35" s="501">
        <v>-21.959999999999997</v>
      </c>
      <c r="Z35" s="491">
        <v>7</v>
      </c>
      <c r="AA35" s="430">
        <v>15</v>
      </c>
      <c r="AB35" s="501">
        <v>-9.4699999999999989</v>
      </c>
      <c r="AC35" s="491">
        <v>6</v>
      </c>
      <c r="AD35" s="430">
        <v>13</v>
      </c>
      <c r="AE35" s="501">
        <v>-35.94</v>
      </c>
      <c r="AF35" s="491">
        <v>6</v>
      </c>
      <c r="AG35" s="430">
        <v>16</v>
      </c>
      <c r="AH35" s="501">
        <v>-10.929999999999998</v>
      </c>
      <c r="AI35" s="491">
        <v>7</v>
      </c>
      <c r="AJ35" s="430">
        <v>16</v>
      </c>
      <c r="AK35" s="501">
        <v>-8</v>
      </c>
      <c r="AL35" s="491">
        <v>9</v>
      </c>
      <c r="AM35" s="430">
        <v>18</v>
      </c>
      <c r="AN35" s="501">
        <v>-11.78</v>
      </c>
      <c r="AO35" s="545">
        <v>7</v>
      </c>
      <c r="AP35" s="430">
        <v>15</v>
      </c>
      <c r="AQ35" s="501">
        <v>-11.75</v>
      </c>
      <c r="AR35" s="554">
        <v>8</v>
      </c>
      <c r="AS35" s="109">
        <v>18</v>
      </c>
      <c r="AT35" s="501">
        <v>2.6799999999999993</v>
      </c>
      <c r="AU35" s="554">
        <v>2</v>
      </c>
      <c r="AV35" s="109">
        <v>7</v>
      </c>
      <c r="AW35" s="693"/>
      <c r="AX35" s="693"/>
      <c r="AY35" s="693"/>
      <c r="BA35" s="545"/>
    </row>
    <row r="36" spans="2:53" x14ac:dyDescent="0.25">
      <c r="B36" s="718"/>
      <c r="C36" s="722"/>
      <c r="D36" s="724" t="s">
        <v>13</v>
      </c>
      <c r="E36" s="724"/>
      <c r="G36" s="501">
        <v>-111.88000000000002</v>
      </c>
      <c r="H36" s="491">
        <v>2</v>
      </c>
      <c r="I36" s="430">
        <v>17</v>
      </c>
      <c r="J36" s="501">
        <v>-107.23</v>
      </c>
      <c r="K36" s="491">
        <v>6</v>
      </c>
      <c r="L36" s="430">
        <v>19</v>
      </c>
      <c r="M36" s="501">
        <v>-71.699999999999989</v>
      </c>
      <c r="N36" s="491">
        <v>2</v>
      </c>
      <c r="O36" s="430">
        <v>10</v>
      </c>
      <c r="P36" s="501">
        <v>7.1799999999999962</v>
      </c>
      <c r="Q36" s="444">
        <v>5</v>
      </c>
      <c r="R36" s="110">
        <v>10</v>
      </c>
      <c r="S36" s="501">
        <v>-33.040000000000006</v>
      </c>
      <c r="T36" s="491">
        <v>6</v>
      </c>
      <c r="U36" s="430">
        <v>15</v>
      </c>
      <c r="V36" s="501">
        <v>-43.239999999999988</v>
      </c>
      <c r="W36" s="491">
        <v>10</v>
      </c>
      <c r="X36" s="430">
        <v>19</v>
      </c>
      <c r="Y36" s="501">
        <v>-71.189999999999984</v>
      </c>
      <c r="Z36" s="491">
        <v>6</v>
      </c>
      <c r="AA36" s="430">
        <v>18</v>
      </c>
      <c r="AB36" s="501">
        <v>-75.11999999999999</v>
      </c>
      <c r="AC36" s="491">
        <v>4</v>
      </c>
      <c r="AD36" s="430">
        <v>13</v>
      </c>
      <c r="AE36" s="501">
        <v>-93.31</v>
      </c>
      <c r="AF36" s="491">
        <v>5</v>
      </c>
      <c r="AG36" s="430">
        <v>16</v>
      </c>
      <c r="AH36" s="501">
        <v>-33.69</v>
      </c>
      <c r="AI36" s="491">
        <v>8</v>
      </c>
      <c r="AJ36" s="430">
        <v>16</v>
      </c>
      <c r="AK36" s="501">
        <v>-66.359999999999985</v>
      </c>
      <c r="AL36" s="491">
        <v>7</v>
      </c>
      <c r="AM36" s="430">
        <v>18</v>
      </c>
      <c r="AN36" s="501">
        <v>-56.839999999999989</v>
      </c>
      <c r="AO36" s="545">
        <v>5</v>
      </c>
      <c r="AP36" s="430">
        <v>15</v>
      </c>
      <c r="AQ36" s="501">
        <v>-157.72</v>
      </c>
      <c r="AR36" s="554">
        <v>4</v>
      </c>
      <c r="AS36" s="109">
        <v>18</v>
      </c>
      <c r="AT36" s="501">
        <v>1.6099999999999994</v>
      </c>
      <c r="AU36" s="554">
        <v>3</v>
      </c>
      <c r="AV36" s="109">
        <v>7</v>
      </c>
      <c r="AW36" s="693"/>
      <c r="AX36" s="693"/>
      <c r="AY36" s="693"/>
      <c r="BA36" s="545"/>
    </row>
    <row r="37" spans="2:53" x14ac:dyDescent="0.25">
      <c r="B37" s="718"/>
      <c r="C37" s="722"/>
      <c r="D37" s="724" t="s">
        <v>12</v>
      </c>
      <c r="E37" s="724"/>
      <c r="G37" s="501">
        <v>-125.38000000000002</v>
      </c>
      <c r="H37" s="491">
        <v>8</v>
      </c>
      <c r="I37" s="430">
        <v>17</v>
      </c>
      <c r="J37" s="501">
        <v>-111.16999999999999</v>
      </c>
      <c r="K37" s="491">
        <v>6</v>
      </c>
      <c r="L37" s="430">
        <v>19</v>
      </c>
      <c r="M37" s="501">
        <v>-69.819999999999993</v>
      </c>
      <c r="N37" s="491">
        <v>4</v>
      </c>
      <c r="O37" s="430">
        <v>10</v>
      </c>
      <c r="P37" s="501">
        <v>-3.31</v>
      </c>
      <c r="Q37" s="491">
        <v>6</v>
      </c>
      <c r="R37" s="430">
        <v>10</v>
      </c>
      <c r="S37" s="501">
        <v>32.699999999999989</v>
      </c>
      <c r="T37" s="444">
        <v>9</v>
      </c>
      <c r="U37" s="110">
        <v>15</v>
      </c>
      <c r="V37" s="501">
        <v>-178.73000000000002</v>
      </c>
      <c r="W37" s="491">
        <v>6</v>
      </c>
      <c r="X37" s="430">
        <v>19</v>
      </c>
      <c r="Y37" s="501">
        <v>31.59</v>
      </c>
      <c r="Z37" s="491">
        <v>8</v>
      </c>
      <c r="AA37" s="430">
        <v>18</v>
      </c>
      <c r="AB37" s="501">
        <v>-126.04000000000002</v>
      </c>
      <c r="AC37" s="491">
        <v>5</v>
      </c>
      <c r="AD37" s="430">
        <v>13</v>
      </c>
      <c r="AE37" s="501">
        <v>-162.28</v>
      </c>
      <c r="AF37" s="491">
        <v>4</v>
      </c>
      <c r="AG37" s="430">
        <v>16</v>
      </c>
      <c r="AH37" s="501">
        <v>14.440000000000008</v>
      </c>
      <c r="AI37" s="491">
        <v>10</v>
      </c>
      <c r="AJ37" s="430">
        <v>16</v>
      </c>
      <c r="AK37" s="501">
        <v>-91.63</v>
      </c>
      <c r="AL37" s="491">
        <v>8</v>
      </c>
      <c r="AM37" s="430">
        <v>18</v>
      </c>
      <c r="AN37" s="501">
        <v>-118.87</v>
      </c>
      <c r="AO37" s="545">
        <v>6</v>
      </c>
      <c r="AP37" s="430">
        <v>15</v>
      </c>
      <c r="AQ37" s="501">
        <v>-105.99999999999996</v>
      </c>
      <c r="AR37" s="554">
        <v>7</v>
      </c>
      <c r="AS37" s="109">
        <v>18</v>
      </c>
      <c r="AT37" s="501">
        <v>-4.1500000000000128</v>
      </c>
      <c r="AU37" s="554">
        <v>4</v>
      </c>
      <c r="AV37" s="109">
        <v>7</v>
      </c>
      <c r="AW37" s="693"/>
      <c r="AX37" s="693"/>
      <c r="AY37" s="693"/>
      <c r="BA37" s="545"/>
    </row>
    <row r="38" spans="2:53" x14ac:dyDescent="0.25">
      <c r="B38" s="718"/>
      <c r="C38" s="723"/>
      <c r="D38" s="725" t="s">
        <v>24</v>
      </c>
      <c r="E38" s="725"/>
      <c r="G38" s="501">
        <v>-131.16</v>
      </c>
      <c r="H38" s="491">
        <v>7</v>
      </c>
      <c r="I38" s="430">
        <v>16</v>
      </c>
      <c r="J38" s="501">
        <v>-18.790000000000006</v>
      </c>
      <c r="K38" s="491">
        <v>12</v>
      </c>
      <c r="L38" s="430">
        <v>19</v>
      </c>
      <c r="M38" s="501">
        <v>-79.02000000000001</v>
      </c>
      <c r="N38" s="491">
        <v>4</v>
      </c>
      <c r="O38" s="430">
        <v>10</v>
      </c>
      <c r="P38" s="501">
        <v>64.56</v>
      </c>
      <c r="Q38" s="444">
        <v>7</v>
      </c>
      <c r="R38" s="110">
        <v>10</v>
      </c>
      <c r="S38" s="501">
        <v>68.19</v>
      </c>
      <c r="T38" s="444">
        <v>10</v>
      </c>
      <c r="U38" s="110">
        <v>13</v>
      </c>
      <c r="V38" s="501">
        <v>-23.449999999999996</v>
      </c>
      <c r="W38" s="491">
        <v>11</v>
      </c>
      <c r="X38" s="430">
        <v>18</v>
      </c>
      <c r="Y38" s="501">
        <v>6.6700000000000124</v>
      </c>
      <c r="Z38" s="491">
        <v>11</v>
      </c>
      <c r="AA38" s="430">
        <v>18</v>
      </c>
      <c r="AB38" s="501">
        <v>-85.9</v>
      </c>
      <c r="AC38" s="491">
        <v>5</v>
      </c>
      <c r="AD38" s="430">
        <v>12</v>
      </c>
      <c r="AE38" s="501">
        <v>-83.580000000000013</v>
      </c>
      <c r="AF38" s="491">
        <v>6</v>
      </c>
      <c r="AG38" s="430">
        <v>15</v>
      </c>
      <c r="AH38" s="501">
        <v>-193.48</v>
      </c>
      <c r="AI38" s="491">
        <v>5</v>
      </c>
      <c r="AJ38" s="430">
        <v>16</v>
      </c>
      <c r="AK38" s="501">
        <v>-143.10999999999999</v>
      </c>
      <c r="AL38" s="491">
        <v>7</v>
      </c>
      <c r="AM38" s="430">
        <v>18</v>
      </c>
      <c r="AN38" s="501">
        <v>-80.78</v>
      </c>
      <c r="AO38" s="545">
        <v>7</v>
      </c>
      <c r="AP38" s="430">
        <v>15</v>
      </c>
      <c r="AQ38" s="501">
        <v>-154.66999999999999</v>
      </c>
      <c r="AR38" s="554">
        <v>8</v>
      </c>
      <c r="AS38" s="109">
        <v>18</v>
      </c>
      <c r="AT38" s="501">
        <v>13.100000000000001</v>
      </c>
      <c r="AU38" s="554">
        <v>5</v>
      </c>
      <c r="AV38" s="109">
        <v>7</v>
      </c>
      <c r="AW38" s="693"/>
      <c r="AX38" s="693"/>
      <c r="AY38" s="693"/>
      <c r="BA38" s="545"/>
    </row>
    <row r="39" spans="2:53" x14ac:dyDescent="0.25">
      <c r="B39" s="718"/>
      <c r="C39" s="743" t="s">
        <v>8</v>
      </c>
      <c r="D39" s="729" t="s">
        <v>14</v>
      </c>
      <c r="E39" s="729"/>
      <c r="G39" s="501">
        <v>-8.59</v>
      </c>
      <c r="H39" s="491">
        <v>6</v>
      </c>
      <c r="I39" s="430">
        <v>17</v>
      </c>
      <c r="J39" s="501">
        <v>-6.299999999999998</v>
      </c>
      <c r="K39" s="491">
        <v>9</v>
      </c>
      <c r="L39" s="430">
        <v>17</v>
      </c>
      <c r="M39" s="501">
        <v>-9.9700000000000024</v>
      </c>
      <c r="N39" s="491">
        <v>4</v>
      </c>
      <c r="O39" s="430">
        <v>10</v>
      </c>
      <c r="P39" s="501">
        <v>-0.79000000000000137</v>
      </c>
      <c r="Q39" s="491">
        <v>7</v>
      </c>
      <c r="R39" s="430">
        <v>11</v>
      </c>
      <c r="S39" s="501">
        <v>0.20000000000000107</v>
      </c>
      <c r="T39" s="491">
        <v>6</v>
      </c>
      <c r="U39" s="430">
        <v>13</v>
      </c>
      <c r="V39" s="501">
        <v>-112.97</v>
      </c>
      <c r="W39" s="491">
        <v>4</v>
      </c>
      <c r="X39" s="430">
        <v>18</v>
      </c>
      <c r="Y39" s="501">
        <v>5.4099999999999966</v>
      </c>
      <c r="Z39" s="491">
        <v>6</v>
      </c>
      <c r="AA39" s="430">
        <v>17</v>
      </c>
      <c r="AB39" s="501">
        <v>-49.42</v>
      </c>
      <c r="AC39" s="491">
        <v>3</v>
      </c>
      <c r="AD39" s="430">
        <v>11</v>
      </c>
      <c r="AE39" s="501">
        <v>-20.719999999999995</v>
      </c>
      <c r="AF39" s="491">
        <v>6</v>
      </c>
      <c r="AG39" s="430">
        <v>16</v>
      </c>
      <c r="AH39" s="501">
        <v>-46.13</v>
      </c>
      <c r="AI39" s="491">
        <v>4</v>
      </c>
      <c r="AJ39" s="430">
        <v>16</v>
      </c>
      <c r="AK39" s="501">
        <v>-30.889999999999997</v>
      </c>
      <c r="AL39" s="491">
        <v>7</v>
      </c>
      <c r="AM39" s="430">
        <v>16</v>
      </c>
      <c r="AN39" s="501">
        <v>-50.529999999999994</v>
      </c>
      <c r="AO39" s="545">
        <v>5</v>
      </c>
      <c r="AP39" s="430">
        <v>15</v>
      </c>
      <c r="AQ39" s="501">
        <v>-18.410000000000004</v>
      </c>
      <c r="AR39" s="554">
        <v>7</v>
      </c>
      <c r="AS39" s="109">
        <v>17</v>
      </c>
      <c r="AT39" s="501">
        <v>-5.8899999999999988</v>
      </c>
      <c r="AU39" s="554">
        <v>2</v>
      </c>
      <c r="AV39" s="109">
        <v>7</v>
      </c>
      <c r="AW39" s="693"/>
      <c r="AX39" s="693"/>
      <c r="AY39" s="693"/>
      <c r="BA39" s="545"/>
    </row>
    <row r="40" spans="2:53" x14ac:dyDescent="0.25">
      <c r="B40" s="718"/>
      <c r="C40" s="744"/>
      <c r="D40" s="724" t="s">
        <v>15</v>
      </c>
      <c r="E40" s="724"/>
      <c r="G40" s="501">
        <v>-14.959999999999996</v>
      </c>
      <c r="H40" s="491">
        <v>11</v>
      </c>
      <c r="I40" s="430">
        <v>17</v>
      </c>
      <c r="J40" s="501">
        <v>-16.079999999999995</v>
      </c>
      <c r="K40" s="491">
        <v>7</v>
      </c>
      <c r="L40" s="430">
        <v>17</v>
      </c>
      <c r="M40" s="501">
        <v>-21.71</v>
      </c>
      <c r="N40" s="491">
        <v>3</v>
      </c>
      <c r="O40" s="430">
        <v>10</v>
      </c>
      <c r="P40" s="501">
        <v>-2.3300000000000023</v>
      </c>
      <c r="Q40" s="491">
        <v>5</v>
      </c>
      <c r="R40" s="430">
        <v>11</v>
      </c>
      <c r="S40" s="501">
        <v>-7.62</v>
      </c>
      <c r="T40" s="491">
        <v>6</v>
      </c>
      <c r="U40" s="430">
        <v>13</v>
      </c>
      <c r="V40" s="501">
        <v>-41.37</v>
      </c>
      <c r="W40" s="491">
        <v>6</v>
      </c>
      <c r="X40" s="430">
        <v>15</v>
      </c>
      <c r="Y40" s="501">
        <v>-11.739999999999998</v>
      </c>
      <c r="Z40" s="491">
        <v>9</v>
      </c>
      <c r="AA40" s="430">
        <v>16</v>
      </c>
      <c r="AB40" s="501">
        <v>-16.36</v>
      </c>
      <c r="AC40" s="491">
        <v>3</v>
      </c>
      <c r="AD40" s="430">
        <v>11</v>
      </c>
      <c r="AE40" s="501">
        <v>-27.740000000000002</v>
      </c>
      <c r="AF40" s="491">
        <v>8</v>
      </c>
      <c r="AG40" s="430">
        <v>16</v>
      </c>
      <c r="AH40" s="501">
        <v>14.610000000000003</v>
      </c>
      <c r="AI40" s="491">
        <v>8</v>
      </c>
      <c r="AJ40" s="430">
        <v>16</v>
      </c>
      <c r="AK40" s="501">
        <v>-41.670000000000016</v>
      </c>
      <c r="AL40" s="491">
        <v>4</v>
      </c>
      <c r="AM40" s="430">
        <v>16</v>
      </c>
      <c r="AN40" s="501">
        <v>-18.339999999999996</v>
      </c>
      <c r="AO40" s="545">
        <v>8</v>
      </c>
      <c r="AP40" s="430">
        <v>15</v>
      </c>
      <c r="AQ40" s="501">
        <v>11.239999999999997</v>
      </c>
      <c r="AR40" s="554">
        <v>8</v>
      </c>
      <c r="AS40" s="109">
        <v>17</v>
      </c>
      <c r="AT40" s="501">
        <v>-34.44</v>
      </c>
      <c r="AU40" s="554">
        <v>2</v>
      </c>
      <c r="AV40" s="109">
        <v>7</v>
      </c>
      <c r="AW40" s="693"/>
      <c r="AX40" s="693"/>
      <c r="AY40" s="693"/>
      <c r="BA40" s="545"/>
    </row>
    <row r="41" spans="2:53" x14ac:dyDescent="0.25">
      <c r="B41" s="718"/>
      <c r="C41" s="744"/>
      <c r="D41" s="724" t="s">
        <v>13</v>
      </c>
      <c r="E41" s="724"/>
      <c r="G41" s="501">
        <v>-78.819999999999979</v>
      </c>
      <c r="H41" s="491">
        <v>7</v>
      </c>
      <c r="I41" s="430">
        <v>17</v>
      </c>
      <c r="J41" s="501">
        <v>-72.89</v>
      </c>
      <c r="K41" s="491">
        <v>7</v>
      </c>
      <c r="L41" s="430">
        <v>17</v>
      </c>
      <c r="M41" s="501">
        <v>-59.949999999999982</v>
      </c>
      <c r="N41" s="491">
        <v>2</v>
      </c>
      <c r="O41" s="430">
        <v>10</v>
      </c>
      <c r="P41" s="501">
        <v>-50.25</v>
      </c>
      <c r="Q41" s="491">
        <v>3</v>
      </c>
      <c r="R41" s="430">
        <v>11</v>
      </c>
      <c r="S41" s="501">
        <v>-90.119999999999976</v>
      </c>
      <c r="T41" s="491">
        <v>5</v>
      </c>
      <c r="U41" s="430">
        <v>13</v>
      </c>
      <c r="V41" s="501">
        <v>-179.01</v>
      </c>
      <c r="W41" s="491">
        <v>3</v>
      </c>
      <c r="X41" s="430">
        <v>18</v>
      </c>
      <c r="Y41" s="501">
        <v>2.4200000000000075</v>
      </c>
      <c r="Z41" s="491">
        <v>6</v>
      </c>
      <c r="AA41" s="430">
        <v>17</v>
      </c>
      <c r="AB41" s="501">
        <v>-176.63</v>
      </c>
      <c r="AC41" s="491">
        <v>1</v>
      </c>
      <c r="AD41" s="430">
        <v>11</v>
      </c>
      <c r="AE41" s="501">
        <v>-138.26999999999998</v>
      </c>
      <c r="AF41" s="491">
        <v>4</v>
      </c>
      <c r="AG41" s="430">
        <v>16</v>
      </c>
      <c r="AH41" s="501">
        <v>-93.70999999999998</v>
      </c>
      <c r="AI41" s="491">
        <v>3</v>
      </c>
      <c r="AJ41" s="430">
        <v>16</v>
      </c>
      <c r="AK41" s="501">
        <v>-109.66999999999999</v>
      </c>
      <c r="AL41" s="491">
        <v>4</v>
      </c>
      <c r="AM41" s="430">
        <v>16</v>
      </c>
      <c r="AN41" s="501">
        <v>-92.35</v>
      </c>
      <c r="AO41" s="545">
        <v>5</v>
      </c>
      <c r="AP41" s="430">
        <v>15</v>
      </c>
      <c r="AQ41" s="501">
        <v>-127.02999999999999</v>
      </c>
      <c r="AR41" s="554">
        <v>6</v>
      </c>
      <c r="AS41" s="109">
        <v>17</v>
      </c>
      <c r="AT41" s="501">
        <v>-53.32</v>
      </c>
      <c r="AU41" s="554">
        <v>1</v>
      </c>
      <c r="AV41" s="109">
        <v>7</v>
      </c>
      <c r="AW41" s="693"/>
      <c r="AX41" s="693"/>
      <c r="AY41" s="693"/>
      <c r="BA41" s="545"/>
    </row>
    <row r="42" spans="2:53" x14ac:dyDescent="0.25">
      <c r="B42" s="718"/>
      <c r="C42" s="744"/>
      <c r="D42" s="724" t="s">
        <v>12</v>
      </c>
      <c r="E42" s="724"/>
      <c r="G42" s="501">
        <v>-56.010000000000019</v>
      </c>
      <c r="H42" s="491">
        <v>8</v>
      </c>
      <c r="I42" s="430">
        <v>17</v>
      </c>
      <c r="J42" s="501">
        <v>-71.61</v>
      </c>
      <c r="K42" s="491">
        <v>6</v>
      </c>
      <c r="L42" s="430">
        <v>17</v>
      </c>
      <c r="M42" s="501">
        <v>-105.69999999999999</v>
      </c>
      <c r="N42" s="491">
        <v>1</v>
      </c>
      <c r="O42" s="430">
        <v>10</v>
      </c>
      <c r="P42" s="501">
        <v>-140.51999999999998</v>
      </c>
      <c r="Q42" s="491">
        <v>3</v>
      </c>
      <c r="R42" s="430">
        <v>11</v>
      </c>
      <c r="S42" s="501">
        <v>-36.619999999999976</v>
      </c>
      <c r="T42" s="491">
        <v>6</v>
      </c>
      <c r="U42" s="430">
        <v>13</v>
      </c>
      <c r="V42" s="501">
        <v>-109.58000000000001</v>
      </c>
      <c r="W42" s="491">
        <v>6</v>
      </c>
      <c r="X42" s="430">
        <v>18</v>
      </c>
      <c r="Y42" s="501">
        <v>-56.44</v>
      </c>
      <c r="Z42" s="491">
        <v>7</v>
      </c>
      <c r="AA42" s="430">
        <v>17</v>
      </c>
      <c r="AB42" s="501">
        <v>-199.21</v>
      </c>
      <c r="AC42" s="491">
        <v>1</v>
      </c>
      <c r="AD42" s="430">
        <v>11</v>
      </c>
      <c r="AE42" s="501">
        <v>-249.93000000000004</v>
      </c>
      <c r="AF42" s="491">
        <v>5</v>
      </c>
      <c r="AG42" s="430">
        <v>16</v>
      </c>
      <c r="AH42" s="501">
        <v>-267.12999999999994</v>
      </c>
      <c r="AI42" s="491">
        <v>4</v>
      </c>
      <c r="AJ42" s="430">
        <v>16</v>
      </c>
      <c r="AK42" s="501">
        <v>-155.71999999999997</v>
      </c>
      <c r="AL42" s="491">
        <v>5</v>
      </c>
      <c r="AM42" s="430">
        <v>16</v>
      </c>
      <c r="AN42" s="501">
        <v>-104.92000000000002</v>
      </c>
      <c r="AO42" s="545">
        <v>5</v>
      </c>
      <c r="AP42" s="430">
        <v>15</v>
      </c>
      <c r="AQ42" s="501">
        <v>-136.62999999999997</v>
      </c>
      <c r="AR42" s="554">
        <v>7</v>
      </c>
      <c r="AS42" s="109">
        <v>17</v>
      </c>
      <c r="AT42" s="501">
        <v>-100.63999999999999</v>
      </c>
      <c r="AU42" s="554">
        <v>1</v>
      </c>
      <c r="AV42" s="109">
        <v>7</v>
      </c>
      <c r="AW42" s="693"/>
      <c r="AX42" s="693"/>
      <c r="AY42" s="693"/>
      <c r="BA42" s="545"/>
    </row>
    <row r="43" spans="2:53" x14ac:dyDescent="0.25">
      <c r="B43" s="718"/>
      <c r="C43" s="745"/>
      <c r="D43" s="725" t="s">
        <v>24</v>
      </c>
      <c r="E43" s="725"/>
      <c r="G43" s="501">
        <v>16.400000000000006</v>
      </c>
      <c r="H43" s="444">
        <v>12</v>
      </c>
      <c r="I43" s="110">
        <v>17</v>
      </c>
      <c r="J43" s="501">
        <v>7.1199999999999761</v>
      </c>
      <c r="K43" s="444">
        <v>10</v>
      </c>
      <c r="L43" s="110">
        <v>17</v>
      </c>
      <c r="M43" s="501">
        <v>-230.39999999999998</v>
      </c>
      <c r="N43" s="491">
        <v>2</v>
      </c>
      <c r="O43" s="430">
        <v>10</v>
      </c>
      <c r="P43" s="501">
        <v>7.4300000000000015</v>
      </c>
      <c r="Q43" s="444">
        <v>8</v>
      </c>
      <c r="R43" s="110">
        <v>11</v>
      </c>
      <c r="S43" s="501">
        <v>68.419999999999987</v>
      </c>
      <c r="T43" s="444">
        <v>9</v>
      </c>
      <c r="U43" s="110">
        <v>13</v>
      </c>
      <c r="V43" s="501">
        <v>-98.43</v>
      </c>
      <c r="W43" s="491">
        <v>6</v>
      </c>
      <c r="X43" s="430">
        <v>15</v>
      </c>
      <c r="Y43" s="501">
        <v>-146.08999999999997</v>
      </c>
      <c r="Z43" s="491">
        <v>5</v>
      </c>
      <c r="AA43" s="430">
        <v>15</v>
      </c>
      <c r="AB43" s="501">
        <v>-129.72</v>
      </c>
      <c r="AC43" s="491">
        <v>5</v>
      </c>
      <c r="AD43" s="430">
        <v>11</v>
      </c>
      <c r="AE43" s="501">
        <v>-283.30000000000013</v>
      </c>
      <c r="AF43" s="491">
        <v>5</v>
      </c>
      <c r="AG43" s="430">
        <v>16</v>
      </c>
      <c r="AH43" s="501">
        <v>-232.32999999999998</v>
      </c>
      <c r="AI43" s="491">
        <v>7</v>
      </c>
      <c r="AJ43" s="430">
        <v>16</v>
      </c>
      <c r="AK43" s="501">
        <v>-16.280000000000008</v>
      </c>
      <c r="AL43" s="491">
        <v>8.5</v>
      </c>
      <c r="AM43" s="430">
        <v>15.5</v>
      </c>
      <c r="AN43" s="501">
        <v>-244.17000000000002</v>
      </c>
      <c r="AO43" s="545">
        <v>4</v>
      </c>
      <c r="AP43" s="430">
        <v>15</v>
      </c>
      <c r="AQ43" s="501">
        <v>-102.23</v>
      </c>
      <c r="AR43" s="554">
        <v>8</v>
      </c>
      <c r="AS43" s="109">
        <v>17</v>
      </c>
      <c r="AT43" s="501">
        <v>-14.009999999999991</v>
      </c>
      <c r="AU43" s="554">
        <v>5</v>
      </c>
      <c r="AV43" s="109">
        <v>7</v>
      </c>
      <c r="AW43" s="693"/>
      <c r="AX43" s="693"/>
      <c r="AY43" s="693"/>
      <c r="BA43" s="545"/>
    </row>
    <row r="44" spans="2:53" x14ac:dyDescent="0.25">
      <c r="B44" s="718"/>
      <c r="C44" s="730" t="s">
        <v>11</v>
      </c>
      <c r="D44" s="724" t="s">
        <v>14</v>
      </c>
      <c r="E44" s="724"/>
      <c r="G44" s="501">
        <v>-30.729999999999993</v>
      </c>
      <c r="H44" s="491">
        <v>4</v>
      </c>
      <c r="I44" s="430">
        <v>17</v>
      </c>
      <c r="J44" s="501">
        <v>-30.280000000000005</v>
      </c>
      <c r="K44" s="491">
        <v>5</v>
      </c>
      <c r="L44" s="430">
        <v>19</v>
      </c>
      <c r="M44" s="501">
        <v>-32.049999999999997</v>
      </c>
      <c r="N44" s="491">
        <v>2</v>
      </c>
      <c r="O44" s="430">
        <v>10</v>
      </c>
      <c r="P44" s="501">
        <v>-36.720000000000006</v>
      </c>
      <c r="Q44" s="491">
        <v>1</v>
      </c>
      <c r="R44" s="430">
        <v>11</v>
      </c>
      <c r="S44" s="501">
        <v>-44.09</v>
      </c>
      <c r="T44" s="491">
        <v>1</v>
      </c>
      <c r="U44" s="430">
        <v>14</v>
      </c>
      <c r="V44" s="501">
        <v>-106.75999999999999</v>
      </c>
      <c r="W44" s="491">
        <v>5</v>
      </c>
      <c r="X44" s="430">
        <v>19</v>
      </c>
      <c r="Y44" s="501">
        <v>20.88</v>
      </c>
      <c r="Z44" s="491">
        <v>11</v>
      </c>
      <c r="AA44" s="430">
        <v>18</v>
      </c>
      <c r="AB44" s="501">
        <v>-38.570000000000007</v>
      </c>
      <c r="AC44" s="491">
        <v>4</v>
      </c>
      <c r="AD44" s="430">
        <v>13</v>
      </c>
      <c r="AE44" s="501">
        <v>-35.659999999999989</v>
      </c>
      <c r="AF44" s="491">
        <v>5</v>
      </c>
      <c r="AG44" s="430">
        <v>16</v>
      </c>
      <c r="AH44" s="501">
        <v>-33.47</v>
      </c>
      <c r="AI44" s="491">
        <v>6</v>
      </c>
      <c r="AJ44" s="430">
        <v>16</v>
      </c>
      <c r="AK44" s="501">
        <v>-13.01</v>
      </c>
      <c r="AL44" s="491">
        <v>6</v>
      </c>
      <c r="AM44" s="430">
        <v>18</v>
      </c>
      <c r="AN44" s="501">
        <v>-36.159999999999989</v>
      </c>
      <c r="AO44" s="545">
        <v>6</v>
      </c>
      <c r="AP44" s="430">
        <v>15</v>
      </c>
      <c r="AQ44" s="501">
        <v>-30.760000000000005</v>
      </c>
      <c r="AR44" s="554">
        <v>7</v>
      </c>
      <c r="AS44" s="109">
        <v>18</v>
      </c>
      <c r="AT44" s="501">
        <v>-37.089999999999996</v>
      </c>
      <c r="AU44" s="554">
        <v>0</v>
      </c>
      <c r="AV44" s="109">
        <v>7</v>
      </c>
      <c r="AW44" s="693"/>
      <c r="AX44" s="693"/>
      <c r="AY44" s="693"/>
      <c r="BA44" s="545"/>
    </row>
    <row r="45" spans="2:53" x14ac:dyDescent="0.25">
      <c r="B45" s="718"/>
      <c r="C45" s="731"/>
      <c r="D45" s="724" t="s">
        <v>15</v>
      </c>
      <c r="E45" s="724"/>
      <c r="G45" s="501">
        <v>-38.340000000000003</v>
      </c>
      <c r="H45" s="491">
        <v>6</v>
      </c>
      <c r="I45" s="430">
        <v>17</v>
      </c>
      <c r="J45" s="501">
        <v>-32.020000000000003</v>
      </c>
      <c r="K45" s="491">
        <v>4</v>
      </c>
      <c r="L45" s="430">
        <v>19</v>
      </c>
      <c r="M45" s="501">
        <v>-13.010000000000002</v>
      </c>
      <c r="N45" s="491">
        <v>4</v>
      </c>
      <c r="O45" s="430">
        <v>10</v>
      </c>
      <c r="P45" s="501">
        <v>5.28</v>
      </c>
      <c r="Q45" s="444">
        <v>6</v>
      </c>
      <c r="R45" s="110">
        <v>11</v>
      </c>
      <c r="S45" s="501">
        <v>-24.93</v>
      </c>
      <c r="T45" s="491">
        <v>6</v>
      </c>
      <c r="U45" s="430">
        <v>14</v>
      </c>
      <c r="V45" s="501">
        <v>-31.509999999999998</v>
      </c>
      <c r="W45" s="491">
        <v>8</v>
      </c>
      <c r="X45" s="430">
        <v>18</v>
      </c>
      <c r="Y45" s="501">
        <v>-22.670000000000005</v>
      </c>
      <c r="Z45" s="491">
        <v>9</v>
      </c>
      <c r="AA45" s="430">
        <v>18</v>
      </c>
      <c r="AB45" s="501">
        <v>-23.290000000000006</v>
      </c>
      <c r="AC45" s="491">
        <v>5</v>
      </c>
      <c r="AD45" s="430">
        <v>13</v>
      </c>
      <c r="AE45" s="501">
        <v>-3.8299999999999992</v>
      </c>
      <c r="AF45" s="491">
        <v>7</v>
      </c>
      <c r="AG45" s="430">
        <v>16</v>
      </c>
      <c r="AH45" s="501">
        <v>-36.85</v>
      </c>
      <c r="AI45" s="491">
        <v>5</v>
      </c>
      <c r="AJ45" s="430">
        <v>16</v>
      </c>
      <c r="AK45" s="501">
        <v>-28.450000000000003</v>
      </c>
      <c r="AL45" s="491">
        <v>6</v>
      </c>
      <c r="AM45" s="430">
        <v>18</v>
      </c>
      <c r="AN45" s="501">
        <v>-18.590000000000003</v>
      </c>
      <c r="AO45" s="545">
        <v>8</v>
      </c>
      <c r="AP45" s="430">
        <v>15</v>
      </c>
      <c r="AQ45" s="501">
        <v>-23.879999999999995</v>
      </c>
      <c r="AR45" s="554">
        <v>7</v>
      </c>
      <c r="AS45" s="109">
        <v>17</v>
      </c>
      <c r="AT45" s="501">
        <v>-10.280000000000001</v>
      </c>
      <c r="AU45" s="554">
        <v>2</v>
      </c>
      <c r="AV45" s="109">
        <v>7</v>
      </c>
      <c r="AW45" s="693"/>
      <c r="AX45" s="693"/>
      <c r="AY45" s="693"/>
      <c r="BA45" s="545"/>
    </row>
    <row r="46" spans="2:53" x14ac:dyDescent="0.25">
      <c r="B46" s="718"/>
      <c r="C46" s="731"/>
      <c r="D46" s="724" t="s">
        <v>13</v>
      </c>
      <c r="E46" s="724"/>
      <c r="G46" s="501">
        <v>-100.02</v>
      </c>
      <c r="H46" s="491">
        <v>6</v>
      </c>
      <c r="I46" s="430">
        <v>17</v>
      </c>
      <c r="J46" s="501">
        <v>-170.76</v>
      </c>
      <c r="K46" s="491">
        <v>3</v>
      </c>
      <c r="L46" s="430">
        <v>19</v>
      </c>
      <c r="M46" s="501">
        <v>-73</v>
      </c>
      <c r="N46" s="491">
        <v>2</v>
      </c>
      <c r="O46" s="430">
        <v>10</v>
      </c>
      <c r="P46" s="501">
        <v>-52.449999999999996</v>
      </c>
      <c r="Q46" s="491">
        <v>3</v>
      </c>
      <c r="R46" s="430">
        <v>11</v>
      </c>
      <c r="S46" s="501">
        <v>-91.69</v>
      </c>
      <c r="T46" s="491">
        <v>6</v>
      </c>
      <c r="U46" s="430">
        <v>14</v>
      </c>
      <c r="V46" s="501">
        <v>-32.679999999999993</v>
      </c>
      <c r="W46" s="491">
        <v>8</v>
      </c>
      <c r="X46" s="430">
        <v>19</v>
      </c>
      <c r="Y46" s="501">
        <v>54.029999999999994</v>
      </c>
      <c r="Z46" s="491">
        <v>10</v>
      </c>
      <c r="AA46" s="430">
        <v>18</v>
      </c>
      <c r="AB46" s="501">
        <v>-138.06</v>
      </c>
      <c r="AC46" s="491">
        <v>3</v>
      </c>
      <c r="AD46" s="430">
        <v>13</v>
      </c>
      <c r="AE46" s="501">
        <v>-112.64999999999998</v>
      </c>
      <c r="AF46" s="491">
        <v>7</v>
      </c>
      <c r="AG46" s="430">
        <v>16</v>
      </c>
      <c r="AH46" s="501">
        <v>-149.83000000000001</v>
      </c>
      <c r="AI46" s="491">
        <v>4</v>
      </c>
      <c r="AJ46" s="430">
        <v>16</v>
      </c>
      <c r="AK46" s="501">
        <v>-130.23000000000002</v>
      </c>
      <c r="AL46" s="491">
        <v>2</v>
      </c>
      <c r="AM46" s="430">
        <v>18</v>
      </c>
      <c r="AN46" s="501">
        <v>-92.539999999999978</v>
      </c>
      <c r="AO46" s="545">
        <v>6</v>
      </c>
      <c r="AP46" s="430">
        <v>15</v>
      </c>
      <c r="AQ46" s="501">
        <v>-90.050000000000011</v>
      </c>
      <c r="AR46" s="554">
        <v>7</v>
      </c>
      <c r="AS46" s="109">
        <v>18</v>
      </c>
      <c r="AT46" s="501">
        <v>-60.919999999999995</v>
      </c>
      <c r="AU46" s="554">
        <v>2</v>
      </c>
      <c r="AV46" s="109">
        <v>7</v>
      </c>
      <c r="AW46" s="693"/>
      <c r="AX46" s="693"/>
      <c r="AY46" s="693"/>
      <c r="BA46" s="545"/>
    </row>
    <row r="47" spans="2:53" x14ac:dyDescent="0.25">
      <c r="B47" s="718"/>
      <c r="C47" s="731"/>
      <c r="D47" s="724" t="s">
        <v>12</v>
      </c>
      <c r="E47" s="724"/>
      <c r="G47" s="501">
        <v>-112.49999999999999</v>
      </c>
      <c r="H47" s="491">
        <v>5</v>
      </c>
      <c r="I47" s="430">
        <v>17</v>
      </c>
      <c r="J47" s="501">
        <v>-109.15000000000002</v>
      </c>
      <c r="K47" s="491">
        <v>9</v>
      </c>
      <c r="L47" s="430">
        <v>19</v>
      </c>
      <c r="M47" s="501">
        <v>-31.839999999999993</v>
      </c>
      <c r="N47" s="491">
        <v>6</v>
      </c>
      <c r="O47" s="430">
        <v>10</v>
      </c>
      <c r="P47" s="501">
        <v>-28.749999999999982</v>
      </c>
      <c r="Q47" s="491">
        <v>4</v>
      </c>
      <c r="R47" s="430">
        <v>11</v>
      </c>
      <c r="S47" s="501">
        <v>-139.84000000000003</v>
      </c>
      <c r="T47" s="491">
        <v>6</v>
      </c>
      <c r="U47" s="430">
        <v>14</v>
      </c>
      <c r="V47" s="501">
        <v>1.6499999999999897</v>
      </c>
      <c r="W47" s="491">
        <v>7</v>
      </c>
      <c r="X47" s="430">
        <v>19</v>
      </c>
      <c r="Y47" s="501">
        <v>84.290000000000035</v>
      </c>
      <c r="Z47" s="491">
        <v>12</v>
      </c>
      <c r="AA47" s="430">
        <v>18</v>
      </c>
      <c r="AB47" s="501">
        <v>-291.62</v>
      </c>
      <c r="AC47" s="491">
        <v>2</v>
      </c>
      <c r="AD47" s="430">
        <v>13</v>
      </c>
      <c r="AE47" s="501">
        <v>-149.69999999999999</v>
      </c>
      <c r="AF47" s="491">
        <v>7</v>
      </c>
      <c r="AG47" s="430">
        <v>16</v>
      </c>
      <c r="AH47" s="501">
        <v>-209.60999999999996</v>
      </c>
      <c r="AI47" s="491">
        <v>5</v>
      </c>
      <c r="AJ47" s="430">
        <v>16</v>
      </c>
      <c r="AK47" s="501">
        <v>-112.30999999999997</v>
      </c>
      <c r="AL47" s="491">
        <v>6</v>
      </c>
      <c r="AM47" s="430">
        <v>18</v>
      </c>
      <c r="AN47" s="501">
        <v>-39.199999999999974</v>
      </c>
      <c r="AO47" s="545">
        <v>8</v>
      </c>
      <c r="AP47" s="430">
        <v>15</v>
      </c>
      <c r="AQ47" s="501">
        <v>-123.45000000000003</v>
      </c>
      <c r="AR47" s="554">
        <v>7</v>
      </c>
      <c r="AS47" s="109">
        <v>18</v>
      </c>
      <c r="AT47" s="501">
        <v>-111.47999999999999</v>
      </c>
      <c r="AU47" s="554">
        <v>2</v>
      </c>
      <c r="AV47" s="109">
        <v>7</v>
      </c>
      <c r="AW47" s="693"/>
      <c r="AX47" s="693"/>
      <c r="AY47" s="693"/>
      <c r="BA47" s="545"/>
    </row>
    <row r="48" spans="2:53" ht="15.75" thickBot="1" x14ac:dyDescent="0.3">
      <c r="B48" s="738"/>
      <c r="C48" s="740"/>
      <c r="D48" s="739" t="s">
        <v>24</v>
      </c>
      <c r="E48" s="739"/>
      <c r="F48" s="20"/>
      <c r="G48" s="107">
        <v>-8.6800000000000086</v>
      </c>
      <c r="H48" s="193">
        <v>10</v>
      </c>
      <c r="I48" s="106">
        <v>17</v>
      </c>
      <c r="J48" s="107">
        <v>-57.880000000000017</v>
      </c>
      <c r="K48" s="193">
        <v>10</v>
      </c>
      <c r="L48" s="106">
        <v>19</v>
      </c>
      <c r="M48" s="107">
        <v>-136.44</v>
      </c>
      <c r="N48" s="193">
        <v>3</v>
      </c>
      <c r="O48" s="106">
        <v>10</v>
      </c>
      <c r="P48" s="107">
        <v>-31.960000000000008</v>
      </c>
      <c r="Q48" s="193">
        <v>5</v>
      </c>
      <c r="R48" s="106">
        <v>11</v>
      </c>
      <c r="S48" s="107">
        <v>83.909999999999982</v>
      </c>
      <c r="T48" s="507">
        <v>10</v>
      </c>
      <c r="U48" s="506">
        <v>14</v>
      </c>
      <c r="V48" s="107">
        <v>163.11999999999998</v>
      </c>
      <c r="W48" s="193">
        <v>12</v>
      </c>
      <c r="X48" s="106">
        <v>19</v>
      </c>
      <c r="Y48" s="107">
        <v>144.83000000000001</v>
      </c>
      <c r="Z48" s="193">
        <v>10</v>
      </c>
      <c r="AA48" s="106">
        <v>17</v>
      </c>
      <c r="AB48" s="107">
        <v>-249.12999999999997</v>
      </c>
      <c r="AC48" s="193">
        <v>4</v>
      </c>
      <c r="AD48" s="106">
        <v>13</v>
      </c>
      <c r="AE48" s="107">
        <v>-22.320000000000029</v>
      </c>
      <c r="AF48" s="193">
        <v>8</v>
      </c>
      <c r="AG48" s="106">
        <v>16</v>
      </c>
      <c r="AH48" s="107">
        <v>-223.57999999999993</v>
      </c>
      <c r="AI48" s="193">
        <v>5</v>
      </c>
      <c r="AJ48" s="106">
        <v>15</v>
      </c>
      <c r="AK48" s="107">
        <v>46.43</v>
      </c>
      <c r="AL48" s="507">
        <v>10</v>
      </c>
      <c r="AM48" s="506">
        <v>18</v>
      </c>
      <c r="AN48" s="107">
        <v>-126.53000000000003</v>
      </c>
      <c r="AO48" s="552">
        <v>6</v>
      </c>
      <c r="AP48" s="553">
        <v>15</v>
      </c>
      <c r="AQ48" s="107">
        <v>-178.51000000000005</v>
      </c>
      <c r="AR48" s="552">
        <v>7</v>
      </c>
      <c r="AS48" s="553">
        <v>18</v>
      </c>
      <c r="AT48" s="107">
        <v>-21.489999999999995</v>
      </c>
      <c r="AU48" s="552">
        <v>4</v>
      </c>
      <c r="AV48" s="553">
        <v>7</v>
      </c>
      <c r="AW48" s="552"/>
      <c r="AX48" s="552"/>
      <c r="AY48" s="552"/>
      <c r="AZ48" s="558"/>
      <c r="BA48" s="193"/>
    </row>
    <row r="49" spans="2:53" x14ac:dyDescent="0.25">
      <c r="B49" s="718"/>
      <c r="C49" s="735" t="s">
        <v>9</v>
      </c>
      <c r="D49" s="718" t="s">
        <v>26</v>
      </c>
      <c r="E49" s="718"/>
      <c r="F49" s="502" t="s">
        <v>34</v>
      </c>
      <c r="G49" s="501">
        <v>-22.410000000000004</v>
      </c>
      <c r="H49" s="491">
        <v>9</v>
      </c>
      <c r="I49" s="430">
        <v>17</v>
      </c>
      <c r="J49" s="501">
        <v>-64.58</v>
      </c>
      <c r="K49" s="491">
        <v>4</v>
      </c>
      <c r="L49" s="430">
        <v>17</v>
      </c>
      <c r="M49" s="501">
        <v>-23</v>
      </c>
      <c r="N49" s="491">
        <v>3</v>
      </c>
      <c r="O49" s="430">
        <v>7</v>
      </c>
      <c r="P49" s="501">
        <v>-15.274999999999997</v>
      </c>
      <c r="Q49" s="491">
        <v>7</v>
      </c>
      <c r="R49" s="430">
        <v>13</v>
      </c>
      <c r="S49" s="501">
        <v>-64.724999999999994</v>
      </c>
      <c r="T49" s="491">
        <v>5</v>
      </c>
      <c r="U49" s="430">
        <v>13</v>
      </c>
      <c r="V49" s="501">
        <v>-20.249999999999993</v>
      </c>
      <c r="W49" s="491">
        <v>6</v>
      </c>
      <c r="X49" s="430">
        <v>13</v>
      </c>
      <c r="Y49" s="501">
        <v>-317.27499999999998</v>
      </c>
      <c r="Z49" s="491">
        <v>6</v>
      </c>
      <c r="AA49" s="430">
        <v>16</v>
      </c>
      <c r="AB49" s="501">
        <v>-119.5</v>
      </c>
      <c r="AC49" s="491">
        <v>4</v>
      </c>
      <c r="AD49" s="430">
        <v>10</v>
      </c>
      <c r="AE49" s="501">
        <v>-116.09999999999998</v>
      </c>
      <c r="AF49" s="491">
        <v>10</v>
      </c>
      <c r="AG49" s="430">
        <v>16</v>
      </c>
      <c r="AH49" s="501">
        <v>-132.59999999999997</v>
      </c>
      <c r="AI49" s="491">
        <v>8</v>
      </c>
      <c r="AJ49" s="430">
        <v>15</v>
      </c>
      <c r="AK49" s="501">
        <v>17.350000000000001</v>
      </c>
      <c r="AL49" s="444">
        <v>7</v>
      </c>
      <c r="AM49" s="110">
        <v>12</v>
      </c>
      <c r="AN49" s="501">
        <v>76.700000000000017</v>
      </c>
      <c r="AO49" s="444">
        <v>8</v>
      </c>
      <c r="AP49" s="110">
        <v>9</v>
      </c>
      <c r="AQ49" s="501">
        <v>11.700000000000003</v>
      </c>
      <c r="AR49" s="444">
        <v>7</v>
      </c>
      <c r="AS49" s="110">
        <v>10</v>
      </c>
      <c r="AT49" s="501">
        <v>-125.47999999999999</v>
      </c>
      <c r="AU49" s="554">
        <v>1</v>
      </c>
      <c r="AV49" s="109">
        <v>7</v>
      </c>
      <c r="AW49" s="501">
        <v>12.199999999999998</v>
      </c>
      <c r="AX49" s="554">
        <v>2</v>
      </c>
      <c r="AY49" s="109">
        <v>3</v>
      </c>
      <c r="AZ49" s="551">
        <f>+AN49+AK49+AH49+AE49+AB49+Y49+V49+AQ49+AT49+AW49</f>
        <v>-713.25499999999988</v>
      </c>
      <c r="BA49" s="545">
        <f>+COUNT(V49:AY49)/3</f>
        <v>10</v>
      </c>
    </row>
    <row r="50" spans="2:53" x14ac:dyDescent="0.25">
      <c r="B50" s="718"/>
      <c r="C50" s="735"/>
      <c r="D50" s="718"/>
      <c r="E50" s="718"/>
      <c r="F50" s="502" t="s">
        <v>36</v>
      </c>
      <c r="G50" s="501"/>
      <c r="H50" s="491"/>
      <c r="I50" s="430"/>
      <c r="J50" s="501"/>
      <c r="K50" s="491"/>
      <c r="L50" s="430"/>
      <c r="M50" s="501"/>
      <c r="N50" s="491"/>
      <c r="O50" s="430"/>
      <c r="P50" s="501"/>
      <c r="Q50" s="491"/>
      <c r="R50" s="430"/>
      <c r="S50" s="501">
        <v>-98.440000000000026</v>
      </c>
      <c r="T50" s="491">
        <v>7</v>
      </c>
      <c r="U50" s="430">
        <v>13</v>
      </c>
      <c r="V50" s="501">
        <v>-46.240000000000009</v>
      </c>
      <c r="W50" s="491">
        <v>5</v>
      </c>
      <c r="X50" s="430">
        <v>13</v>
      </c>
      <c r="Y50" s="501">
        <v>-256.32</v>
      </c>
      <c r="Z50" s="491">
        <v>4</v>
      </c>
      <c r="AA50" s="430">
        <v>15</v>
      </c>
      <c r="AB50" s="501">
        <v>-77.179999999999993</v>
      </c>
      <c r="AC50" s="491">
        <v>3</v>
      </c>
      <c r="AD50" s="430">
        <v>10</v>
      </c>
      <c r="AE50" s="501">
        <v>-166.34</v>
      </c>
      <c r="AF50" s="491">
        <v>8</v>
      </c>
      <c r="AG50" s="430">
        <v>16</v>
      </c>
      <c r="AH50" s="501">
        <v>-209.13999999999993</v>
      </c>
      <c r="AI50" s="491">
        <v>6</v>
      </c>
      <c r="AJ50" s="430">
        <v>15</v>
      </c>
      <c r="AK50" s="501">
        <v>-37.93</v>
      </c>
      <c r="AL50" s="491">
        <v>3</v>
      </c>
      <c r="AM50" s="430">
        <v>8</v>
      </c>
      <c r="AN50" s="501">
        <v>99.240000000000009</v>
      </c>
      <c r="AO50" s="444">
        <v>9</v>
      </c>
      <c r="AP50" s="110">
        <v>10</v>
      </c>
      <c r="AQ50" s="501">
        <v>-35.619999999999997</v>
      </c>
      <c r="AR50" s="554">
        <v>5</v>
      </c>
      <c r="AS50" s="109">
        <v>8</v>
      </c>
      <c r="AT50" s="501">
        <v>-25.479999999999997</v>
      </c>
      <c r="AU50" s="554">
        <v>2</v>
      </c>
      <c r="AV50" s="109">
        <v>6</v>
      </c>
      <c r="AW50" s="501">
        <v>15.399999999999997</v>
      </c>
      <c r="AX50" s="554">
        <v>2</v>
      </c>
      <c r="AY50" s="109">
        <v>2</v>
      </c>
      <c r="AZ50" s="696">
        <f t="shared" ref="AZ50:AZ103" si="0">+AN50+AK50+AH50+AE50+AB50+Y50+V50+AQ50+AT50+AW50</f>
        <v>-739.61</v>
      </c>
      <c r="BA50" s="691">
        <f t="shared" ref="BA50:BA103" si="1">+COUNT(V50:AY50)/3</f>
        <v>10</v>
      </c>
    </row>
    <row r="51" spans="2:53" x14ac:dyDescent="0.25">
      <c r="B51" s="718"/>
      <c r="C51" s="735"/>
      <c r="D51" s="718" t="s">
        <v>48</v>
      </c>
      <c r="E51" s="718"/>
      <c r="F51" s="502" t="s">
        <v>42</v>
      </c>
      <c r="G51" s="501"/>
      <c r="H51" s="491"/>
      <c r="I51" s="491"/>
      <c r="J51" s="495"/>
      <c r="K51" s="491"/>
      <c r="L51" s="491"/>
      <c r="M51" s="495"/>
      <c r="N51" s="491"/>
      <c r="O51" s="491"/>
      <c r="P51" s="495"/>
      <c r="Q51" s="491"/>
      <c r="R51" s="491"/>
      <c r="S51" s="495"/>
      <c r="T51" s="491"/>
      <c r="U51" s="491"/>
      <c r="V51" s="495">
        <v>7.1166666666666663</v>
      </c>
      <c r="W51" s="491">
        <v>3</v>
      </c>
      <c r="X51" s="430">
        <v>4</v>
      </c>
      <c r="Y51" s="495">
        <v>11.05</v>
      </c>
      <c r="Z51" s="444">
        <v>7</v>
      </c>
      <c r="AA51" s="110">
        <v>11</v>
      </c>
      <c r="AB51" s="495">
        <v>4.1166666666666636</v>
      </c>
      <c r="AC51" s="444">
        <v>2</v>
      </c>
      <c r="AD51" s="110">
        <v>4</v>
      </c>
      <c r="AE51" s="495">
        <v>-33.366666666666674</v>
      </c>
      <c r="AF51" s="491">
        <v>5</v>
      </c>
      <c r="AG51" s="430">
        <v>14</v>
      </c>
      <c r="AH51" s="501">
        <v>-106.95000000000002</v>
      </c>
      <c r="AI51" s="491">
        <v>3</v>
      </c>
      <c r="AJ51" s="430">
        <v>11</v>
      </c>
      <c r="AK51" s="501">
        <v>-60.466666666666669</v>
      </c>
      <c r="AL51" s="491">
        <v>2</v>
      </c>
      <c r="AM51" s="430">
        <v>6</v>
      </c>
      <c r="AN51" s="501">
        <v>-19.966666666666665</v>
      </c>
      <c r="AO51" s="554">
        <v>3</v>
      </c>
      <c r="AP51" s="109">
        <v>7</v>
      </c>
      <c r="AQ51" s="501">
        <v>-28.283333333333339</v>
      </c>
      <c r="AR51" s="554">
        <v>4</v>
      </c>
      <c r="AS51" s="109">
        <v>9</v>
      </c>
      <c r="AT51" s="501">
        <v>-43.066666666666663</v>
      </c>
      <c r="AU51" s="554">
        <v>2</v>
      </c>
      <c r="AV51" s="109">
        <v>4</v>
      </c>
      <c r="AW51" s="501">
        <v>-16.783333333333331</v>
      </c>
      <c r="AX51" s="554">
        <v>1</v>
      </c>
      <c r="AY51" s="109">
        <v>3</v>
      </c>
      <c r="AZ51" s="696">
        <f t="shared" si="0"/>
        <v>-286.60000000000002</v>
      </c>
      <c r="BA51" s="691">
        <f t="shared" si="1"/>
        <v>10</v>
      </c>
    </row>
    <row r="52" spans="2:53" x14ac:dyDescent="0.25">
      <c r="B52" s="718"/>
      <c r="C52" s="735"/>
      <c r="D52" s="718"/>
      <c r="E52" s="718"/>
      <c r="F52" s="505" t="s">
        <v>49</v>
      </c>
      <c r="G52" s="501"/>
      <c r="H52" s="491"/>
      <c r="I52" s="430"/>
      <c r="J52" s="501"/>
      <c r="K52" s="491"/>
      <c r="L52" s="430"/>
      <c r="M52" s="501"/>
      <c r="N52" s="491"/>
      <c r="O52" s="430"/>
      <c r="P52" s="501"/>
      <c r="Q52" s="491"/>
      <c r="R52" s="430"/>
      <c r="S52" s="501"/>
      <c r="T52" s="491"/>
      <c r="U52" s="430"/>
      <c r="V52" s="501">
        <v>-12.728571428571424</v>
      </c>
      <c r="W52" s="491">
        <v>6</v>
      </c>
      <c r="X52" s="430">
        <v>9</v>
      </c>
      <c r="Y52" s="501">
        <v>5.8142857142857132</v>
      </c>
      <c r="Z52" s="444">
        <v>6</v>
      </c>
      <c r="AA52" s="110">
        <v>10</v>
      </c>
      <c r="AB52" s="501">
        <v>20.700000000000006</v>
      </c>
      <c r="AC52" s="444">
        <v>2</v>
      </c>
      <c r="AD52" s="110">
        <v>4</v>
      </c>
      <c r="AE52" s="501">
        <v>37.271428571428572</v>
      </c>
      <c r="AF52" s="444">
        <v>5</v>
      </c>
      <c r="AG52" s="110">
        <v>12</v>
      </c>
      <c r="AH52" s="501">
        <v>-93.7</v>
      </c>
      <c r="AI52" s="491">
        <v>2</v>
      </c>
      <c r="AJ52" s="430">
        <v>8</v>
      </c>
      <c r="AK52" s="501">
        <v>-79.185714285714283</v>
      </c>
      <c r="AL52" s="491">
        <v>2</v>
      </c>
      <c r="AM52" s="430">
        <v>6</v>
      </c>
      <c r="AN52" s="501">
        <v>-0.34285714285714342</v>
      </c>
      <c r="AO52" s="554">
        <v>5</v>
      </c>
      <c r="AP52" s="109">
        <v>8</v>
      </c>
      <c r="AQ52" s="501">
        <v>-9.471428571428568</v>
      </c>
      <c r="AR52" s="554">
        <v>4</v>
      </c>
      <c r="AS52" s="109">
        <v>9</v>
      </c>
      <c r="AT52" s="501">
        <v>-103.80892857142858</v>
      </c>
      <c r="AU52" s="554">
        <v>1</v>
      </c>
      <c r="AV52" s="109">
        <v>6</v>
      </c>
      <c r="AW52" s="501">
        <v>-3.2285714285714295</v>
      </c>
      <c r="AX52" s="554">
        <v>1</v>
      </c>
      <c r="AY52" s="109">
        <v>2</v>
      </c>
      <c r="AZ52" s="696">
        <f t="shared" si="0"/>
        <v>-238.68035714285716</v>
      </c>
      <c r="BA52" s="691">
        <f t="shared" si="1"/>
        <v>10</v>
      </c>
    </row>
    <row r="53" spans="2:53" x14ac:dyDescent="0.25">
      <c r="B53" s="718"/>
      <c r="C53" s="735"/>
      <c r="D53" s="718" t="s">
        <v>47</v>
      </c>
      <c r="E53" s="718"/>
      <c r="F53" s="502" t="s">
        <v>42</v>
      </c>
      <c r="G53" s="501"/>
      <c r="H53" s="491"/>
      <c r="I53" s="430"/>
      <c r="J53" s="501"/>
      <c r="K53" s="491"/>
      <c r="L53" s="430"/>
      <c r="M53" s="501"/>
      <c r="N53" s="491"/>
      <c r="O53" s="430"/>
      <c r="P53" s="501"/>
      <c r="Q53" s="491"/>
      <c r="R53" s="430"/>
      <c r="S53" s="501"/>
      <c r="T53" s="491"/>
      <c r="U53" s="430"/>
      <c r="V53" s="501">
        <v>9.3499999999999854</v>
      </c>
      <c r="W53" s="444">
        <v>8</v>
      </c>
      <c r="X53" s="110">
        <v>15</v>
      </c>
      <c r="Y53" s="501">
        <v>-264.73750000000001</v>
      </c>
      <c r="Z53" s="491">
        <v>5</v>
      </c>
      <c r="AA53" s="430">
        <v>16</v>
      </c>
      <c r="AB53" s="501">
        <v>-108.6125</v>
      </c>
      <c r="AC53" s="491">
        <v>4</v>
      </c>
      <c r="AD53" s="430">
        <v>10</v>
      </c>
      <c r="AE53" s="501">
        <v>-253.71249999999998</v>
      </c>
      <c r="AF53" s="491">
        <v>7</v>
      </c>
      <c r="AG53" s="430">
        <v>16</v>
      </c>
      <c r="AH53" s="501">
        <v>39.300000000000018</v>
      </c>
      <c r="AI53" s="444">
        <v>9</v>
      </c>
      <c r="AJ53" s="110">
        <v>15</v>
      </c>
      <c r="AK53" s="501">
        <v>-157.55000000000001</v>
      </c>
      <c r="AL53" s="491">
        <v>6</v>
      </c>
      <c r="AM53" s="430">
        <v>13</v>
      </c>
      <c r="AN53" s="501">
        <v>-159.57499999999996</v>
      </c>
      <c r="AO53" s="554">
        <v>4</v>
      </c>
      <c r="AP53" s="109">
        <v>13</v>
      </c>
      <c r="AQ53" s="501">
        <v>-108.06249999999994</v>
      </c>
      <c r="AR53" s="554">
        <v>10</v>
      </c>
      <c r="AS53" s="109">
        <v>16</v>
      </c>
      <c r="AT53" s="501">
        <v>-85.908333333333331</v>
      </c>
      <c r="AU53" s="554">
        <v>3</v>
      </c>
      <c r="AV53" s="109">
        <v>7</v>
      </c>
      <c r="AW53" s="501">
        <v>-83.875</v>
      </c>
      <c r="AX53" s="554">
        <v>3</v>
      </c>
      <c r="AY53" s="109">
        <v>6</v>
      </c>
      <c r="AZ53" s="696">
        <f t="shared" si="0"/>
        <v>-1173.383333333333</v>
      </c>
      <c r="BA53" s="691">
        <f t="shared" si="1"/>
        <v>10</v>
      </c>
    </row>
    <row r="54" spans="2:53" x14ac:dyDescent="0.25">
      <c r="B54" s="718"/>
      <c r="C54" s="735"/>
      <c r="D54" s="718"/>
      <c r="E54" s="718"/>
      <c r="F54" s="502" t="s">
        <v>49</v>
      </c>
      <c r="G54" s="501"/>
      <c r="H54" s="491"/>
      <c r="I54" s="430"/>
      <c r="J54" s="501"/>
      <c r="K54" s="491"/>
      <c r="L54" s="430"/>
      <c r="M54" s="501"/>
      <c r="N54" s="491"/>
      <c r="O54" s="430"/>
      <c r="P54" s="501"/>
      <c r="Q54" s="491"/>
      <c r="R54" s="430"/>
      <c r="S54" s="501"/>
      <c r="T54" s="491"/>
      <c r="U54" s="430"/>
      <c r="V54" s="501">
        <v>-172.52222222222221</v>
      </c>
      <c r="W54" s="444">
        <v>8</v>
      </c>
      <c r="X54" s="110">
        <v>17</v>
      </c>
      <c r="Y54" s="501">
        <v>-156.28888888888892</v>
      </c>
      <c r="Z54" s="491">
        <v>8</v>
      </c>
      <c r="AA54" s="430">
        <v>16</v>
      </c>
      <c r="AB54" s="501">
        <v>-33.988888888888873</v>
      </c>
      <c r="AC54" s="491">
        <v>4</v>
      </c>
      <c r="AD54" s="430">
        <v>10</v>
      </c>
      <c r="AE54" s="501">
        <v>-352.23333333333335</v>
      </c>
      <c r="AF54" s="491">
        <v>6</v>
      </c>
      <c r="AG54" s="430">
        <v>16</v>
      </c>
      <c r="AH54" s="501">
        <v>64.133333333333354</v>
      </c>
      <c r="AI54" s="444">
        <v>10</v>
      </c>
      <c r="AJ54" s="110">
        <v>15</v>
      </c>
      <c r="AK54" s="501">
        <v>-79.700000000000017</v>
      </c>
      <c r="AL54" s="491">
        <v>8</v>
      </c>
      <c r="AM54" s="430">
        <v>14</v>
      </c>
      <c r="AN54" s="501">
        <v>-213.7222222222222</v>
      </c>
      <c r="AO54" s="554">
        <v>6</v>
      </c>
      <c r="AP54" s="109">
        <v>14</v>
      </c>
      <c r="AQ54" s="501">
        <v>-194.84444444444441</v>
      </c>
      <c r="AR54" s="554">
        <v>7</v>
      </c>
      <c r="AS54" s="109">
        <v>16</v>
      </c>
      <c r="AT54" s="501">
        <v>-23.022222222222247</v>
      </c>
      <c r="AU54" s="554">
        <v>3</v>
      </c>
      <c r="AV54" s="109">
        <v>7</v>
      </c>
      <c r="AW54" s="501">
        <v>-70.25555555555556</v>
      </c>
      <c r="AX54" s="554">
        <v>4</v>
      </c>
      <c r="AY54" s="109">
        <v>6</v>
      </c>
      <c r="AZ54" s="696">
        <f t="shared" si="0"/>
        <v>-1232.4444444444443</v>
      </c>
      <c r="BA54" s="691">
        <f t="shared" si="1"/>
        <v>10</v>
      </c>
    </row>
    <row r="55" spans="2:53" x14ac:dyDescent="0.25">
      <c r="B55" s="718"/>
      <c r="C55" s="735"/>
      <c r="D55" s="718" t="s">
        <v>68</v>
      </c>
      <c r="E55" s="718"/>
      <c r="F55" s="502" t="s">
        <v>40</v>
      </c>
      <c r="G55" s="501"/>
      <c r="H55" s="491"/>
      <c r="I55" s="430"/>
      <c r="J55" s="501"/>
      <c r="K55" s="491"/>
      <c r="L55" s="430"/>
      <c r="M55" s="501"/>
      <c r="N55" s="491"/>
      <c r="O55" s="430"/>
      <c r="P55" s="501"/>
      <c r="Q55" s="491"/>
      <c r="R55" s="430"/>
      <c r="S55" s="501"/>
      <c r="T55" s="491"/>
      <c r="U55" s="430"/>
      <c r="V55" s="501"/>
      <c r="W55" s="491"/>
      <c r="X55" s="430"/>
      <c r="Y55" s="501"/>
      <c r="Z55" s="491"/>
      <c r="AA55" s="430"/>
      <c r="AB55" s="501"/>
      <c r="AC55" s="491"/>
      <c r="AD55" s="430"/>
      <c r="AE55" s="501"/>
      <c r="AF55" s="491"/>
      <c r="AG55" s="430"/>
      <c r="AH55" s="501"/>
      <c r="AI55" s="491"/>
      <c r="AJ55" s="430"/>
      <c r="AK55" s="501">
        <v>-4.7000000000000028</v>
      </c>
      <c r="AL55" s="491">
        <v>4</v>
      </c>
      <c r="AM55" s="430">
        <v>7</v>
      </c>
      <c r="AN55" s="501">
        <v>159.11999999999998</v>
      </c>
      <c r="AO55" s="444">
        <v>8</v>
      </c>
      <c r="AP55" s="110">
        <v>10</v>
      </c>
      <c r="AQ55" s="501">
        <v>-85.54</v>
      </c>
      <c r="AR55" s="554">
        <v>1</v>
      </c>
      <c r="AS55" s="109">
        <v>8</v>
      </c>
      <c r="AT55" s="501">
        <v>-57.61090909090909</v>
      </c>
      <c r="AU55" s="554">
        <v>2</v>
      </c>
      <c r="AV55" s="109">
        <v>7</v>
      </c>
      <c r="AW55" s="501">
        <v>0.11999999999999855</v>
      </c>
      <c r="AX55" s="554">
        <v>1</v>
      </c>
      <c r="AY55" s="109">
        <v>2</v>
      </c>
      <c r="AZ55" s="696">
        <f t="shared" si="0"/>
        <v>11.389090909090863</v>
      </c>
      <c r="BA55" s="691">
        <f t="shared" si="1"/>
        <v>5</v>
      </c>
    </row>
    <row r="56" spans="2:53" x14ac:dyDescent="0.25">
      <c r="B56" s="718"/>
      <c r="C56" s="735"/>
      <c r="D56" s="718"/>
      <c r="E56" s="718"/>
      <c r="F56" s="502" t="s">
        <v>52</v>
      </c>
      <c r="G56" s="501"/>
      <c r="H56" s="491"/>
      <c r="I56" s="430"/>
      <c r="J56" s="501"/>
      <c r="K56" s="491"/>
      <c r="L56" s="430"/>
      <c r="M56" s="501"/>
      <c r="N56" s="491"/>
      <c r="O56" s="430"/>
      <c r="P56" s="501"/>
      <c r="Q56" s="491"/>
      <c r="R56" s="430"/>
      <c r="S56" s="501"/>
      <c r="T56" s="491"/>
      <c r="U56" s="430"/>
      <c r="V56" s="501"/>
      <c r="W56" s="491"/>
      <c r="X56" s="430"/>
      <c r="Y56" s="501"/>
      <c r="Z56" s="491"/>
      <c r="AA56" s="430"/>
      <c r="AB56" s="501"/>
      <c r="AC56" s="491"/>
      <c r="AD56" s="430"/>
      <c r="AE56" s="501"/>
      <c r="AF56" s="491"/>
      <c r="AG56" s="430"/>
      <c r="AH56" s="501"/>
      <c r="AI56" s="491"/>
      <c r="AJ56" s="430"/>
      <c r="AK56" s="501">
        <v>1.3522727272727204</v>
      </c>
      <c r="AL56" s="444">
        <v>3</v>
      </c>
      <c r="AM56" s="110">
        <v>8</v>
      </c>
      <c r="AN56" s="501">
        <v>142.98181818181817</v>
      </c>
      <c r="AO56" s="444">
        <v>8</v>
      </c>
      <c r="AP56" s="110">
        <v>10</v>
      </c>
      <c r="AQ56" s="501">
        <v>-115.30909090909091</v>
      </c>
      <c r="AR56" s="554">
        <v>0</v>
      </c>
      <c r="AS56" s="109">
        <v>8</v>
      </c>
      <c r="AT56" s="501">
        <v>-69.87651515151515</v>
      </c>
      <c r="AU56" s="554">
        <v>2</v>
      </c>
      <c r="AV56" s="109">
        <v>7</v>
      </c>
      <c r="AW56" s="501">
        <v>-22.672727272727268</v>
      </c>
      <c r="AX56" s="554">
        <v>1</v>
      </c>
      <c r="AY56" s="109">
        <v>2</v>
      </c>
      <c r="AZ56" s="696">
        <f t="shared" si="0"/>
        <v>-63.524242424242445</v>
      </c>
      <c r="BA56" s="691">
        <f t="shared" si="1"/>
        <v>5</v>
      </c>
    </row>
    <row r="57" spans="2:53" x14ac:dyDescent="0.25">
      <c r="B57" s="718"/>
      <c r="C57" s="735"/>
      <c r="D57" s="718"/>
      <c r="E57" s="718"/>
      <c r="F57" s="502" t="s">
        <v>70</v>
      </c>
      <c r="G57" s="501"/>
      <c r="H57" s="491"/>
      <c r="I57" s="430"/>
      <c r="J57" s="501"/>
      <c r="K57" s="491"/>
      <c r="L57" s="430"/>
      <c r="M57" s="501"/>
      <c r="N57" s="491"/>
      <c r="O57" s="430"/>
      <c r="P57" s="501"/>
      <c r="Q57" s="491"/>
      <c r="R57" s="430"/>
      <c r="S57" s="501"/>
      <c r="T57" s="491"/>
      <c r="U57" s="430"/>
      <c r="V57" s="501"/>
      <c r="W57" s="491"/>
      <c r="X57" s="430"/>
      <c r="Y57" s="501"/>
      <c r="Z57" s="491"/>
      <c r="AA57" s="430"/>
      <c r="AB57" s="501"/>
      <c r="AC57" s="491"/>
      <c r="AD57" s="430"/>
      <c r="AE57" s="501"/>
      <c r="AF57" s="491"/>
      <c r="AG57" s="430"/>
      <c r="AH57" s="501"/>
      <c r="AI57" s="491"/>
      <c r="AJ57" s="430"/>
      <c r="AK57" s="501">
        <v>-10.511111111111111</v>
      </c>
      <c r="AL57" s="491">
        <v>1</v>
      </c>
      <c r="AM57" s="430">
        <v>3</v>
      </c>
      <c r="AN57" s="501">
        <v>21.925000000000001</v>
      </c>
      <c r="AO57" s="444">
        <v>2</v>
      </c>
      <c r="AP57" s="110">
        <v>2</v>
      </c>
      <c r="AQ57" s="501">
        <v>2.3583333333333334</v>
      </c>
      <c r="AR57" s="444">
        <v>1</v>
      </c>
      <c r="AS57" s="110">
        <v>2</v>
      </c>
      <c r="AT57" s="501">
        <v>-24.05</v>
      </c>
      <c r="AU57" s="554">
        <v>0</v>
      </c>
      <c r="AV57" s="109">
        <v>2</v>
      </c>
      <c r="AW57" s="501">
        <v>8.2583333333333346</v>
      </c>
      <c r="AX57" s="554">
        <v>1</v>
      </c>
      <c r="AY57" s="109">
        <v>1</v>
      </c>
      <c r="AZ57" s="696">
        <f t="shared" si="0"/>
        <v>-2.0194444444444439</v>
      </c>
      <c r="BA57" s="691">
        <f t="shared" si="1"/>
        <v>5</v>
      </c>
    </row>
    <row r="58" spans="2:53" x14ac:dyDescent="0.25">
      <c r="B58" s="718"/>
      <c r="C58" s="735"/>
      <c r="D58" s="719" t="s">
        <v>69</v>
      </c>
      <c r="E58" s="719"/>
      <c r="F58" s="502"/>
      <c r="G58" s="501"/>
      <c r="H58" s="491"/>
      <c r="I58" s="430"/>
      <c r="J58" s="501"/>
      <c r="K58" s="491"/>
      <c r="L58" s="430"/>
      <c r="M58" s="501"/>
      <c r="N58" s="491"/>
      <c r="O58" s="430"/>
      <c r="P58" s="501"/>
      <c r="Q58" s="491"/>
      <c r="R58" s="430"/>
      <c r="S58" s="501"/>
      <c r="T58" s="491"/>
      <c r="U58" s="430"/>
      <c r="V58" s="501"/>
      <c r="W58" s="491"/>
      <c r="X58" s="430"/>
      <c r="Y58" s="501"/>
      <c r="Z58" s="491"/>
      <c r="AA58" s="430"/>
      <c r="AB58" s="501"/>
      <c r="AC58" s="491"/>
      <c r="AD58" s="430"/>
      <c r="AE58" s="501"/>
      <c r="AF58" s="491"/>
      <c r="AG58" s="430"/>
      <c r="AH58" s="501"/>
      <c r="AI58" s="491"/>
      <c r="AJ58" s="430"/>
      <c r="AK58" s="501">
        <v>-61.746153846153845</v>
      </c>
      <c r="AL58" s="491">
        <v>2</v>
      </c>
      <c r="AM58" s="430">
        <v>6</v>
      </c>
      <c r="AN58" s="501">
        <v>-1.0538461538461572</v>
      </c>
      <c r="AO58" s="554">
        <v>5</v>
      </c>
      <c r="AP58" s="109">
        <v>8</v>
      </c>
      <c r="AQ58" s="501">
        <v>-10.130769230769229</v>
      </c>
      <c r="AR58" s="554">
        <v>4</v>
      </c>
      <c r="AS58" s="109">
        <v>9</v>
      </c>
      <c r="AT58" s="501">
        <v>-93.110989010989016</v>
      </c>
      <c r="AU58" s="554">
        <v>1</v>
      </c>
      <c r="AV58" s="109">
        <v>6</v>
      </c>
      <c r="AW58" s="501">
        <v>-3.5461538461538455</v>
      </c>
      <c r="AX58" s="554">
        <v>1</v>
      </c>
      <c r="AY58" s="109">
        <v>2</v>
      </c>
      <c r="AZ58" s="696">
        <f t="shared" si="0"/>
        <v>-169.58791208791212</v>
      </c>
      <c r="BA58" s="691">
        <f t="shared" si="1"/>
        <v>5</v>
      </c>
    </row>
    <row r="59" spans="2:53" x14ac:dyDescent="0.25">
      <c r="B59" s="718"/>
      <c r="C59" s="736"/>
      <c r="D59" s="720" t="s">
        <v>68</v>
      </c>
      <c r="E59" s="720"/>
      <c r="F59" s="492" t="s">
        <v>72</v>
      </c>
      <c r="G59" s="108"/>
      <c r="H59" s="494"/>
      <c r="I59" s="77"/>
      <c r="J59" s="108"/>
      <c r="K59" s="494"/>
      <c r="L59" s="77"/>
      <c r="M59" s="108"/>
      <c r="N59" s="494"/>
      <c r="O59" s="77"/>
      <c r="P59" s="108"/>
      <c r="Q59" s="494"/>
      <c r="R59" s="77"/>
      <c r="S59" s="108"/>
      <c r="T59" s="494"/>
      <c r="U59" s="77"/>
      <c r="V59" s="108"/>
      <c r="W59" s="494"/>
      <c r="X59" s="77"/>
      <c r="Y59" s="108"/>
      <c r="Z59" s="494"/>
      <c r="AA59" s="77"/>
      <c r="AB59" s="108"/>
      <c r="AC59" s="494"/>
      <c r="AD59" s="77"/>
      <c r="AE59" s="108"/>
      <c r="AF59" s="494"/>
      <c r="AG59" s="77"/>
      <c r="AH59" s="4"/>
      <c r="AI59" s="494"/>
      <c r="AJ59" s="77"/>
      <c r="AK59" s="4">
        <v>21.842857142857149</v>
      </c>
      <c r="AL59" s="304">
        <v>4</v>
      </c>
      <c r="AM59" s="305">
        <v>6</v>
      </c>
      <c r="AN59" s="4">
        <v>31.907142857142858</v>
      </c>
      <c r="AO59" s="304">
        <v>5</v>
      </c>
      <c r="AP59" s="305">
        <v>7</v>
      </c>
      <c r="AQ59" s="4">
        <v>-44.771428571428579</v>
      </c>
      <c r="AR59" s="623">
        <v>3</v>
      </c>
      <c r="AS59" s="555">
        <v>8</v>
      </c>
      <c r="AT59" s="4">
        <v>-26.01428571428572</v>
      </c>
      <c r="AU59" s="658">
        <v>2</v>
      </c>
      <c r="AV59" s="555">
        <v>5</v>
      </c>
      <c r="AW59" s="4">
        <v>-28.414285714285718</v>
      </c>
      <c r="AX59" s="695">
        <v>1</v>
      </c>
      <c r="AY59" s="555">
        <v>2</v>
      </c>
      <c r="AZ59" s="696">
        <f t="shared" si="0"/>
        <v>-45.45000000000001</v>
      </c>
      <c r="BA59" s="691">
        <f t="shared" si="1"/>
        <v>5</v>
      </c>
    </row>
    <row r="60" spans="2:53" x14ac:dyDescent="0.25">
      <c r="B60" s="718"/>
      <c r="C60" s="726" t="s">
        <v>18</v>
      </c>
      <c r="D60" s="719" t="s">
        <v>26</v>
      </c>
      <c r="E60" s="719"/>
      <c r="G60" s="501">
        <v>28.749999999999996</v>
      </c>
      <c r="H60" s="444">
        <v>11</v>
      </c>
      <c r="I60" s="110">
        <v>16</v>
      </c>
      <c r="J60" s="501">
        <v>36.76</v>
      </c>
      <c r="K60" s="444">
        <v>10</v>
      </c>
      <c r="L60" s="110">
        <v>17</v>
      </c>
      <c r="M60" s="501">
        <v>-68.224999999999994</v>
      </c>
      <c r="N60" s="491">
        <v>5</v>
      </c>
      <c r="O60" s="430">
        <v>10</v>
      </c>
      <c r="P60" s="501">
        <v>21.933333333333341</v>
      </c>
      <c r="Q60" s="444">
        <v>9</v>
      </c>
      <c r="R60" s="110">
        <v>15</v>
      </c>
      <c r="S60" s="501">
        <v>84.86666666666666</v>
      </c>
      <c r="T60" s="444">
        <v>8</v>
      </c>
      <c r="U60" s="110">
        <v>12</v>
      </c>
      <c r="V60" s="501">
        <v>-84.066666666666691</v>
      </c>
      <c r="W60" s="491">
        <v>7</v>
      </c>
      <c r="X60" s="430">
        <v>18</v>
      </c>
      <c r="Y60" s="501">
        <v>-255.8</v>
      </c>
      <c r="Z60" s="491">
        <v>5</v>
      </c>
      <c r="AA60" s="430">
        <v>17</v>
      </c>
      <c r="AB60" s="501">
        <v>-42.400000000000006</v>
      </c>
      <c r="AC60" s="491">
        <v>3</v>
      </c>
      <c r="AD60" s="430">
        <v>9</v>
      </c>
      <c r="AE60" s="501">
        <v>-140.10000000000005</v>
      </c>
      <c r="AF60" s="491">
        <v>10</v>
      </c>
      <c r="AG60" s="430">
        <v>17</v>
      </c>
      <c r="AH60" s="501">
        <v>-96.433333333333351</v>
      </c>
      <c r="AI60" s="491">
        <v>9</v>
      </c>
      <c r="AJ60" s="430">
        <v>15</v>
      </c>
      <c r="AK60" s="501">
        <v>-242.66666666666663</v>
      </c>
      <c r="AL60" s="491">
        <v>4</v>
      </c>
      <c r="AM60" s="430">
        <v>15</v>
      </c>
      <c r="AN60" s="501">
        <v>-169.9666666666667</v>
      </c>
      <c r="AO60" s="554">
        <v>4</v>
      </c>
      <c r="AP60" s="109">
        <v>14</v>
      </c>
      <c r="AQ60" s="501">
        <v>-165.43333333333331</v>
      </c>
      <c r="AR60" s="554">
        <v>6</v>
      </c>
      <c r="AS60" s="109">
        <v>17</v>
      </c>
      <c r="AT60" s="501">
        <v>-26.533333333333353</v>
      </c>
      <c r="AU60" s="554">
        <v>4</v>
      </c>
      <c r="AV60" s="109">
        <v>7</v>
      </c>
      <c r="AW60" s="501">
        <v>-88.500000000000014</v>
      </c>
      <c r="AX60" s="554">
        <v>3</v>
      </c>
      <c r="AY60" s="109">
        <v>7</v>
      </c>
      <c r="AZ60" s="696">
        <f t="shared" si="0"/>
        <v>-1311.9</v>
      </c>
      <c r="BA60" s="691">
        <f t="shared" si="1"/>
        <v>10</v>
      </c>
    </row>
    <row r="61" spans="2:53" x14ac:dyDescent="0.25">
      <c r="B61" s="718"/>
      <c r="C61" s="727"/>
      <c r="D61" s="719" t="s">
        <v>32</v>
      </c>
      <c r="E61" s="719"/>
      <c r="F61" s="502" t="s">
        <v>66</v>
      </c>
      <c r="G61" s="501"/>
      <c r="H61" s="491"/>
      <c r="I61" s="430"/>
      <c r="J61" s="501"/>
      <c r="K61" s="491"/>
      <c r="L61" s="430"/>
      <c r="M61" s="501"/>
      <c r="N61" s="491"/>
      <c r="O61" s="430"/>
      <c r="P61" s="501"/>
      <c r="Q61" s="444"/>
      <c r="R61" s="110"/>
      <c r="S61" s="501"/>
      <c r="T61" s="444"/>
      <c r="U61" s="110"/>
      <c r="V61" s="501"/>
      <c r="W61" s="491"/>
      <c r="X61" s="430"/>
      <c r="Y61" s="501"/>
      <c r="Z61" s="491"/>
      <c r="AA61" s="430"/>
      <c r="AB61" s="501"/>
      <c r="AC61" s="491"/>
      <c r="AD61" s="430"/>
      <c r="AE61" s="501"/>
      <c r="AF61" s="491"/>
      <c r="AG61" s="430"/>
      <c r="AH61" s="501">
        <v>36.35</v>
      </c>
      <c r="AI61" s="491">
        <v>1</v>
      </c>
      <c r="AJ61" s="430">
        <v>1</v>
      </c>
      <c r="AK61" s="501">
        <v>-154</v>
      </c>
      <c r="AL61" s="491">
        <v>6</v>
      </c>
      <c r="AM61" s="430">
        <v>15</v>
      </c>
      <c r="AN61" s="501">
        <v>-86.075000000000003</v>
      </c>
      <c r="AO61" s="554">
        <v>5</v>
      </c>
      <c r="AP61" s="109">
        <v>14</v>
      </c>
      <c r="AQ61" s="501">
        <v>-104.35</v>
      </c>
      <c r="AR61" s="554">
        <v>7</v>
      </c>
      <c r="AS61" s="109">
        <v>16</v>
      </c>
      <c r="AT61" s="501">
        <v>-48.474999999999994</v>
      </c>
      <c r="AU61" s="554">
        <v>4</v>
      </c>
      <c r="AV61" s="109">
        <v>6</v>
      </c>
      <c r="AW61" s="501">
        <v>80.375</v>
      </c>
      <c r="AX61" s="554">
        <v>6</v>
      </c>
      <c r="AY61" s="109">
        <v>7</v>
      </c>
      <c r="AZ61" s="696">
        <f t="shared" si="0"/>
        <v>-276.17499999999995</v>
      </c>
      <c r="BA61" s="691">
        <f t="shared" si="1"/>
        <v>6</v>
      </c>
    </row>
    <row r="62" spans="2:53" x14ac:dyDescent="0.25">
      <c r="B62" s="718"/>
      <c r="C62" s="727"/>
      <c r="D62" s="719" t="s">
        <v>33</v>
      </c>
      <c r="E62" s="719"/>
      <c r="F62" s="502">
        <v>7</v>
      </c>
      <c r="G62" s="501"/>
      <c r="H62" s="491"/>
      <c r="I62" s="430"/>
      <c r="J62" s="501"/>
      <c r="K62" s="491"/>
      <c r="L62" s="430"/>
      <c r="M62" s="501">
        <v>-67.459999999999994</v>
      </c>
      <c r="N62" s="491">
        <v>5</v>
      </c>
      <c r="O62" s="430">
        <v>10</v>
      </c>
      <c r="P62" s="501">
        <v>21.039999999999992</v>
      </c>
      <c r="Q62" s="444">
        <v>9</v>
      </c>
      <c r="R62" s="110">
        <v>15</v>
      </c>
      <c r="S62" s="501">
        <v>82.800000000000011</v>
      </c>
      <c r="T62" s="444">
        <v>8</v>
      </c>
      <c r="U62" s="110">
        <v>12</v>
      </c>
      <c r="V62" s="501">
        <v>-121.5</v>
      </c>
      <c r="W62" s="491">
        <v>7</v>
      </c>
      <c r="X62" s="430">
        <v>18</v>
      </c>
      <c r="Y62" s="501">
        <v>-249.04000000000002</v>
      </c>
      <c r="Z62" s="491">
        <v>5</v>
      </c>
      <c r="AA62" s="430">
        <v>17</v>
      </c>
      <c r="AB62" s="501">
        <v>-42.28</v>
      </c>
      <c r="AC62" s="491">
        <v>3</v>
      </c>
      <c r="AD62" s="430">
        <v>9</v>
      </c>
      <c r="AE62" s="501">
        <v>-103.58</v>
      </c>
      <c r="AF62" s="491">
        <v>10</v>
      </c>
      <c r="AG62" s="430">
        <v>17</v>
      </c>
      <c r="AH62" s="501">
        <v>-87.61999999999999</v>
      </c>
      <c r="AI62" s="491">
        <v>9</v>
      </c>
      <c r="AJ62" s="430">
        <v>15</v>
      </c>
      <c r="AK62" s="501">
        <v>-245.03999999999996</v>
      </c>
      <c r="AL62" s="491">
        <v>4</v>
      </c>
      <c r="AM62" s="430">
        <v>15</v>
      </c>
      <c r="AN62" s="501">
        <v>-176</v>
      </c>
      <c r="AO62" s="554">
        <v>4</v>
      </c>
      <c r="AP62" s="109">
        <v>14</v>
      </c>
      <c r="AQ62" s="501">
        <v>-177.02000000000004</v>
      </c>
      <c r="AR62" s="554">
        <v>7</v>
      </c>
      <c r="AS62" s="109">
        <v>17</v>
      </c>
      <c r="AT62" s="501">
        <v>-41.800000000000018</v>
      </c>
      <c r="AU62" s="554">
        <v>4</v>
      </c>
      <c r="AV62" s="109">
        <v>7</v>
      </c>
      <c r="AW62" s="501">
        <v>-86.72</v>
      </c>
      <c r="AX62" s="554">
        <v>3</v>
      </c>
      <c r="AY62" s="109">
        <v>7</v>
      </c>
      <c r="AZ62" s="696">
        <f t="shared" si="0"/>
        <v>-1330.6</v>
      </c>
      <c r="BA62" s="691">
        <f t="shared" si="1"/>
        <v>10</v>
      </c>
    </row>
    <row r="63" spans="2:53" x14ac:dyDescent="0.25">
      <c r="B63" s="718"/>
      <c r="C63" s="727"/>
      <c r="D63" s="719" t="s">
        <v>37</v>
      </c>
      <c r="E63" s="719"/>
      <c r="F63" s="502" t="s">
        <v>36</v>
      </c>
      <c r="G63" s="501"/>
      <c r="H63" s="491"/>
      <c r="I63" s="430"/>
      <c r="J63" s="501"/>
      <c r="K63" s="491"/>
      <c r="L63" s="430"/>
      <c r="M63" s="501">
        <v>-4.6333333333333329</v>
      </c>
      <c r="N63" s="491">
        <v>7</v>
      </c>
      <c r="O63" s="430">
        <v>10</v>
      </c>
      <c r="P63" s="501">
        <v>138.98333333333332</v>
      </c>
      <c r="Q63" s="444">
        <v>11</v>
      </c>
      <c r="R63" s="110">
        <v>15</v>
      </c>
      <c r="S63" s="501">
        <v>20.900000000000009</v>
      </c>
      <c r="T63" s="444">
        <v>8</v>
      </c>
      <c r="U63" s="110">
        <v>11</v>
      </c>
      <c r="V63" s="501">
        <v>-97.816666666666649</v>
      </c>
      <c r="W63" s="491">
        <v>6</v>
      </c>
      <c r="X63" s="430">
        <v>17</v>
      </c>
      <c r="Y63" s="501">
        <v>-418.83333333333343</v>
      </c>
      <c r="Z63" s="491">
        <v>5</v>
      </c>
      <c r="AA63" s="430">
        <v>17</v>
      </c>
      <c r="AB63" s="501">
        <v>-141.51666666666668</v>
      </c>
      <c r="AC63" s="491">
        <v>2</v>
      </c>
      <c r="AD63" s="430">
        <v>9</v>
      </c>
      <c r="AE63" s="501">
        <v>-218.55</v>
      </c>
      <c r="AF63" s="491">
        <v>8</v>
      </c>
      <c r="AG63" s="430">
        <v>17</v>
      </c>
      <c r="AH63" s="501">
        <v>-135.04999999999998</v>
      </c>
      <c r="AI63" s="491">
        <v>8</v>
      </c>
      <c r="AJ63" s="430">
        <v>15</v>
      </c>
      <c r="AK63" s="501">
        <v>-213.10000000000002</v>
      </c>
      <c r="AL63" s="491">
        <v>5</v>
      </c>
      <c r="AM63" s="430">
        <v>15</v>
      </c>
      <c r="AN63" s="501">
        <v>-110.29999999999998</v>
      </c>
      <c r="AO63" s="554">
        <v>5</v>
      </c>
      <c r="AP63" s="109">
        <v>14</v>
      </c>
      <c r="AQ63" s="501">
        <v>-195.70000000000002</v>
      </c>
      <c r="AR63" s="554">
        <v>8</v>
      </c>
      <c r="AS63" s="109">
        <v>17</v>
      </c>
      <c r="AT63" s="501">
        <v>-141.35</v>
      </c>
      <c r="AU63" s="554">
        <v>3</v>
      </c>
      <c r="AV63" s="109">
        <v>7</v>
      </c>
      <c r="AW63" s="501">
        <v>-14.416666666666666</v>
      </c>
      <c r="AX63" s="554">
        <v>4</v>
      </c>
      <c r="AY63" s="109">
        <v>7</v>
      </c>
      <c r="AZ63" s="696">
        <f t="shared" si="0"/>
        <v>-1686.6333333333334</v>
      </c>
      <c r="BA63" s="691">
        <f t="shared" si="1"/>
        <v>10</v>
      </c>
    </row>
    <row r="64" spans="2:53" x14ac:dyDescent="0.25">
      <c r="B64" s="718"/>
      <c r="C64" s="727"/>
      <c r="D64" s="719" t="s">
        <v>38</v>
      </c>
      <c r="E64" s="719"/>
      <c r="F64" s="502" t="s">
        <v>44</v>
      </c>
      <c r="G64" s="501"/>
      <c r="H64" s="491"/>
      <c r="I64" s="430"/>
      <c r="J64" s="501"/>
      <c r="K64" s="491"/>
      <c r="L64" s="430"/>
      <c r="M64" s="501">
        <v>-37.914285714285718</v>
      </c>
      <c r="N64" s="491">
        <v>6</v>
      </c>
      <c r="O64" s="430">
        <v>10</v>
      </c>
      <c r="P64" s="501">
        <v>3.3857142857142994</v>
      </c>
      <c r="Q64" s="444">
        <v>9</v>
      </c>
      <c r="R64" s="110">
        <v>15</v>
      </c>
      <c r="S64" s="501">
        <v>44.142857142857153</v>
      </c>
      <c r="T64" s="444">
        <v>8</v>
      </c>
      <c r="U64" s="110">
        <v>12</v>
      </c>
      <c r="V64" s="501">
        <v>-50.142857142857153</v>
      </c>
      <c r="W64" s="491">
        <v>7</v>
      </c>
      <c r="X64" s="430">
        <v>17</v>
      </c>
      <c r="Y64" s="501">
        <v>-122.1428571428572</v>
      </c>
      <c r="Z64" s="491">
        <v>7</v>
      </c>
      <c r="AA64" s="430">
        <v>17</v>
      </c>
      <c r="AB64" s="501">
        <v>-148.72857142857143</v>
      </c>
      <c r="AC64" s="491">
        <v>2</v>
      </c>
      <c r="AD64" s="430">
        <v>9</v>
      </c>
      <c r="AE64" s="501">
        <v>-141.44285714285718</v>
      </c>
      <c r="AF64" s="491">
        <v>8</v>
      </c>
      <c r="AG64" s="430">
        <v>17</v>
      </c>
      <c r="AH64" s="501">
        <v>-8.2285714285714313</v>
      </c>
      <c r="AI64" s="491">
        <v>9</v>
      </c>
      <c r="AJ64" s="430">
        <v>15</v>
      </c>
      <c r="AK64" s="501">
        <v>-122.31428571428575</v>
      </c>
      <c r="AL64" s="491">
        <v>5</v>
      </c>
      <c r="AM64" s="430">
        <v>15</v>
      </c>
      <c r="AN64" s="501">
        <v>-135.28571428571428</v>
      </c>
      <c r="AO64" s="554">
        <v>6</v>
      </c>
      <c r="AP64" s="109">
        <v>14</v>
      </c>
      <c r="AQ64" s="501">
        <v>-103.37142857142852</v>
      </c>
      <c r="AR64" s="554">
        <v>8</v>
      </c>
      <c r="AS64" s="109">
        <v>16</v>
      </c>
      <c r="AT64" s="501">
        <v>2.4571428571428591</v>
      </c>
      <c r="AU64" s="554">
        <v>5</v>
      </c>
      <c r="AV64" s="109">
        <v>7</v>
      </c>
      <c r="AW64" s="501">
        <v>-90.414285714285725</v>
      </c>
      <c r="AX64" s="554">
        <v>5</v>
      </c>
      <c r="AY64" s="109">
        <v>7</v>
      </c>
      <c r="AZ64" s="696">
        <f t="shared" si="0"/>
        <v>-919.61428571428576</v>
      </c>
      <c r="BA64" s="691">
        <f t="shared" si="1"/>
        <v>10</v>
      </c>
    </row>
    <row r="65" spans="2:53" x14ac:dyDescent="0.25">
      <c r="B65" s="718"/>
      <c r="C65" s="727"/>
      <c r="D65" s="719" t="s">
        <v>41</v>
      </c>
      <c r="E65" s="719"/>
      <c r="F65" s="502" t="s">
        <v>39</v>
      </c>
      <c r="G65" s="501"/>
      <c r="H65" s="491"/>
      <c r="I65" s="430"/>
      <c r="J65" s="501"/>
      <c r="K65" s="491"/>
      <c r="L65" s="430"/>
      <c r="M65" s="501">
        <v>-40.349999999999994</v>
      </c>
      <c r="N65" s="491">
        <v>2</v>
      </c>
      <c r="O65" s="430">
        <v>7</v>
      </c>
      <c r="P65" s="501">
        <v>25.550000000000004</v>
      </c>
      <c r="Q65" s="444">
        <v>7</v>
      </c>
      <c r="R65" s="110">
        <v>11</v>
      </c>
      <c r="S65" s="501">
        <v>-15.924999999999995</v>
      </c>
      <c r="T65" s="491">
        <v>3</v>
      </c>
      <c r="U65" s="430">
        <v>8</v>
      </c>
      <c r="V65" s="501">
        <v>-73.987499999999983</v>
      </c>
      <c r="W65" s="491">
        <v>3</v>
      </c>
      <c r="X65" s="430">
        <v>12</v>
      </c>
      <c r="Y65" s="501">
        <v>-84.012499999999989</v>
      </c>
      <c r="Z65" s="491">
        <v>4</v>
      </c>
      <c r="AA65" s="430">
        <v>11</v>
      </c>
      <c r="AB65" s="501">
        <v>31.750000000000004</v>
      </c>
      <c r="AC65" s="444">
        <v>3</v>
      </c>
      <c r="AD65" s="110">
        <v>5</v>
      </c>
      <c r="AE65" s="501">
        <v>-41.524999999999991</v>
      </c>
      <c r="AF65" s="491">
        <v>4</v>
      </c>
      <c r="AG65" s="430">
        <v>12</v>
      </c>
      <c r="AH65" s="501">
        <v>-83.424999999999997</v>
      </c>
      <c r="AI65" s="491">
        <v>5</v>
      </c>
      <c r="AJ65" s="430">
        <v>13</v>
      </c>
      <c r="AK65" s="501">
        <v>-146.93749999999997</v>
      </c>
      <c r="AL65" s="491">
        <v>2</v>
      </c>
      <c r="AM65" s="430">
        <v>9</v>
      </c>
      <c r="AN65" s="501">
        <v>1.537499999999989</v>
      </c>
      <c r="AO65" s="444">
        <v>6</v>
      </c>
      <c r="AP65" s="110">
        <v>11</v>
      </c>
      <c r="AQ65" s="501">
        <v>-90.725000000000023</v>
      </c>
      <c r="AR65" s="554">
        <v>4</v>
      </c>
      <c r="AS65" s="109">
        <v>12</v>
      </c>
      <c r="AT65" s="501">
        <v>-7.1750000000000007</v>
      </c>
      <c r="AU65" s="554">
        <v>2</v>
      </c>
      <c r="AV65" s="109">
        <v>5</v>
      </c>
      <c r="AW65" s="501">
        <v>-38.199999999999996</v>
      </c>
      <c r="AX65" s="554">
        <v>3</v>
      </c>
      <c r="AY65" s="109">
        <v>7</v>
      </c>
      <c r="AZ65" s="696">
        <f t="shared" si="0"/>
        <v>-532.69999999999993</v>
      </c>
      <c r="BA65" s="691">
        <f t="shared" si="1"/>
        <v>10</v>
      </c>
    </row>
    <row r="66" spans="2:53" x14ac:dyDescent="0.25">
      <c r="B66" s="718"/>
      <c r="C66" s="727"/>
      <c r="D66" s="719" t="s">
        <v>43</v>
      </c>
      <c r="E66" s="719"/>
      <c r="F66" s="502" t="s">
        <v>40</v>
      </c>
      <c r="G66" s="501"/>
      <c r="H66" s="491"/>
      <c r="I66" s="430"/>
      <c r="J66" s="501"/>
      <c r="K66" s="491"/>
      <c r="L66" s="430"/>
      <c r="M66" s="501">
        <v>-82.288888888888891</v>
      </c>
      <c r="N66" s="491">
        <v>5</v>
      </c>
      <c r="O66" s="430">
        <v>10</v>
      </c>
      <c r="P66" s="501">
        <v>-22.933333333333316</v>
      </c>
      <c r="Q66" s="491">
        <v>9</v>
      </c>
      <c r="R66" s="430">
        <v>15</v>
      </c>
      <c r="S66" s="501">
        <v>197.05555555555554</v>
      </c>
      <c r="T66" s="444">
        <v>8</v>
      </c>
      <c r="U66" s="110">
        <v>11</v>
      </c>
      <c r="V66" s="501">
        <v>-199.35555555555555</v>
      </c>
      <c r="W66" s="491">
        <v>6</v>
      </c>
      <c r="X66" s="430">
        <v>17</v>
      </c>
      <c r="Y66" s="501">
        <v>-478.74444444444435</v>
      </c>
      <c r="Z66" s="491">
        <v>4</v>
      </c>
      <c r="AA66" s="430">
        <v>17</v>
      </c>
      <c r="AB66" s="501">
        <v>-113.06666666666663</v>
      </c>
      <c r="AC66" s="491">
        <v>4</v>
      </c>
      <c r="AD66" s="430">
        <v>9</v>
      </c>
      <c r="AE66" s="501">
        <v>-224.15555555555551</v>
      </c>
      <c r="AF66" s="491">
        <v>6</v>
      </c>
      <c r="AG66" s="430">
        <v>17</v>
      </c>
      <c r="AH66" s="501">
        <v>-118.30000000000004</v>
      </c>
      <c r="AI66" s="491">
        <v>7</v>
      </c>
      <c r="AJ66" s="430">
        <v>15</v>
      </c>
      <c r="AK66" s="501">
        <v>-235.85555555555555</v>
      </c>
      <c r="AL66" s="491">
        <v>4</v>
      </c>
      <c r="AM66" s="430">
        <v>15</v>
      </c>
      <c r="AN66" s="501">
        <v>1.6888888888888252</v>
      </c>
      <c r="AO66" s="444">
        <v>6</v>
      </c>
      <c r="AP66" s="110">
        <v>14</v>
      </c>
      <c r="AQ66" s="501">
        <v>-279.53333333333336</v>
      </c>
      <c r="AR66" s="554">
        <v>8</v>
      </c>
      <c r="AS66" s="109">
        <v>17</v>
      </c>
      <c r="AT66" s="501">
        <v>-143.5</v>
      </c>
      <c r="AU66" s="554">
        <v>3</v>
      </c>
      <c r="AV66" s="109">
        <v>7</v>
      </c>
      <c r="AW66" s="501">
        <v>-30.288888888888884</v>
      </c>
      <c r="AX66" s="554">
        <v>3</v>
      </c>
      <c r="AY66" s="109">
        <v>7</v>
      </c>
      <c r="AZ66" s="696">
        <f t="shared" si="0"/>
        <v>-1821.1111111111109</v>
      </c>
      <c r="BA66" s="691">
        <f t="shared" si="1"/>
        <v>10</v>
      </c>
    </row>
    <row r="67" spans="2:53" x14ac:dyDescent="0.25">
      <c r="B67" s="718"/>
      <c r="C67" s="727"/>
      <c r="D67" s="719" t="s">
        <v>45</v>
      </c>
      <c r="E67" s="719"/>
      <c r="F67" s="502" t="s">
        <v>46</v>
      </c>
      <c r="G67" s="501"/>
      <c r="H67" s="491"/>
      <c r="I67" s="430"/>
      <c r="J67" s="501"/>
      <c r="K67" s="491"/>
      <c r="L67" s="430"/>
      <c r="M67" s="501">
        <v>-2.9307692307692301</v>
      </c>
      <c r="N67" s="444">
        <v>2</v>
      </c>
      <c r="O67" s="110">
        <v>3</v>
      </c>
      <c r="P67" s="501">
        <v>1.3076923076923048</v>
      </c>
      <c r="Q67" s="444">
        <v>5</v>
      </c>
      <c r="R67" s="110">
        <v>15</v>
      </c>
      <c r="S67" s="501">
        <v>77.623076923076908</v>
      </c>
      <c r="T67" s="444">
        <v>6</v>
      </c>
      <c r="U67" s="110">
        <v>11</v>
      </c>
      <c r="V67" s="501">
        <v>-179.29230769230767</v>
      </c>
      <c r="W67" s="491">
        <v>2</v>
      </c>
      <c r="X67" s="430">
        <v>17</v>
      </c>
      <c r="Y67" s="501">
        <v>-87.684615384615398</v>
      </c>
      <c r="Z67" s="491">
        <v>5</v>
      </c>
      <c r="AA67" s="430">
        <v>17</v>
      </c>
      <c r="AB67" s="501">
        <v>-35.15384615384616</v>
      </c>
      <c r="AC67" s="491">
        <v>2</v>
      </c>
      <c r="AD67" s="430">
        <v>9</v>
      </c>
      <c r="AE67" s="501">
        <v>61.09999999999998</v>
      </c>
      <c r="AF67" s="444">
        <v>9</v>
      </c>
      <c r="AG67" s="110">
        <v>17</v>
      </c>
      <c r="AH67" s="501">
        <v>-93.776923076923083</v>
      </c>
      <c r="AI67" s="491">
        <v>5</v>
      </c>
      <c r="AJ67" s="430">
        <v>15</v>
      </c>
      <c r="AK67" s="501">
        <v>-189.88461538461539</v>
      </c>
      <c r="AL67" s="491">
        <v>2</v>
      </c>
      <c r="AM67" s="430">
        <v>15</v>
      </c>
      <c r="AN67" s="501">
        <v>42.399999999999977</v>
      </c>
      <c r="AO67" s="444">
        <v>6</v>
      </c>
      <c r="AP67" s="110">
        <v>14</v>
      </c>
      <c r="AQ67" s="501">
        <v>-229.43076923076916</v>
      </c>
      <c r="AR67" s="554">
        <v>4</v>
      </c>
      <c r="AS67" s="109">
        <v>17</v>
      </c>
      <c r="AT67" s="501">
        <v>-70.238461538461536</v>
      </c>
      <c r="AU67" s="554">
        <v>3</v>
      </c>
      <c r="AV67" s="109">
        <v>7</v>
      </c>
      <c r="AW67" s="501">
        <v>-59.438461538461539</v>
      </c>
      <c r="AX67" s="554">
        <v>2</v>
      </c>
      <c r="AY67" s="109">
        <v>7</v>
      </c>
      <c r="AZ67" s="696">
        <f t="shared" si="0"/>
        <v>-841.39999999999986</v>
      </c>
      <c r="BA67" s="691">
        <f t="shared" si="1"/>
        <v>10</v>
      </c>
    </row>
    <row r="68" spans="2:53" x14ac:dyDescent="0.25">
      <c r="B68" s="718"/>
      <c r="C68" s="727"/>
      <c r="D68" s="719" t="s">
        <v>48</v>
      </c>
      <c r="E68" s="719"/>
      <c r="F68" s="502" t="s">
        <v>49</v>
      </c>
      <c r="G68" s="501"/>
      <c r="H68" s="491"/>
      <c r="I68" s="430"/>
      <c r="J68" s="504"/>
      <c r="K68" s="491"/>
      <c r="L68" s="430"/>
      <c r="M68" s="501"/>
      <c r="N68" s="491"/>
      <c r="O68" s="430"/>
      <c r="P68" s="501"/>
      <c r="Q68" s="491"/>
      <c r="R68" s="430"/>
      <c r="S68" s="501"/>
      <c r="T68" s="491"/>
      <c r="U68" s="430"/>
      <c r="V68" s="501">
        <v>-249.78571428571431</v>
      </c>
      <c r="W68" s="491">
        <v>3</v>
      </c>
      <c r="X68" s="430">
        <v>15</v>
      </c>
      <c r="Y68" s="501">
        <v>-2.5428571428571489</v>
      </c>
      <c r="Z68" s="491">
        <v>9</v>
      </c>
      <c r="AA68" s="430">
        <v>15</v>
      </c>
      <c r="AB68" s="501">
        <v>90.814285714285717</v>
      </c>
      <c r="AC68" s="444">
        <v>6</v>
      </c>
      <c r="AD68" s="110">
        <v>8</v>
      </c>
      <c r="AE68" s="501">
        <v>-131.89285714285711</v>
      </c>
      <c r="AF68" s="491">
        <v>4</v>
      </c>
      <c r="AG68" s="430">
        <v>17</v>
      </c>
      <c r="AH68" s="501">
        <v>18.70000000000001</v>
      </c>
      <c r="AI68" s="444">
        <v>8</v>
      </c>
      <c r="AJ68" s="110">
        <v>15</v>
      </c>
      <c r="AK68" s="501">
        <v>66.44285714285715</v>
      </c>
      <c r="AL68" s="444">
        <v>9</v>
      </c>
      <c r="AM68" s="110">
        <v>15</v>
      </c>
      <c r="AN68" s="501">
        <v>-104.91428571428571</v>
      </c>
      <c r="AO68" s="554">
        <v>4</v>
      </c>
      <c r="AP68" s="109">
        <v>14</v>
      </c>
      <c r="AQ68" s="501">
        <v>-167.10000000000002</v>
      </c>
      <c r="AR68" s="554">
        <v>7</v>
      </c>
      <c r="AS68" s="109">
        <v>16</v>
      </c>
      <c r="AT68" s="501">
        <v>-6.0428571428571409</v>
      </c>
      <c r="AU68" s="554">
        <v>3</v>
      </c>
      <c r="AV68" s="109">
        <v>7</v>
      </c>
      <c r="AW68" s="501">
        <v>-115.77142857142857</v>
      </c>
      <c r="AX68" s="554">
        <v>1</v>
      </c>
      <c r="AY68" s="109">
        <v>7</v>
      </c>
      <c r="AZ68" s="696">
        <f t="shared" si="0"/>
        <v>-602.09285714285716</v>
      </c>
      <c r="BA68" s="691">
        <f t="shared" si="1"/>
        <v>10</v>
      </c>
    </row>
    <row r="69" spans="2:53" x14ac:dyDescent="0.25">
      <c r="B69" s="718"/>
      <c r="C69" s="728"/>
      <c r="D69" s="720" t="s">
        <v>47</v>
      </c>
      <c r="E69" s="720"/>
      <c r="F69" s="492" t="s">
        <v>49</v>
      </c>
      <c r="G69" s="108"/>
      <c r="H69" s="494"/>
      <c r="I69" s="77"/>
      <c r="J69" s="503"/>
      <c r="K69" s="494"/>
      <c r="L69" s="77"/>
      <c r="M69" s="108"/>
      <c r="N69" s="494"/>
      <c r="O69" s="77"/>
      <c r="P69" s="108"/>
      <c r="Q69" s="494"/>
      <c r="R69" s="77"/>
      <c r="S69" s="108"/>
      <c r="T69" s="494"/>
      <c r="U69" s="77"/>
      <c r="V69" s="4">
        <v>-262.65333333333325</v>
      </c>
      <c r="W69" s="494">
        <v>9</v>
      </c>
      <c r="X69" s="77">
        <v>18</v>
      </c>
      <c r="Y69" s="4">
        <v>-0.59333333333332661</v>
      </c>
      <c r="Z69" s="494">
        <v>7</v>
      </c>
      <c r="AA69" s="77">
        <v>17</v>
      </c>
      <c r="AB69" s="4">
        <v>194.98666666666671</v>
      </c>
      <c r="AC69" s="304">
        <v>6</v>
      </c>
      <c r="AD69" s="305">
        <v>9</v>
      </c>
      <c r="AE69" s="4">
        <v>-703.09999999999991</v>
      </c>
      <c r="AF69" s="494">
        <v>5</v>
      </c>
      <c r="AG69" s="77">
        <v>17</v>
      </c>
      <c r="AH69" s="4">
        <v>-307.75333333333322</v>
      </c>
      <c r="AI69" s="494">
        <v>7</v>
      </c>
      <c r="AJ69" s="77">
        <v>15</v>
      </c>
      <c r="AK69" s="4">
        <v>22.133333333333329</v>
      </c>
      <c r="AL69" s="304">
        <v>8</v>
      </c>
      <c r="AM69" s="305">
        <v>15</v>
      </c>
      <c r="AN69" s="4">
        <v>-428.66666666666674</v>
      </c>
      <c r="AO69" s="550">
        <v>4</v>
      </c>
      <c r="AP69" s="555">
        <v>15</v>
      </c>
      <c r="AQ69" s="4">
        <v>-516.64666666666665</v>
      </c>
      <c r="AR69" s="623">
        <v>7</v>
      </c>
      <c r="AS69" s="555">
        <v>17</v>
      </c>
      <c r="AT69" s="4">
        <v>-68.953333333333347</v>
      </c>
      <c r="AU69" s="658">
        <v>3</v>
      </c>
      <c r="AV69" s="555">
        <v>7</v>
      </c>
      <c r="AW69" s="4">
        <v>-164.86666666666665</v>
      </c>
      <c r="AX69" s="695">
        <v>2</v>
      </c>
      <c r="AY69" s="555">
        <v>7</v>
      </c>
      <c r="AZ69" s="696">
        <f t="shared" si="0"/>
        <v>-2236.1133333333332</v>
      </c>
      <c r="BA69" s="691">
        <f t="shared" si="1"/>
        <v>10</v>
      </c>
    </row>
    <row r="70" spans="2:53" x14ac:dyDescent="0.25">
      <c r="B70" s="718"/>
      <c r="C70" s="721" t="s">
        <v>10</v>
      </c>
      <c r="D70" s="741" t="s">
        <v>25</v>
      </c>
      <c r="E70" s="741"/>
      <c r="G70" s="501">
        <v>-24.36</v>
      </c>
      <c r="H70" s="491">
        <v>5</v>
      </c>
      <c r="I70" s="430">
        <v>17</v>
      </c>
      <c r="J70" s="501">
        <v>0.30999999999999928</v>
      </c>
      <c r="K70" s="444">
        <v>9</v>
      </c>
      <c r="L70" s="110">
        <v>19</v>
      </c>
      <c r="M70" s="501">
        <v>-157.80000000000001</v>
      </c>
      <c r="N70" s="491">
        <v>2</v>
      </c>
      <c r="O70" s="430">
        <v>11</v>
      </c>
      <c r="P70" s="501">
        <v>-41.300000000000026</v>
      </c>
      <c r="Q70" s="491">
        <v>6</v>
      </c>
      <c r="R70" s="430">
        <v>13</v>
      </c>
      <c r="S70" s="501">
        <v>-38.650000000000006</v>
      </c>
      <c r="T70" s="491">
        <v>6</v>
      </c>
      <c r="U70" s="430">
        <v>15</v>
      </c>
      <c r="V70" s="501">
        <v>19.5</v>
      </c>
      <c r="W70" s="491">
        <v>4</v>
      </c>
      <c r="X70" s="430">
        <v>4</v>
      </c>
      <c r="Y70" s="501">
        <v>-78.399999999999991</v>
      </c>
      <c r="Z70" s="491">
        <v>2</v>
      </c>
      <c r="AA70" s="430">
        <v>9</v>
      </c>
      <c r="AB70" s="501">
        <v>-0.30000000000000426</v>
      </c>
      <c r="AC70" s="491">
        <v>5</v>
      </c>
      <c r="AD70" s="430">
        <v>9</v>
      </c>
      <c r="AE70" s="501">
        <v>-6.6000000000000192</v>
      </c>
      <c r="AF70" s="491">
        <v>8</v>
      </c>
      <c r="AG70" s="430">
        <v>16</v>
      </c>
      <c r="AH70" s="501">
        <v>-110.69999999999999</v>
      </c>
      <c r="AI70" s="491">
        <v>6</v>
      </c>
      <c r="AJ70" s="430">
        <v>15</v>
      </c>
      <c r="AK70" s="501">
        <v>-258.2</v>
      </c>
      <c r="AL70" s="491">
        <v>4</v>
      </c>
      <c r="AM70" s="430">
        <v>15</v>
      </c>
      <c r="AN70" s="501">
        <v>53.499999999999993</v>
      </c>
      <c r="AO70" s="444">
        <v>8</v>
      </c>
      <c r="AP70" s="110">
        <v>14</v>
      </c>
      <c r="AQ70" s="501">
        <v>9.7999999999999972</v>
      </c>
      <c r="AR70" s="554">
        <v>7</v>
      </c>
      <c r="AS70" s="109">
        <v>15</v>
      </c>
      <c r="AT70" s="501">
        <v>-0.50000000000000089</v>
      </c>
      <c r="AU70" s="554">
        <v>2</v>
      </c>
      <c r="AV70" s="109">
        <v>4</v>
      </c>
      <c r="AW70" s="501">
        <v>-24.400000000000006</v>
      </c>
      <c r="AX70" s="554">
        <v>3</v>
      </c>
      <c r="AY70" s="109">
        <v>7</v>
      </c>
      <c r="AZ70" s="696">
        <f t="shared" si="0"/>
        <v>-396.29999999999995</v>
      </c>
      <c r="BA70" s="691">
        <f t="shared" si="1"/>
        <v>10</v>
      </c>
    </row>
    <row r="71" spans="2:53" x14ac:dyDescent="0.25">
      <c r="B71" s="718"/>
      <c r="C71" s="722"/>
      <c r="D71" s="718" t="s">
        <v>31</v>
      </c>
      <c r="E71" s="718"/>
      <c r="F71" s="502" t="s">
        <v>42</v>
      </c>
      <c r="G71" s="501">
        <v>-35.35</v>
      </c>
      <c r="H71" s="491">
        <v>3</v>
      </c>
      <c r="I71" s="430">
        <v>16</v>
      </c>
      <c r="J71" s="501">
        <v>-44.58</v>
      </c>
      <c r="K71" s="491">
        <v>5</v>
      </c>
      <c r="L71" s="430">
        <v>19</v>
      </c>
      <c r="M71" s="501">
        <v>17.600000000000001</v>
      </c>
      <c r="N71" s="491">
        <v>1</v>
      </c>
      <c r="O71" s="430">
        <v>4</v>
      </c>
      <c r="P71" s="501">
        <v>-7.9500000000000064</v>
      </c>
      <c r="Q71" s="491">
        <v>7</v>
      </c>
      <c r="R71" s="430">
        <v>13</v>
      </c>
      <c r="S71" s="501">
        <v>77.86666666666666</v>
      </c>
      <c r="T71" s="444">
        <v>10</v>
      </c>
      <c r="U71" s="110">
        <v>15</v>
      </c>
      <c r="V71" s="501">
        <v>33.549999999999997</v>
      </c>
      <c r="W71" s="444">
        <v>10</v>
      </c>
      <c r="X71" s="110">
        <v>15</v>
      </c>
      <c r="Y71" s="501">
        <v>-5.6999999999999993</v>
      </c>
      <c r="Z71" s="491">
        <v>4</v>
      </c>
      <c r="AA71" s="430">
        <v>6</v>
      </c>
      <c r="AB71" s="501">
        <v>-26.550000000000008</v>
      </c>
      <c r="AC71" s="491">
        <v>4</v>
      </c>
      <c r="AD71" s="430">
        <v>9</v>
      </c>
      <c r="AE71" s="501">
        <v>-351.49999999999994</v>
      </c>
      <c r="AF71" s="491">
        <v>7</v>
      </c>
      <c r="AG71" s="430">
        <v>16</v>
      </c>
      <c r="AH71" s="501">
        <v>-147.9</v>
      </c>
      <c r="AI71" s="491">
        <v>6</v>
      </c>
      <c r="AJ71" s="430">
        <v>16</v>
      </c>
      <c r="AK71" s="501">
        <v>-263.40000000000003</v>
      </c>
      <c r="AL71" s="491">
        <v>6</v>
      </c>
      <c r="AM71" s="430">
        <v>17</v>
      </c>
      <c r="AN71" s="501">
        <v>-166.64999999999998</v>
      </c>
      <c r="AO71" s="554">
        <v>9</v>
      </c>
      <c r="AP71" s="109">
        <v>15</v>
      </c>
      <c r="AQ71" s="501">
        <v>-188.54999999999998</v>
      </c>
      <c r="AR71" s="554">
        <v>6</v>
      </c>
      <c r="AS71" s="109">
        <v>18</v>
      </c>
      <c r="AT71" s="501">
        <v>55.449999999999989</v>
      </c>
      <c r="AU71" s="554">
        <v>2</v>
      </c>
      <c r="AV71" s="109">
        <v>3</v>
      </c>
      <c r="AW71" s="501">
        <v>-114.74999999999997</v>
      </c>
      <c r="AX71" s="554">
        <v>1</v>
      </c>
      <c r="AY71" s="109">
        <v>7</v>
      </c>
      <c r="AZ71" s="696">
        <f t="shared" si="0"/>
        <v>-1176</v>
      </c>
      <c r="BA71" s="691">
        <f t="shared" si="1"/>
        <v>10</v>
      </c>
    </row>
    <row r="72" spans="2:53" x14ac:dyDescent="0.25">
      <c r="B72" s="718"/>
      <c r="C72" s="722"/>
      <c r="D72" s="718"/>
      <c r="E72" s="718"/>
      <c r="F72" s="502" t="s">
        <v>49</v>
      </c>
      <c r="G72" s="501"/>
      <c r="H72" s="491"/>
      <c r="I72" s="430"/>
      <c r="J72" s="501"/>
      <c r="K72" s="491"/>
      <c r="L72" s="430"/>
      <c r="M72" s="501">
        <v>53.066666666666663</v>
      </c>
      <c r="N72" s="491">
        <v>2</v>
      </c>
      <c r="O72" s="430">
        <v>2</v>
      </c>
      <c r="P72" s="501">
        <v>-69.433333333333337</v>
      </c>
      <c r="Q72" s="491">
        <v>5</v>
      </c>
      <c r="R72" s="430">
        <v>13</v>
      </c>
      <c r="S72" s="501">
        <v>157.54166666666666</v>
      </c>
      <c r="T72" s="444">
        <v>12</v>
      </c>
      <c r="U72" s="110">
        <v>15</v>
      </c>
      <c r="V72" s="501">
        <v>4.2666666666666657</v>
      </c>
      <c r="W72" s="444">
        <v>7</v>
      </c>
      <c r="X72" s="110">
        <v>12</v>
      </c>
      <c r="Y72" s="501">
        <v>-5.5666666666666664</v>
      </c>
      <c r="Z72" s="491">
        <v>0</v>
      </c>
      <c r="AA72" s="430">
        <v>1</v>
      </c>
      <c r="AB72" s="501">
        <v>4.7000000000000037</v>
      </c>
      <c r="AC72" s="491">
        <v>4</v>
      </c>
      <c r="AD72" s="430">
        <v>8</v>
      </c>
      <c r="AE72" s="501">
        <v>-359.9666666666667</v>
      </c>
      <c r="AF72" s="491">
        <v>7</v>
      </c>
      <c r="AG72" s="430">
        <v>16</v>
      </c>
      <c r="AH72" s="501">
        <v>-220.83333333333331</v>
      </c>
      <c r="AI72" s="491">
        <v>7</v>
      </c>
      <c r="AJ72" s="430">
        <v>16</v>
      </c>
      <c r="AK72" s="501">
        <v>-186.10000000000002</v>
      </c>
      <c r="AL72" s="491">
        <v>6</v>
      </c>
      <c r="AM72" s="430">
        <v>16</v>
      </c>
      <c r="AN72" s="501">
        <v>-180.86666666666667</v>
      </c>
      <c r="AO72" s="554">
        <v>7</v>
      </c>
      <c r="AP72" s="109">
        <v>15</v>
      </c>
      <c r="AQ72" s="501">
        <v>-164.4666666666667</v>
      </c>
      <c r="AR72" s="554">
        <v>7</v>
      </c>
      <c r="AS72" s="109">
        <v>17</v>
      </c>
      <c r="AT72" s="501">
        <v>74.666666666666671</v>
      </c>
      <c r="AU72" s="554">
        <v>3</v>
      </c>
      <c r="AV72" s="109">
        <v>5</v>
      </c>
      <c r="AW72" s="501">
        <v>-62.566666666666677</v>
      </c>
      <c r="AX72" s="554">
        <v>2</v>
      </c>
      <c r="AY72" s="109">
        <v>7</v>
      </c>
      <c r="AZ72" s="696">
        <f t="shared" si="0"/>
        <v>-1096.7333333333333</v>
      </c>
      <c r="BA72" s="691">
        <f t="shared" si="1"/>
        <v>10</v>
      </c>
    </row>
    <row r="73" spans="2:53" x14ac:dyDescent="0.25">
      <c r="B73" s="718"/>
      <c r="C73" s="722"/>
      <c r="D73" s="718" t="s">
        <v>26</v>
      </c>
      <c r="E73" s="718"/>
      <c r="F73" s="502" t="s">
        <v>34</v>
      </c>
      <c r="G73" s="501">
        <v>-17.190000000000001</v>
      </c>
      <c r="H73" s="491">
        <v>8</v>
      </c>
      <c r="I73" s="430">
        <v>16</v>
      </c>
      <c r="J73" s="501">
        <v>19.16</v>
      </c>
      <c r="K73" s="444">
        <v>11</v>
      </c>
      <c r="L73" s="110">
        <v>19</v>
      </c>
      <c r="M73" s="501">
        <v>-69.224999999999994</v>
      </c>
      <c r="N73" s="444">
        <v>7</v>
      </c>
      <c r="O73" s="110">
        <v>11</v>
      </c>
      <c r="P73" s="501">
        <v>91.999999999999972</v>
      </c>
      <c r="Q73" s="444">
        <v>8</v>
      </c>
      <c r="R73" s="110">
        <v>13</v>
      </c>
      <c r="S73" s="501">
        <v>22.519999999999971</v>
      </c>
      <c r="T73" s="444">
        <v>9</v>
      </c>
      <c r="U73" s="110">
        <v>14</v>
      </c>
      <c r="V73" s="501">
        <v>14.549999999999999</v>
      </c>
      <c r="W73" s="491">
        <v>1</v>
      </c>
      <c r="X73" s="430">
        <v>2</v>
      </c>
      <c r="Y73" s="501"/>
      <c r="Z73" s="491"/>
      <c r="AA73" s="430"/>
      <c r="AB73" s="501">
        <v>17.724999999999994</v>
      </c>
      <c r="AC73" s="444">
        <v>2</v>
      </c>
      <c r="AD73" s="110">
        <v>3</v>
      </c>
      <c r="AE73" s="501">
        <v>-68.72499999999998</v>
      </c>
      <c r="AF73" s="491">
        <v>6</v>
      </c>
      <c r="AG73" s="430">
        <v>15</v>
      </c>
      <c r="AH73" s="501">
        <v>-230.82500000000005</v>
      </c>
      <c r="AI73" s="491">
        <v>7</v>
      </c>
      <c r="AJ73" s="430">
        <v>16</v>
      </c>
      <c r="AK73" s="501">
        <v>-246.00000000000003</v>
      </c>
      <c r="AL73" s="491">
        <v>4</v>
      </c>
      <c r="AM73" s="430">
        <v>15</v>
      </c>
      <c r="AN73" s="501">
        <v>-126.9</v>
      </c>
      <c r="AO73" s="554">
        <v>5</v>
      </c>
      <c r="AP73" s="109">
        <v>13</v>
      </c>
      <c r="AQ73" s="501">
        <v>-169.52499999999998</v>
      </c>
      <c r="AR73" s="554">
        <v>6</v>
      </c>
      <c r="AS73" s="109">
        <v>14</v>
      </c>
      <c r="AT73" s="501">
        <v>34.049999999999997</v>
      </c>
      <c r="AU73" s="554">
        <v>2</v>
      </c>
      <c r="AV73" s="109">
        <v>2</v>
      </c>
      <c r="AW73" s="501">
        <v>-36.424999999999983</v>
      </c>
      <c r="AX73" s="554">
        <v>3</v>
      </c>
      <c r="AY73" s="109">
        <v>6</v>
      </c>
      <c r="AZ73" s="696">
        <f t="shared" si="0"/>
        <v>-812.07500000000016</v>
      </c>
      <c r="BA73" s="691">
        <f t="shared" si="1"/>
        <v>9</v>
      </c>
    </row>
    <row r="74" spans="2:53" x14ac:dyDescent="0.25">
      <c r="B74" s="718"/>
      <c r="C74" s="722"/>
      <c r="D74" s="718"/>
      <c r="E74" s="718"/>
      <c r="F74" s="502" t="s">
        <v>36</v>
      </c>
      <c r="G74" s="501"/>
      <c r="H74" s="491"/>
      <c r="I74" s="430"/>
      <c r="J74" s="501"/>
      <c r="K74" s="491"/>
      <c r="L74" s="430"/>
      <c r="M74" s="501"/>
      <c r="N74" s="491"/>
      <c r="O74" s="430"/>
      <c r="P74" s="501"/>
      <c r="Q74" s="491"/>
      <c r="R74" s="430"/>
      <c r="S74" s="501">
        <v>83.94</v>
      </c>
      <c r="T74" s="444">
        <v>9</v>
      </c>
      <c r="U74" s="110">
        <v>13</v>
      </c>
      <c r="V74" s="501">
        <v>0.56000000000000227</v>
      </c>
      <c r="W74" s="491">
        <v>1</v>
      </c>
      <c r="X74" s="430">
        <v>2</v>
      </c>
      <c r="Y74" s="501"/>
      <c r="Z74" s="491"/>
      <c r="AA74" s="430"/>
      <c r="AB74" s="501">
        <v>47.66</v>
      </c>
      <c r="AC74" s="444">
        <v>3</v>
      </c>
      <c r="AD74" s="110">
        <v>3</v>
      </c>
      <c r="AE74" s="501">
        <v>-74.700000000000017</v>
      </c>
      <c r="AF74" s="491">
        <v>6</v>
      </c>
      <c r="AG74" s="430">
        <v>15</v>
      </c>
      <c r="AH74" s="501">
        <v>-258</v>
      </c>
      <c r="AI74" s="491">
        <v>6</v>
      </c>
      <c r="AJ74" s="430">
        <v>16</v>
      </c>
      <c r="AK74" s="501">
        <v>-246.14</v>
      </c>
      <c r="AL74" s="491">
        <v>6</v>
      </c>
      <c r="AM74" s="430">
        <v>15</v>
      </c>
      <c r="AN74" s="501">
        <v>-97.699999999999989</v>
      </c>
      <c r="AO74" s="554">
        <v>6</v>
      </c>
      <c r="AP74" s="109">
        <v>13</v>
      </c>
      <c r="AQ74" s="501">
        <v>-218.29999999999998</v>
      </c>
      <c r="AR74" s="554">
        <v>5</v>
      </c>
      <c r="AS74" s="109">
        <v>15</v>
      </c>
      <c r="AT74" s="501">
        <v>43.54</v>
      </c>
      <c r="AU74" s="554">
        <v>2</v>
      </c>
      <c r="AV74" s="109">
        <v>2</v>
      </c>
      <c r="AW74" s="501">
        <v>-96.399999999999991</v>
      </c>
      <c r="AX74" s="554">
        <v>3</v>
      </c>
      <c r="AY74" s="109">
        <v>6</v>
      </c>
      <c r="AZ74" s="696">
        <f t="shared" si="0"/>
        <v>-899.4799999999999</v>
      </c>
      <c r="BA74" s="691">
        <f t="shared" si="1"/>
        <v>9</v>
      </c>
    </row>
    <row r="75" spans="2:53" x14ac:dyDescent="0.25">
      <c r="B75" s="718"/>
      <c r="C75" s="722"/>
      <c r="D75" s="718" t="s">
        <v>17</v>
      </c>
      <c r="E75" s="718"/>
      <c r="F75" s="502" t="s">
        <v>42</v>
      </c>
      <c r="G75" s="501"/>
      <c r="H75" s="491"/>
      <c r="I75" s="430"/>
      <c r="J75" s="501"/>
      <c r="K75" s="491"/>
      <c r="L75" s="430"/>
      <c r="M75" s="501"/>
      <c r="N75" s="491"/>
      <c r="O75" s="430"/>
      <c r="P75" s="504"/>
      <c r="Q75" s="491"/>
      <c r="R75" s="430"/>
      <c r="S75" s="501"/>
      <c r="T75" s="491"/>
      <c r="U75" s="430"/>
      <c r="V75" s="501">
        <v>9.266666666666671</v>
      </c>
      <c r="W75" s="444">
        <v>7</v>
      </c>
      <c r="X75" s="110">
        <v>10</v>
      </c>
      <c r="Y75" s="501">
        <v>-81.5</v>
      </c>
      <c r="Z75" s="491">
        <v>2</v>
      </c>
      <c r="AA75" s="430">
        <v>11</v>
      </c>
      <c r="AB75" s="501">
        <v>9.166666666666675</v>
      </c>
      <c r="AC75" s="444">
        <v>4</v>
      </c>
      <c r="AD75" s="110">
        <v>7</v>
      </c>
      <c r="AE75" s="501">
        <v>-168.56666666666669</v>
      </c>
      <c r="AF75" s="491">
        <v>7</v>
      </c>
      <c r="AG75" s="430">
        <v>16</v>
      </c>
      <c r="AH75" s="501">
        <v>-31.016666666666659</v>
      </c>
      <c r="AI75" s="491">
        <v>6</v>
      </c>
      <c r="AJ75" s="430">
        <v>16</v>
      </c>
      <c r="AK75" s="501">
        <v>-139.29999999999998</v>
      </c>
      <c r="AL75" s="491">
        <v>5</v>
      </c>
      <c r="AM75" s="430">
        <v>17</v>
      </c>
      <c r="AN75" s="501">
        <v>-163.6</v>
      </c>
      <c r="AO75" s="554">
        <v>5</v>
      </c>
      <c r="AP75" s="109">
        <v>14</v>
      </c>
      <c r="AQ75" s="501">
        <v>-44.883333333333368</v>
      </c>
      <c r="AR75" s="554">
        <v>10</v>
      </c>
      <c r="AS75" s="109">
        <v>16</v>
      </c>
      <c r="AT75" s="501">
        <v>-4.1500000000000039</v>
      </c>
      <c r="AU75" s="554">
        <v>2</v>
      </c>
      <c r="AV75" s="109">
        <v>5</v>
      </c>
      <c r="AW75" s="501">
        <v>-34.800000000000011</v>
      </c>
      <c r="AX75" s="554">
        <v>2</v>
      </c>
      <c r="AY75" s="109">
        <v>6</v>
      </c>
      <c r="AZ75" s="696">
        <f t="shared" si="0"/>
        <v>-649.38333333333321</v>
      </c>
      <c r="BA75" s="691">
        <f t="shared" si="1"/>
        <v>10</v>
      </c>
    </row>
    <row r="76" spans="2:53" x14ac:dyDescent="0.25">
      <c r="B76" s="718"/>
      <c r="C76" s="722"/>
      <c r="D76" s="718"/>
      <c r="E76" s="718"/>
      <c r="F76" s="502" t="s">
        <v>49</v>
      </c>
      <c r="G76" s="501"/>
      <c r="H76" s="491"/>
      <c r="I76" s="430"/>
      <c r="J76" s="501"/>
      <c r="K76" s="491"/>
      <c r="L76" s="430"/>
      <c r="M76" s="501"/>
      <c r="N76" s="491"/>
      <c r="O76" s="430"/>
      <c r="P76" s="504"/>
      <c r="Q76" s="491"/>
      <c r="R76" s="430"/>
      <c r="S76" s="501"/>
      <c r="T76" s="491"/>
      <c r="U76" s="430"/>
      <c r="V76" s="501">
        <v>8.9142857142857146</v>
      </c>
      <c r="W76" s="444">
        <v>7</v>
      </c>
      <c r="X76" s="110">
        <v>10</v>
      </c>
      <c r="Y76" s="501">
        <v>-81.857142857142861</v>
      </c>
      <c r="Z76" s="491">
        <v>2</v>
      </c>
      <c r="AA76" s="430">
        <v>11</v>
      </c>
      <c r="AB76" s="501">
        <v>32.114285714285714</v>
      </c>
      <c r="AC76" s="444">
        <v>4</v>
      </c>
      <c r="AD76" s="110">
        <v>7</v>
      </c>
      <c r="AE76" s="501">
        <v>-166.14285714285717</v>
      </c>
      <c r="AF76" s="491">
        <v>6</v>
      </c>
      <c r="AG76" s="430">
        <v>16</v>
      </c>
      <c r="AH76" s="501">
        <v>-29.657142857142862</v>
      </c>
      <c r="AI76" s="491">
        <v>5</v>
      </c>
      <c r="AJ76" s="430">
        <v>16</v>
      </c>
      <c r="AK76" s="501">
        <v>-132.41428571428577</v>
      </c>
      <c r="AL76" s="491">
        <v>6</v>
      </c>
      <c r="AM76" s="430">
        <v>17</v>
      </c>
      <c r="AN76" s="501">
        <v>-165.58571428571429</v>
      </c>
      <c r="AO76" s="554">
        <v>5</v>
      </c>
      <c r="AP76" s="109">
        <v>14</v>
      </c>
      <c r="AQ76" s="501">
        <v>-49.471428571428582</v>
      </c>
      <c r="AR76" s="554">
        <v>10</v>
      </c>
      <c r="AS76" s="109">
        <v>16</v>
      </c>
      <c r="AT76" s="501">
        <v>-3.8714285714285728</v>
      </c>
      <c r="AU76" s="554">
        <v>2</v>
      </c>
      <c r="AV76" s="109">
        <v>5</v>
      </c>
      <c r="AW76" s="501">
        <v>-25.585714285714268</v>
      </c>
      <c r="AX76" s="554">
        <v>2</v>
      </c>
      <c r="AY76" s="109">
        <v>6</v>
      </c>
      <c r="AZ76" s="696">
        <f t="shared" si="0"/>
        <v>-613.55714285714294</v>
      </c>
      <c r="BA76" s="691">
        <f t="shared" si="1"/>
        <v>10</v>
      </c>
    </row>
    <row r="77" spans="2:53" x14ac:dyDescent="0.25">
      <c r="B77" s="718"/>
      <c r="C77" s="722"/>
      <c r="D77" s="718" t="s">
        <v>47</v>
      </c>
      <c r="E77" s="718"/>
      <c r="F77" s="502" t="s">
        <v>42</v>
      </c>
      <c r="G77" s="501"/>
      <c r="H77" s="491"/>
      <c r="I77" s="430"/>
      <c r="J77" s="501"/>
      <c r="K77" s="491"/>
      <c r="L77" s="430"/>
      <c r="M77" s="501"/>
      <c r="N77" s="491"/>
      <c r="O77" s="430"/>
      <c r="P77" s="504"/>
      <c r="Q77" s="491"/>
      <c r="R77" s="430"/>
      <c r="S77" s="501"/>
      <c r="T77" s="491"/>
      <c r="U77" s="430"/>
      <c r="V77" s="501"/>
      <c r="W77" s="491"/>
      <c r="X77" s="430"/>
      <c r="Y77" s="501"/>
      <c r="Z77" s="491"/>
      <c r="AA77" s="430"/>
      <c r="AB77" s="501">
        <v>85.15</v>
      </c>
      <c r="AC77" s="444">
        <v>4</v>
      </c>
      <c r="AD77" s="110">
        <v>4</v>
      </c>
      <c r="AE77" s="501">
        <v>-225.28749999999994</v>
      </c>
      <c r="AF77" s="491">
        <v>8</v>
      </c>
      <c r="AG77" s="430">
        <v>16</v>
      </c>
      <c r="AH77" s="501">
        <v>-320.75</v>
      </c>
      <c r="AI77" s="491">
        <v>5</v>
      </c>
      <c r="AJ77" s="430">
        <v>15</v>
      </c>
      <c r="AK77" s="501">
        <v>-538.32499999999982</v>
      </c>
      <c r="AL77" s="491">
        <v>5</v>
      </c>
      <c r="AM77" s="430">
        <v>17</v>
      </c>
      <c r="AN77" s="501">
        <v>-292.51249999999999</v>
      </c>
      <c r="AO77" s="554">
        <v>8</v>
      </c>
      <c r="AP77" s="109">
        <v>15</v>
      </c>
      <c r="AQ77" s="501">
        <v>-29.650000000000013</v>
      </c>
      <c r="AR77" s="554">
        <v>10</v>
      </c>
      <c r="AS77" s="109">
        <v>18</v>
      </c>
      <c r="AT77" s="501">
        <v>119.35000000000001</v>
      </c>
      <c r="AU77" s="554">
        <v>4</v>
      </c>
      <c r="AV77" s="109">
        <v>5</v>
      </c>
      <c r="AW77" s="501">
        <v>-332.67500000000001</v>
      </c>
      <c r="AX77" s="554">
        <v>2</v>
      </c>
      <c r="AY77" s="109">
        <v>7</v>
      </c>
      <c r="AZ77" s="696">
        <f t="shared" si="0"/>
        <v>-1534.6999999999998</v>
      </c>
      <c r="BA77" s="691">
        <f t="shared" si="1"/>
        <v>8</v>
      </c>
    </row>
    <row r="78" spans="2:53" x14ac:dyDescent="0.25">
      <c r="B78" s="718"/>
      <c r="C78" s="722"/>
      <c r="D78" s="718"/>
      <c r="E78" s="718"/>
      <c r="F78" s="502" t="s">
        <v>49</v>
      </c>
      <c r="G78" s="501"/>
      <c r="H78" s="491"/>
      <c r="I78" s="430"/>
      <c r="J78" s="501"/>
      <c r="K78" s="491"/>
      <c r="L78" s="430"/>
      <c r="M78" s="501"/>
      <c r="N78" s="491"/>
      <c r="O78" s="430"/>
      <c r="P78" s="504"/>
      <c r="Q78" s="491"/>
      <c r="R78" s="430"/>
      <c r="S78" s="501"/>
      <c r="T78" s="491"/>
      <c r="U78" s="430"/>
      <c r="V78" s="501"/>
      <c r="W78" s="491"/>
      <c r="X78" s="430"/>
      <c r="Y78" s="501"/>
      <c r="Z78" s="491"/>
      <c r="AA78" s="430"/>
      <c r="AB78" s="501">
        <v>109.34444444444443</v>
      </c>
      <c r="AC78" s="444">
        <v>4</v>
      </c>
      <c r="AD78" s="110">
        <v>4</v>
      </c>
      <c r="AE78" s="501">
        <v>-336.14444444444439</v>
      </c>
      <c r="AF78" s="491">
        <v>6</v>
      </c>
      <c r="AG78" s="430">
        <v>16</v>
      </c>
      <c r="AH78" s="501">
        <v>-326.06666666666672</v>
      </c>
      <c r="AI78" s="491">
        <v>6</v>
      </c>
      <c r="AJ78" s="430">
        <v>16</v>
      </c>
      <c r="AK78" s="501">
        <v>-595.52222222222213</v>
      </c>
      <c r="AL78" s="491">
        <v>5</v>
      </c>
      <c r="AM78" s="430">
        <v>17</v>
      </c>
      <c r="AN78" s="501">
        <v>-294.83333333333331</v>
      </c>
      <c r="AO78" s="554">
        <v>7</v>
      </c>
      <c r="AP78" s="109">
        <v>15</v>
      </c>
      <c r="AQ78" s="501">
        <v>1.3444444444444343</v>
      </c>
      <c r="AR78" s="444">
        <v>11</v>
      </c>
      <c r="AS78" s="110">
        <v>18</v>
      </c>
      <c r="AT78" s="501">
        <v>131.97777777777776</v>
      </c>
      <c r="AU78" s="554">
        <v>5</v>
      </c>
      <c r="AV78" s="109">
        <v>6</v>
      </c>
      <c r="AW78" s="501">
        <v>-258.9444444444444</v>
      </c>
      <c r="AX78" s="554">
        <v>2</v>
      </c>
      <c r="AY78" s="109">
        <v>7</v>
      </c>
      <c r="AZ78" s="696">
        <f t="shared" si="0"/>
        <v>-1568.844444444444</v>
      </c>
      <c r="BA78" s="691">
        <f t="shared" si="1"/>
        <v>8</v>
      </c>
    </row>
    <row r="79" spans="2:53" x14ac:dyDescent="0.25">
      <c r="B79" s="718"/>
      <c r="C79" s="722"/>
      <c r="D79" s="718" t="s">
        <v>68</v>
      </c>
      <c r="E79" s="718"/>
      <c r="F79" s="502" t="s">
        <v>73</v>
      </c>
      <c r="G79" s="501"/>
      <c r="H79" s="491"/>
      <c r="I79" s="430"/>
      <c r="J79" s="501"/>
      <c r="K79" s="491"/>
      <c r="L79" s="430"/>
      <c r="M79" s="501"/>
      <c r="N79" s="491"/>
      <c r="O79" s="430"/>
      <c r="P79" s="504"/>
      <c r="Q79" s="491"/>
      <c r="R79" s="430"/>
      <c r="S79" s="501"/>
      <c r="T79" s="491"/>
      <c r="U79" s="430"/>
      <c r="V79" s="501"/>
      <c r="W79" s="491"/>
      <c r="X79" s="430"/>
      <c r="Y79" s="501"/>
      <c r="Z79" s="491"/>
      <c r="AA79" s="430"/>
      <c r="AB79" s="501"/>
      <c r="AC79" s="491"/>
      <c r="AD79" s="430"/>
      <c r="AE79" s="501"/>
      <c r="AF79" s="491"/>
      <c r="AG79" s="430"/>
      <c r="AH79" s="501"/>
      <c r="AI79" s="491"/>
      <c r="AJ79" s="430"/>
      <c r="AK79" s="501">
        <v>-211.34999999999997</v>
      </c>
      <c r="AL79" s="491">
        <v>5</v>
      </c>
      <c r="AM79" s="430">
        <v>15</v>
      </c>
      <c r="AN79" s="501">
        <v>-148.83000000000004</v>
      </c>
      <c r="AO79" s="554">
        <v>3</v>
      </c>
      <c r="AP79" s="109">
        <v>13</v>
      </c>
      <c r="AQ79" s="501">
        <v>-93.38</v>
      </c>
      <c r="AR79" s="554">
        <v>5</v>
      </c>
      <c r="AS79" s="109">
        <v>15</v>
      </c>
      <c r="AT79" s="501">
        <v>24.97</v>
      </c>
      <c r="AU79" s="554">
        <v>1</v>
      </c>
      <c r="AV79" s="109">
        <v>2</v>
      </c>
      <c r="AW79" s="501">
        <v>-67.940000000000012</v>
      </c>
      <c r="AX79" s="554">
        <v>3</v>
      </c>
      <c r="AY79" s="109">
        <v>6</v>
      </c>
      <c r="AZ79" s="696">
        <f t="shared" si="0"/>
        <v>-496.53000000000003</v>
      </c>
      <c r="BA79" s="691">
        <f t="shared" si="1"/>
        <v>5</v>
      </c>
    </row>
    <row r="80" spans="2:53" x14ac:dyDescent="0.25">
      <c r="B80" s="718"/>
      <c r="C80" s="722"/>
      <c r="D80" s="718"/>
      <c r="E80" s="718"/>
      <c r="F80" s="502" t="s">
        <v>70</v>
      </c>
      <c r="G80" s="501"/>
      <c r="H80" s="491"/>
      <c r="I80" s="430"/>
      <c r="J80" s="501"/>
      <c r="K80" s="491"/>
      <c r="L80" s="430"/>
      <c r="M80" s="501"/>
      <c r="N80" s="491"/>
      <c r="O80" s="430"/>
      <c r="P80" s="504"/>
      <c r="Q80" s="491"/>
      <c r="R80" s="430"/>
      <c r="S80" s="501"/>
      <c r="T80" s="491"/>
      <c r="U80" s="430"/>
      <c r="V80" s="501"/>
      <c r="W80" s="491"/>
      <c r="X80" s="430"/>
      <c r="Y80" s="501"/>
      <c r="Z80" s="491"/>
      <c r="AA80" s="430"/>
      <c r="AB80" s="501"/>
      <c r="AC80" s="491"/>
      <c r="AD80" s="430"/>
      <c r="AE80" s="501"/>
      <c r="AF80" s="491"/>
      <c r="AG80" s="430"/>
      <c r="AH80" s="501"/>
      <c r="AI80" s="491"/>
      <c r="AJ80" s="430"/>
      <c r="AK80" s="501">
        <v>-62.390909090909084</v>
      </c>
      <c r="AL80" s="491">
        <v>3</v>
      </c>
      <c r="AM80" s="430">
        <v>10</v>
      </c>
      <c r="AN80" s="501">
        <v>-54.090909090909086</v>
      </c>
      <c r="AO80" s="554">
        <v>2</v>
      </c>
      <c r="AP80" s="109">
        <v>9</v>
      </c>
      <c r="AQ80" s="501">
        <v>2.6818181818181817</v>
      </c>
      <c r="AR80" s="444">
        <v>4</v>
      </c>
      <c r="AS80" s="110">
        <v>8</v>
      </c>
      <c r="AT80" s="501">
        <v>-3.1</v>
      </c>
      <c r="AU80" s="554">
        <v>0</v>
      </c>
      <c r="AV80" s="109">
        <v>1</v>
      </c>
      <c r="AW80" s="501">
        <v>-45.563636363636363</v>
      </c>
      <c r="AX80" s="554">
        <v>1</v>
      </c>
      <c r="AY80" s="109">
        <v>5</v>
      </c>
      <c r="AZ80" s="696">
        <f t="shared" si="0"/>
        <v>-162.46363636363634</v>
      </c>
      <c r="BA80" s="691">
        <f t="shared" si="1"/>
        <v>5</v>
      </c>
    </row>
    <row r="81" spans="2:53" x14ac:dyDescent="0.25">
      <c r="B81" s="718"/>
      <c r="C81" s="723"/>
      <c r="D81" s="750"/>
      <c r="E81" s="750"/>
      <c r="F81" s="492" t="s">
        <v>72</v>
      </c>
      <c r="G81" s="108"/>
      <c r="H81" s="494"/>
      <c r="I81" s="77"/>
      <c r="J81" s="108"/>
      <c r="K81" s="494"/>
      <c r="L81" s="77"/>
      <c r="M81" s="108"/>
      <c r="N81" s="494"/>
      <c r="O81" s="77"/>
      <c r="P81" s="503"/>
      <c r="Q81" s="494"/>
      <c r="R81" s="77"/>
      <c r="S81" s="108"/>
      <c r="T81" s="494"/>
      <c r="U81" s="77"/>
      <c r="V81" s="4"/>
      <c r="W81" s="494"/>
      <c r="X81" s="77"/>
      <c r="Y81" s="4"/>
      <c r="Z81" s="494"/>
      <c r="AA81" s="77"/>
      <c r="AB81" s="4"/>
      <c r="AC81" s="494"/>
      <c r="AD81" s="77"/>
      <c r="AE81" s="4"/>
      <c r="AF81" s="494"/>
      <c r="AG81" s="77"/>
      <c r="AH81" s="4"/>
      <c r="AI81" s="494"/>
      <c r="AJ81" s="77"/>
      <c r="AK81" s="4">
        <v>-190.95833333333334</v>
      </c>
      <c r="AL81" s="494">
        <v>5</v>
      </c>
      <c r="AM81" s="77">
        <v>15</v>
      </c>
      <c r="AN81" s="4">
        <v>-87.108333333333348</v>
      </c>
      <c r="AO81" s="550">
        <v>5</v>
      </c>
      <c r="AP81" s="555">
        <v>13</v>
      </c>
      <c r="AQ81" s="4">
        <v>-157.95000000000005</v>
      </c>
      <c r="AR81" s="623">
        <v>3</v>
      </c>
      <c r="AS81" s="555">
        <v>13</v>
      </c>
      <c r="AT81" s="4">
        <v>10.283333333333333</v>
      </c>
      <c r="AU81" s="658">
        <v>1</v>
      </c>
      <c r="AV81" s="555">
        <v>2</v>
      </c>
      <c r="AW81" s="4">
        <v>-44.575000000000003</v>
      </c>
      <c r="AX81" s="695">
        <v>2</v>
      </c>
      <c r="AY81" s="555">
        <v>6</v>
      </c>
      <c r="AZ81" s="696">
        <f t="shared" si="0"/>
        <v>-470.30833333333339</v>
      </c>
      <c r="BA81" s="691">
        <f t="shared" si="1"/>
        <v>5</v>
      </c>
    </row>
    <row r="82" spans="2:53" x14ac:dyDescent="0.25">
      <c r="B82" s="718"/>
      <c r="C82" s="733" t="s">
        <v>8</v>
      </c>
      <c r="D82" s="719" t="s">
        <v>26</v>
      </c>
      <c r="E82" s="719"/>
      <c r="F82" s="502"/>
      <c r="G82" s="501">
        <v>3.1800000000000077</v>
      </c>
      <c r="H82" s="491">
        <v>10</v>
      </c>
      <c r="I82" s="430">
        <v>17</v>
      </c>
      <c r="J82" s="501">
        <v>-16.910000000000004</v>
      </c>
      <c r="K82" s="491">
        <v>10</v>
      </c>
      <c r="L82" s="430">
        <v>16</v>
      </c>
      <c r="M82" s="501">
        <v>-231.60000000000002</v>
      </c>
      <c r="N82" s="491">
        <v>1</v>
      </c>
      <c r="O82" s="430">
        <v>11</v>
      </c>
      <c r="P82" s="501">
        <v>21.433333333333351</v>
      </c>
      <c r="Q82" s="444">
        <v>9</v>
      </c>
      <c r="R82" s="110">
        <v>14</v>
      </c>
      <c r="S82" s="501">
        <v>155.96666666666667</v>
      </c>
      <c r="T82" s="444">
        <v>10</v>
      </c>
      <c r="U82" s="110">
        <v>12</v>
      </c>
      <c r="V82" s="501">
        <v>-145.53333333333333</v>
      </c>
      <c r="W82" s="491">
        <v>7</v>
      </c>
      <c r="X82" s="430">
        <v>15</v>
      </c>
      <c r="Y82" s="501">
        <v>-99.466666666666683</v>
      </c>
      <c r="Z82" s="491">
        <v>7</v>
      </c>
      <c r="AA82" s="430">
        <v>15</v>
      </c>
      <c r="AB82" s="501">
        <v>-197.06666666666666</v>
      </c>
      <c r="AC82" s="491">
        <v>4</v>
      </c>
      <c r="AD82" s="430">
        <v>10</v>
      </c>
      <c r="AE82" s="501">
        <v>-144.86666666666676</v>
      </c>
      <c r="AF82" s="491">
        <v>5</v>
      </c>
      <c r="AG82" s="430">
        <v>14</v>
      </c>
      <c r="AH82" s="501">
        <v>-236.13333333333333</v>
      </c>
      <c r="AI82" s="491">
        <v>3</v>
      </c>
      <c r="AJ82" s="430">
        <v>16</v>
      </c>
      <c r="AK82" s="501">
        <v>-124.83333333333333</v>
      </c>
      <c r="AL82" s="491">
        <v>5</v>
      </c>
      <c r="AM82" s="430">
        <v>13</v>
      </c>
      <c r="AN82" s="501">
        <v>-287.76666666666671</v>
      </c>
      <c r="AO82" s="554">
        <v>1</v>
      </c>
      <c r="AP82" s="109">
        <v>12</v>
      </c>
      <c r="AQ82" s="501">
        <v>-125.93333333333332</v>
      </c>
      <c r="AR82" s="554">
        <v>7</v>
      </c>
      <c r="AS82" s="109">
        <v>12</v>
      </c>
      <c r="AT82" s="501">
        <v>-12.699999999999989</v>
      </c>
      <c r="AU82" s="554">
        <v>2</v>
      </c>
      <c r="AV82" s="109">
        <v>5</v>
      </c>
      <c r="AW82" s="501">
        <v>-94</v>
      </c>
      <c r="AX82" s="554">
        <v>0</v>
      </c>
      <c r="AY82" s="109">
        <v>3</v>
      </c>
      <c r="AZ82" s="696">
        <f t="shared" si="0"/>
        <v>-1468.3000000000002</v>
      </c>
      <c r="BA82" s="691">
        <f t="shared" si="1"/>
        <v>10</v>
      </c>
    </row>
    <row r="83" spans="2:53" x14ac:dyDescent="0.25">
      <c r="B83" s="718"/>
      <c r="C83" s="733"/>
      <c r="D83" s="719" t="s">
        <v>32</v>
      </c>
      <c r="E83" s="719"/>
      <c r="F83" s="502" t="s">
        <v>35</v>
      </c>
      <c r="G83" s="501"/>
      <c r="H83" s="491"/>
      <c r="I83" s="430"/>
      <c r="J83" s="501"/>
      <c r="K83" s="491"/>
      <c r="L83" s="430"/>
      <c r="M83" s="501">
        <v>-257.07499999999993</v>
      </c>
      <c r="N83" s="491">
        <v>1</v>
      </c>
      <c r="O83" s="430">
        <v>11</v>
      </c>
      <c r="P83" s="501">
        <v>26.524999999999991</v>
      </c>
      <c r="Q83" s="444">
        <v>9</v>
      </c>
      <c r="R83" s="110">
        <v>14</v>
      </c>
      <c r="S83" s="501">
        <v>142.42499999999998</v>
      </c>
      <c r="T83" s="444">
        <v>10</v>
      </c>
      <c r="U83" s="110">
        <v>12</v>
      </c>
      <c r="V83" s="501">
        <v>-176.02500000000001</v>
      </c>
      <c r="W83" s="491">
        <v>4</v>
      </c>
      <c r="X83" s="430">
        <v>15</v>
      </c>
      <c r="Y83" s="501">
        <v>-164.04999999999998</v>
      </c>
      <c r="Z83" s="491">
        <v>6</v>
      </c>
      <c r="AA83" s="430">
        <v>15</v>
      </c>
      <c r="AB83" s="501">
        <v>-228.52499999999992</v>
      </c>
      <c r="AC83" s="491">
        <v>3</v>
      </c>
      <c r="AD83" s="430">
        <v>10</v>
      </c>
      <c r="AE83" s="501">
        <v>-160.44999999999999</v>
      </c>
      <c r="AF83" s="491">
        <v>6</v>
      </c>
      <c r="AG83" s="430">
        <v>14</v>
      </c>
      <c r="AH83" s="501">
        <v>-230</v>
      </c>
      <c r="AI83" s="491">
        <v>4</v>
      </c>
      <c r="AJ83" s="430">
        <v>16</v>
      </c>
      <c r="AK83" s="501">
        <v>-120.32499999999997</v>
      </c>
      <c r="AL83" s="491">
        <v>5</v>
      </c>
      <c r="AM83" s="430">
        <v>13</v>
      </c>
      <c r="AN83" s="501">
        <v>-260.02500000000003</v>
      </c>
      <c r="AO83" s="554">
        <v>2</v>
      </c>
      <c r="AP83" s="109">
        <v>12</v>
      </c>
      <c r="AQ83" s="501">
        <v>-146.1</v>
      </c>
      <c r="AR83" s="554">
        <v>7</v>
      </c>
      <c r="AS83" s="109">
        <v>12</v>
      </c>
      <c r="AT83" s="501">
        <v>25.250000000000004</v>
      </c>
      <c r="AU83" s="554">
        <v>3</v>
      </c>
      <c r="AV83" s="109">
        <v>5</v>
      </c>
      <c r="AW83" s="501">
        <v>-105.45</v>
      </c>
      <c r="AX83" s="554">
        <v>0</v>
      </c>
      <c r="AY83" s="109">
        <v>3</v>
      </c>
      <c r="AZ83" s="696">
        <f t="shared" si="0"/>
        <v>-1565.6999999999998</v>
      </c>
      <c r="BA83" s="691">
        <f t="shared" si="1"/>
        <v>10</v>
      </c>
    </row>
    <row r="84" spans="2:53" x14ac:dyDescent="0.25">
      <c r="B84" s="718"/>
      <c r="C84" s="733"/>
      <c r="D84" s="719" t="s">
        <v>33</v>
      </c>
      <c r="E84" s="719"/>
      <c r="F84" s="502">
        <v>7</v>
      </c>
      <c r="G84" s="501"/>
      <c r="H84" s="491"/>
      <c r="I84" s="430"/>
      <c r="J84" s="501"/>
      <c r="K84" s="491"/>
      <c r="L84" s="430"/>
      <c r="M84" s="501">
        <v>-223.03999999999996</v>
      </c>
      <c r="N84" s="491">
        <v>1</v>
      </c>
      <c r="O84" s="430">
        <v>11</v>
      </c>
      <c r="P84" s="501">
        <v>22.34</v>
      </c>
      <c r="Q84" s="444">
        <v>9</v>
      </c>
      <c r="R84" s="110">
        <v>14</v>
      </c>
      <c r="S84" s="501">
        <v>172.4</v>
      </c>
      <c r="T84" s="444">
        <v>11</v>
      </c>
      <c r="U84" s="110">
        <v>12</v>
      </c>
      <c r="V84" s="501">
        <v>-145.10000000000005</v>
      </c>
      <c r="W84" s="491">
        <v>9</v>
      </c>
      <c r="X84" s="430">
        <v>15</v>
      </c>
      <c r="Y84" s="501">
        <v>-45.380000000000031</v>
      </c>
      <c r="Z84" s="491">
        <v>8</v>
      </c>
      <c r="AA84" s="430">
        <v>15</v>
      </c>
      <c r="AB84" s="501">
        <v>-275.14</v>
      </c>
      <c r="AC84" s="491">
        <v>4</v>
      </c>
      <c r="AD84" s="430">
        <v>10</v>
      </c>
      <c r="AE84" s="501">
        <v>-106.48000000000005</v>
      </c>
      <c r="AF84" s="491">
        <v>7</v>
      </c>
      <c r="AG84" s="430">
        <v>14</v>
      </c>
      <c r="AH84" s="501">
        <v>-272.95999999999998</v>
      </c>
      <c r="AI84" s="491">
        <v>4</v>
      </c>
      <c r="AJ84" s="430">
        <v>16</v>
      </c>
      <c r="AK84" s="501">
        <v>-163.78</v>
      </c>
      <c r="AL84" s="491">
        <v>6</v>
      </c>
      <c r="AM84" s="430">
        <v>13</v>
      </c>
      <c r="AN84" s="501">
        <v>-317.85999999999996</v>
      </c>
      <c r="AO84" s="554">
        <v>2</v>
      </c>
      <c r="AP84" s="109">
        <v>12</v>
      </c>
      <c r="AQ84" s="501">
        <v>-159.36000000000007</v>
      </c>
      <c r="AR84" s="554">
        <v>6</v>
      </c>
      <c r="AS84" s="109">
        <v>12</v>
      </c>
      <c r="AT84" s="501">
        <v>-9.0200000000000102</v>
      </c>
      <c r="AU84" s="554">
        <v>3</v>
      </c>
      <c r="AV84" s="109">
        <v>5</v>
      </c>
      <c r="AW84" s="501">
        <v>-83.1</v>
      </c>
      <c r="AX84" s="554">
        <v>0</v>
      </c>
      <c r="AY84" s="109">
        <v>3</v>
      </c>
      <c r="AZ84" s="696">
        <f t="shared" si="0"/>
        <v>-1578.18</v>
      </c>
      <c r="BA84" s="691">
        <f t="shared" si="1"/>
        <v>10</v>
      </c>
    </row>
    <row r="85" spans="2:53" x14ac:dyDescent="0.25">
      <c r="B85" s="718"/>
      <c r="C85" s="733"/>
      <c r="D85" s="719" t="s">
        <v>37</v>
      </c>
      <c r="E85" s="719"/>
      <c r="F85" s="502" t="s">
        <v>36</v>
      </c>
      <c r="G85" s="501"/>
      <c r="H85" s="491"/>
      <c r="I85" s="430"/>
      <c r="J85" s="501"/>
      <c r="K85" s="491"/>
      <c r="L85" s="430"/>
      <c r="M85" s="501">
        <v>-281.59999999999997</v>
      </c>
      <c r="N85" s="491">
        <v>3</v>
      </c>
      <c r="O85" s="430">
        <v>11</v>
      </c>
      <c r="P85" s="501">
        <v>36.883333333333347</v>
      </c>
      <c r="Q85" s="444">
        <v>8</v>
      </c>
      <c r="R85" s="110">
        <v>14</v>
      </c>
      <c r="S85" s="501">
        <v>113.25</v>
      </c>
      <c r="T85" s="444">
        <v>10</v>
      </c>
      <c r="U85" s="110">
        <v>13</v>
      </c>
      <c r="V85" s="501">
        <v>-233.01666666666662</v>
      </c>
      <c r="W85" s="491">
        <v>5</v>
      </c>
      <c r="X85" s="430">
        <v>15</v>
      </c>
      <c r="Y85" s="501">
        <v>-110.63333333333337</v>
      </c>
      <c r="Z85" s="491">
        <v>9</v>
      </c>
      <c r="AA85" s="430">
        <v>15</v>
      </c>
      <c r="AB85" s="501">
        <v>-337.95</v>
      </c>
      <c r="AC85" s="491">
        <v>2</v>
      </c>
      <c r="AD85" s="430">
        <v>10</v>
      </c>
      <c r="AE85" s="501">
        <v>-219.39999999999998</v>
      </c>
      <c r="AF85" s="491">
        <v>8</v>
      </c>
      <c r="AG85" s="430">
        <v>16</v>
      </c>
      <c r="AH85" s="501">
        <v>-283.40000000000003</v>
      </c>
      <c r="AI85" s="491">
        <v>7</v>
      </c>
      <c r="AJ85" s="430">
        <v>16</v>
      </c>
      <c r="AK85" s="501">
        <v>-58.26666666666668</v>
      </c>
      <c r="AL85" s="491">
        <v>7</v>
      </c>
      <c r="AM85" s="430">
        <v>13</v>
      </c>
      <c r="AN85" s="501">
        <v>-224.36666666666667</v>
      </c>
      <c r="AO85" s="554">
        <v>5</v>
      </c>
      <c r="AP85" s="109">
        <v>13</v>
      </c>
      <c r="AQ85" s="501">
        <v>-172.08333333333337</v>
      </c>
      <c r="AR85" s="554">
        <v>6</v>
      </c>
      <c r="AS85" s="109">
        <v>12</v>
      </c>
      <c r="AT85" s="501">
        <v>-99.166666666666657</v>
      </c>
      <c r="AU85" s="554">
        <v>2</v>
      </c>
      <c r="AV85" s="109">
        <v>5</v>
      </c>
      <c r="AW85" s="501">
        <v>-64.550000000000011</v>
      </c>
      <c r="AX85" s="554">
        <v>0</v>
      </c>
      <c r="AY85" s="109">
        <v>3</v>
      </c>
      <c r="AZ85" s="696">
        <f t="shared" si="0"/>
        <v>-1802.8333333333335</v>
      </c>
      <c r="BA85" s="691">
        <f t="shared" si="1"/>
        <v>10</v>
      </c>
    </row>
    <row r="86" spans="2:53" x14ac:dyDescent="0.25">
      <c r="B86" s="718"/>
      <c r="C86" s="733"/>
      <c r="D86" s="719" t="s">
        <v>38</v>
      </c>
      <c r="E86" s="719"/>
      <c r="F86" s="502" t="s">
        <v>44</v>
      </c>
      <c r="G86" s="501"/>
      <c r="H86" s="491"/>
      <c r="I86" s="430"/>
      <c r="J86" s="501"/>
      <c r="K86" s="491"/>
      <c r="L86" s="430"/>
      <c r="M86" s="501">
        <v>-157.91428571428574</v>
      </c>
      <c r="N86" s="491">
        <v>4</v>
      </c>
      <c r="O86" s="430">
        <v>10</v>
      </c>
      <c r="P86" s="501">
        <v>61.757142857142874</v>
      </c>
      <c r="Q86" s="444">
        <v>8</v>
      </c>
      <c r="R86" s="110">
        <v>14</v>
      </c>
      <c r="S86" s="501">
        <v>87.614285714285728</v>
      </c>
      <c r="T86" s="444">
        <v>9</v>
      </c>
      <c r="U86" s="110">
        <v>13</v>
      </c>
      <c r="V86" s="501">
        <v>-155.85714285714286</v>
      </c>
      <c r="W86" s="491">
        <v>6</v>
      </c>
      <c r="X86" s="430">
        <v>15</v>
      </c>
      <c r="Y86" s="501">
        <v>-151.71428571428572</v>
      </c>
      <c r="Z86" s="491">
        <v>7</v>
      </c>
      <c r="AA86" s="430">
        <v>15</v>
      </c>
      <c r="AB86" s="501">
        <v>-222.08571428571432</v>
      </c>
      <c r="AC86" s="491">
        <v>2</v>
      </c>
      <c r="AD86" s="430">
        <v>10</v>
      </c>
      <c r="AE86" s="501">
        <v>-112.88571428571431</v>
      </c>
      <c r="AF86" s="491">
        <v>5</v>
      </c>
      <c r="AG86" s="430">
        <v>14</v>
      </c>
      <c r="AH86" s="501">
        <v>-187.8857142857143</v>
      </c>
      <c r="AI86" s="491">
        <v>6</v>
      </c>
      <c r="AJ86" s="430">
        <v>16</v>
      </c>
      <c r="AK86" s="501">
        <v>-133.41428571428571</v>
      </c>
      <c r="AL86" s="491">
        <v>5</v>
      </c>
      <c r="AM86" s="430">
        <v>13</v>
      </c>
      <c r="AN86" s="501">
        <v>-351.0428571428572</v>
      </c>
      <c r="AO86" s="554">
        <v>2</v>
      </c>
      <c r="AP86" s="109">
        <v>12</v>
      </c>
      <c r="AQ86" s="501">
        <v>-129.29999999999998</v>
      </c>
      <c r="AR86" s="554">
        <v>5</v>
      </c>
      <c r="AS86" s="109">
        <v>12</v>
      </c>
      <c r="AT86" s="501">
        <v>-52.828571428571429</v>
      </c>
      <c r="AU86" s="554">
        <v>1</v>
      </c>
      <c r="AV86" s="109">
        <v>5</v>
      </c>
      <c r="AW86" s="501">
        <v>-90.785714285714278</v>
      </c>
      <c r="AX86" s="554">
        <v>0</v>
      </c>
      <c r="AY86" s="109">
        <v>3</v>
      </c>
      <c r="AZ86" s="696">
        <f t="shared" si="0"/>
        <v>-1587.8</v>
      </c>
      <c r="BA86" s="691">
        <f t="shared" si="1"/>
        <v>10</v>
      </c>
    </row>
    <row r="87" spans="2:53" x14ac:dyDescent="0.25">
      <c r="B87" s="718"/>
      <c r="C87" s="733"/>
      <c r="D87" s="719" t="s">
        <v>41</v>
      </c>
      <c r="E87" s="719"/>
      <c r="F87" s="502" t="s">
        <v>39</v>
      </c>
      <c r="G87" s="501"/>
      <c r="H87" s="491"/>
      <c r="I87" s="430"/>
      <c r="J87" s="501"/>
      <c r="K87" s="491"/>
      <c r="L87" s="430"/>
      <c r="M87" s="501">
        <v>-43.8</v>
      </c>
      <c r="N87" s="491">
        <v>3</v>
      </c>
      <c r="O87" s="430">
        <v>10</v>
      </c>
      <c r="P87" s="501">
        <v>-33.487499999999997</v>
      </c>
      <c r="Q87" s="491">
        <v>4</v>
      </c>
      <c r="R87" s="430">
        <v>11</v>
      </c>
      <c r="S87" s="501">
        <v>29.862500000000001</v>
      </c>
      <c r="T87" s="444">
        <v>5</v>
      </c>
      <c r="U87" s="110">
        <v>7</v>
      </c>
      <c r="V87" s="501">
        <v>-81.262499999999989</v>
      </c>
      <c r="W87" s="491">
        <v>2</v>
      </c>
      <c r="X87" s="430">
        <v>8</v>
      </c>
      <c r="Y87" s="501">
        <v>-30.625000000000004</v>
      </c>
      <c r="Z87" s="491">
        <v>3</v>
      </c>
      <c r="AA87" s="430">
        <v>7</v>
      </c>
      <c r="AB87" s="501">
        <v>-25.35</v>
      </c>
      <c r="AC87" s="491">
        <v>3</v>
      </c>
      <c r="AD87" s="430">
        <v>6</v>
      </c>
      <c r="AE87" s="501">
        <v>-60.699999999999989</v>
      </c>
      <c r="AF87" s="491">
        <v>3</v>
      </c>
      <c r="AG87" s="430">
        <v>11</v>
      </c>
      <c r="AH87" s="501">
        <v>-32.987499999999997</v>
      </c>
      <c r="AI87" s="491">
        <v>5</v>
      </c>
      <c r="AJ87" s="430">
        <v>9</v>
      </c>
      <c r="AK87" s="501">
        <v>-66.95</v>
      </c>
      <c r="AL87" s="491">
        <v>3</v>
      </c>
      <c r="AM87" s="430">
        <v>9</v>
      </c>
      <c r="AN87" s="501">
        <v>-35.6875</v>
      </c>
      <c r="AO87" s="554">
        <v>1</v>
      </c>
      <c r="AP87" s="109">
        <v>6</v>
      </c>
      <c r="AQ87" s="501">
        <v>1.2124999999999986</v>
      </c>
      <c r="AR87" s="554">
        <v>4</v>
      </c>
      <c r="AS87" s="109">
        <v>9</v>
      </c>
      <c r="AT87" s="501">
        <v>-9.2124999999999986</v>
      </c>
      <c r="AU87" s="554">
        <v>1</v>
      </c>
      <c r="AV87" s="109">
        <v>4</v>
      </c>
      <c r="AW87" s="501">
        <v>0</v>
      </c>
      <c r="AX87" s="554">
        <v>0</v>
      </c>
      <c r="AY87" s="109">
        <v>0</v>
      </c>
      <c r="AZ87" s="696">
        <f t="shared" si="0"/>
        <v>-341.5625</v>
      </c>
      <c r="BA87" s="691">
        <f t="shared" si="1"/>
        <v>10</v>
      </c>
    </row>
    <row r="88" spans="2:53" x14ac:dyDescent="0.25">
      <c r="B88" s="718"/>
      <c r="C88" s="733"/>
      <c r="D88" s="719" t="s">
        <v>43</v>
      </c>
      <c r="E88" s="719"/>
      <c r="F88" s="502" t="s">
        <v>40</v>
      </c>
      <c r="G88" s="501"/>
      <c r="H88" s="491"/>
      <c r="I88" s="430"/>
      <c r="J88" s="501"/>
      <c r="K88" s="491"/>
      <c r="L88" s="430"/>
      <c r="M88" s="501">
        <v>-282.15555555555551</v>
      </c>
      <c r="N88" s="491">
        <v>1</v>
      </c>
      <c r="O88" s="430">
        <v>11</v>
      </c>
      <c r="P88" s="501">
        <v>63.744444444444433</v>
      </c>
      <c r="Q88" s="444">
        <v>9</v>
      </c>
      <c r="R88" s="110">
        <v>14</v>
      </c>
      <c r="S88" s="501">
        <v>317.4111111111111</v>
      </c>
      <c r="T88" s="444">
        <v>9</v>
      </c>
      <c r="U88" s="110">
        <v>13</v>
      </c>
      <c r="V88" s="501">
        <v>-276.61111111111109</v>
      </c>
      <c r="W88" s="491">
        <v>6</v>
      </c>
      <c r="X88" s="430">
        <v>15</v>
      </c>
      <c r="Y88" s="501">
        <v>-97.477777777777703</v>
      </c>
      <c r="Z88" s="491">
        <v>9</v>
      </c>
      <c r="AA88" s="430">
        <v>15</v>
      </c>
      <c r="AB88" s="501">
        <v>-656.9222222222221</v>
      </c>
      <c r="AC88" s="491">
        <v>3</v>
      </c>
      <c r="AD88" s="430">
        <v>10</v>
      </c>
      <c r="AE88" s="501">
        <v>-519.34444444444443</v>
      </c>
      <c r="AF88" s="491">
        <v>6</v>
      </c>
      <c r="AG88" s="430">
        <v>16</v>
      </c>
      <c r="AH88" s="501">
        <v>-301.38888888888891</v>
      </c>
      <c r="AI88" s="491">
        <v>5</v>
      </c>
      <c r="AJ88" s="430">
        <v>16</v>
      </c>
      <c r="AK88" s="501">
        <v>6.1777777777777629</v>
      </c>
      <c r="AL88" s="444">
        <v>8</v>
      </c>
      <c r="AM88" s="110">
        <v>13</v>
      </c>
      <c r="AN88" s="501">
        <v>-196.75555555555553</v>
      </c>
      <c r="AO88" s="554">
        <v>7</v>
      </c>
      <c r="AP88" s="109">
        <v>13</v>
      </c>
      <c r="AQ88" s="501">
        <v>-413.67777777777781</v>
      </c>
      <c r="AR88" s="554">
        <v>3</v>
      </c>
      <c r="AS88" s="109">
        <v>12</v>
      </c>
      <c r="AT88" s="501">
        <v>-174.02222222222224</v>
      </c>
      <c r="AU88" s="554">
        <v>0</v>
      </c>
      <c r="AV88" s="109">
        <v>5</v>
      </c>
      <c r="AW88" s="501">
        <v>-8.6666666666666607</v>
      </c>
      <c r="AX88" s="554">
        <v>1</v>
      </c>
      <c r="AY88" s="109">
        <v>3</v>
      </c>
      <c r="AZ88" s="696">
        <f t="shared" si="0"/>
        <v>-2638.6888888888884</v>
      </c>
      <c r="BA88" s="691">
        <f t="shared" si="1"/>
        <v>10</v>
      </c>
    </row>
    <row r="89" spans="2:53" x14ac:dyDescent="0.25">
      <c r="B89" s="718"/>
      <c r="C89" s="733"/>
      <c r="D89" s="719" t="s">
        <v>45</v>
      </c>
      <c r="E89" s="719"/>
      <c r="F89" s="502" t="s">
        <v>46</v>
      </c>
      <c r="G89" s="501"/>
      <c r="H89" s="491"/>
      <c r="I89" s="430"/>
      <c r="J89" s="501"/>
      <c r="K89" s="491"/>
      <c r="L89" s="430"/>
      <c r="M89" s="501">
        <v>-33.507692307692309</v>
      </c>
      <c r="N89" s="491">
        <v>0</v>
      </c>
      <c r="O89" s="430">
        <v>3</v>
      </c>
      <c r="P89" s="501">
        <v>-72.638461538461542</v>
      </c>
      <c r="Q89" s="444">
        <v>4</v>
      </c>
      <c r="R89" s="110">
        <v>14</v>
      </c>
      <c r="S89" s="501">
        <v>74.838461538461544</v>
      </c>
      <c r="T89" s="444">
        <v>8</v>
      </c>
      <c r="U89" s="110">
        <v>13</v>
      </c>
      <c r="V89" s="501">
        <v>-52.130769230769211</v>
      </c>
      <c r="W89" s="491">
        <v>5</v>
      </c>
      <c r="X89" s="430">
        <v>15</v>
      </c>
      <c r="Y89" s="501">
        <v>-88.430769230769215</v>
      </c>
      <c r="Z89" s="491">
        <v>4</v>
      </c>
      <c r="AA89" s="430">
        <v>15</v>
      </c>
      <c r="AB89" s="501">
        <v>-143.66153846153847</v>
      </c>
      <c r="AC89" s="491">
        <v>1</v>
      </c>
      <c r="AD89" s="430">
        <v>10</v>
      </c>
      <c r="AE89" s="501">
        <v>-44.784615384615385</v>
      </c>
      <c r="AF89" s="491">
        <v>4</v>
      </c>
      <c r="AG89" s="430">
        <v>16</v>
      </c>
      <c r="AH89" s="501">
        <v>-90.138461538461556</v>
      </c>
      <c r="AI89" s="491">
        <v>3</v>
      </c>
      <c r="AJ89" s="430">
        <v>16</v>
      </c>
      <c r="AK89" s="501">
        <v>-53.961538461538453</v>
      </c>
      <c r="AL89" s="491">
        <v>5</v>
      </c>
      <c r="AM89" s="430">
        <v>13</v>
      </c>
      <c r="AN89" s="501">
        <v>-89.930769230769215</v>
      </c>
      <c r="AO89" s="554">
        <v>3</v>
      </c>
      <c r="AP89" s="109">
        <v>13</v>
      </c>
      <c r="AQ89" s="501">
        <v>-106.03076923076922</v>
      </c>
      <c r="AR89" s="554">
        <v>3</v>
      </c>
      <c r="AS89" s="109">
        <v>12</v>
      </c>
      <c r="AT89" s="501">
        <v>-73.953846153846158</v>
      </c>
      <c r="AU89" s="554">
        <v>0</v>
      </c>
      <c r="AV89" s="109">
        <v>5</v>
      </c>
      <c r="AW89" s="501">
        <v>-7.9076923076923045</v>
      </c>
      <c r="AX89" s="554">
        <v>1</v>
      </c>
      <c r="AY89" s="109">
        <v>3</v>
      </c>
      <c r="AZ89" s="696">
        <f t="shared" si="0"/>
        <v>-750.93076923076922</v>
      </c>
      <c r="BA89" s="691">
        <f t="shared" si="1"/>
        <v>10</v>
      </c>
    </row>
    <row r="90" spans="2:53" x14ac:dyDescent="0.25">
      <c r="B90" s="718"/>
      <c r="C90" s="733"/>
      <c r="D90" s="719" t="s">
        <v>48</v>
      </c>
      <c r="E90" s="719"/>
      <c r="F90" s="502" t="s">
        <v>49</v>
      </c>
      <c r="G90" s="501"/>
      <c r="H90" s="491"/>
      <c r="I90" s="430"/>
      <c r="J90" s="501"/>
      <c r="K90" s="491"/>
      <c r="L90" s="430"/>
      <c r="M90" s="501"/>
      <c r="N90" s="491"/>
      <c r="O90" s="430"/>
      <c r="P90" s="501"/>
      <c r="Q90" s="491"/>
      <c r="R90" s="430"/>
      <c r="S90" s="501"/>
      <c r="T90" s="491"/>
      <c r="U90" s="430"/>
      <c r="V90" s="501">
        <v>5.9142857142856968</v>
      </c>
      <c r="W90" s="444">
        <v>8</v>
      </c>
      <c r="X90" s="110">
        <v>13</v>
      </c>
      <c r="Y90" s="501">
        <v>-115.22142857142859</v>
      </c>
      <c r="Z90" s="491">
        <v>4</v>
      </c>
      <c r="AA90" s="430">
        <v>12</v>
      </c>
      <c r="AB90" s="501">
        <v>8.0642857142857096</v>
      </c>
      <c r="AC90" s="491">
        <v>4</v>
      </c>
      <c r="AD90" s="430">
        <v>10</v>
      </c>
      <c r="AE90" s="501">
        <v>-154.67142857142861</v>
      </c>
      <c r="AF90" s="491">
        <v>3</v>
      </c>
      <c r="AG90" s="430">
        <v>13</v>
      </c>
      <c r="AH90" s="501">
        <v>27.714285714285733</v>
      </c>
      <c r="AI90" s="444">
        <v>10</v>
      </c>
      <c r="AJ90" s="110">
        <v>15</v>
      </c>
      <c r="AK90" s="501">
        <v>-87.135714285714286</v>
      </c>
      <c r="AL90" s="491">
        <v>1</v>
      </c>
      <c r="AM90" s="430">
        <v>11</v>
      </c>
      <c r="AN90" s="501">
        <v>20.9</v>
      </c>
      <c r="AO90" s="444">
        <v>7</v>
      </c>
      <c r="AP90" s="110">
        <v>12</v>
      </c>
      <c r="AQ90" s="501">
        <v>25.164285714285732</v>
      </c>
      <c r="AR90" s="554">
        <v>5</v>
      </c>
      <c r="AS90" s="109">
        <v>12</v>
      </c>
      <c r="AT90" s="501">
        <v>-118.24285714285716</v>
      </c>
      <c r="AU90" s="554">
        <v>1</v>
      </c>
      <c r="AV90" s="109">
        <v>5</v>
      </c>
      <c r="AW90" s="501">
        <v>0.72142857142857064</v>
      </c>
      <c r="AX90" s="554">
        <v>1</v>
      </c>
      <c r="AY90" s="109">
        <v>2</v>
      </c>
      <c r="AZ90" s="696">
        <f t="shared" si="0"/>
        <v>-386.79285714285714</v>
      </c>
      <c r="BA90" s="691">
        <f t="shared" si="1"/>
        <v>10</v>
      </c>
    </row>
    <row r="91" spans="2:53" x14ac:dyDescent="0.25">
      <c r="B91" s="718"/>
      <c r="C91" s="734"/>
      <c r="D91" s="720" t="s">
        <v>47</v>
      </c>
      <c r="E91" s="720"/>
      <c r="F91" s="492" t="s">
        <v>49</v>
      </c>
      <c r="G91" s="108"/>
      <c r="H91" s="494"/>
      <c r="I91" s="77"/>
      <c r="J91" s="108"/>
      <c r="K91" s="494"/>
      <c r="L91" s="77"/>
      <c r="M91" s="108"/>
      <c r="N91" s="494"/>
      <c r="O91" s="77"/>
      <c r="P91" s="108"/>
      <c r="Q91" s="494"/>
      <c r="R91" s="77"/>
      <c r="S91" s="108"/>
      <c r="T91" s="494"/>
      <c r="U91" s="77"/>
      <c r="V91" s="4">
        <v>-186.25999999999996</v>
      </c>
      <c r="W91" s="494">
        <v>7</v>
      </c>
      <c r="X91" s="77">
        <v>17</v>
      </c>
      <c r="Y91" s="4">
        <v>-321.60666666666668</v>
      </c>
      <c r="Z91" s="494">
        <v>6</v>
      </c>
      <c r="AA91" s="77">
        <v>17</v>
      </c>
      <c r="AB91" s="4">
        <v>-193.96666666666667</v>
      </c>
      <c r="AC91" s="494">
        <v>4</v>
      </c>
      <c r="AD91" s="77">
        <v>11</v>
      </c>
      <c r="AE91" s="4">
        <v>-448.28666666666663</v>
      </c>
      <c r="AF91" s="494">
        <v>3</v>
      </c>
      <c r="AG91" s="77">
        <v>16</v>
      </c>
      <c r="AH91" s="4">
        <v>-296.15999999999997</v>
      </c>
      <c r="AI91" s="494">
        <v>6</v>
      </c>
      <c r="AJ91" s="77">
        <v>16</v>
      </c>
      <c r="AK91" s="4">
        <v>-615.44000000000017</v>
      </c>
      <c r="AL91" s="494">
        <v>4</v>
      </c>
      <c r="AM91" s="77">
        <v>15</v>
      </c>
      <c r="AN91" s="4">
        <v>-80.526666666666671</v>
      </c>
      <c r="AO91" s="550">
        <v>5</v>
      </c>
      <c r="AP91" s="555">
        <v>13</v>
      </c>
      <c r="AQ91" s="4">
        <v>-47.293333333333322</v>
      </c>
      <c r="AR91" s="623">
        <v>4</v>
      </c>
      <c r="AS91" s="555">
        <v>12</v>
      </c>
      <c r="AT91" s="4">
        <v>74.02</v>
      </c>
      <c r="AU91" s="658">
        <v>3</v>
      </c>
      <c r="AV91" s="555">
        <v>5</v>
      </c>
      <c r="AW91" s="4">
        <v>-189.86666666666665</v>
      </c>
      <c r="AX91" s="695">
        <v>0</v>
      </c>
      <c r="AY91" s="555">
        <v>3</v>
      </c>
      <c r="AZ91" s="696">
        <f t="shared" si="0"/>
        <v>-2305.3866666666668</v>
      </c>
      <c r="BA91" s="691">
        <f t="shared" si="1"/>
        <v>10</v>
      </c>
    </row>
    <row r="92" spans="2:53" x14ac:dyDescent="0.25">
      <c r="B92" s="718"/>
      <c r="C92" s="730" t="s">
        <v>11</v>
      </c>
      <c r="D92" s="741" t="s">
        <v>25</v>
      </c>
      <c r="E92" s="741"/>
      <c r="G92" s="501">
        <v>-2.4800000000000004</v>
      </c>
      <c r="H92" s="491">
        <v>7</v>
      </c>
      <c r="I92" s="430">
        <v>16</v>
      </c>
      <c r="J92" s="501">
        <v>-3.7</v>
      </c>
      <c r="K92" s="491">
        <v>7</v>
      </c>
      <c r="L92" s="430">
        <v>19</v>
      </c>
      <c r="M92" s="501">
        <v>-9.300000000000006</v>
      </c>
      <c r="N92" s="491">
        <v>5</v>
      </c>
      <c r="O92" s="430">
        <v>11</v>
      </c>
      <c r="P92" s="501">
        <v>-36.000000000000014</v>
      </c>
      <c r="Q92" s="491">
        <v>5</v>
      </c>
      <c r="R92" s="430">
        <v>13</v>
      </c>
      <c r="S92" s="501">
        <v>-97.6</v>
      </c>
      <c r="T92" s="491">
        <v>5</v>
      </c>
      <c r="U92" s="430">
        <v>14</v>
      </c>
      <c r="V92" s="501">
        <v>-73.849999999999994</v>
      </c>
      <c r="W92" s="491">
        <v>5</v>
      </c>
      <c r="X92" s="430">
        <v>11</v>
      </c>
      <c r="Y92" s="501">
        <v>-15.499999999999996</v>
      </c>
      <c r="Z92" s="491">
        <v>1</v>
      </c>
      <c r="AA92" s="430">
        <v>2</v>
      </c>
      <c r="AB92" s="501">
        <v>19.299999999999997</v>
      </c>
      <c r="AC92" s="491">
        <v>4</v>
      </c>
      <c r="AD92" s="430">
        <v>6</v>
      </c>
      <c r="AE92" s="501">
        <v>35.499999999999993</v>
      </c>
      <c r="AF92" s="444">
        <v>10</v>
      </c>
      <c r="AG92" s="110">
        <v>16</v>
      </c>
      <c r="AH92" s="501">
        <v>-121.80000000000001</v>
      </c>
      <c r="AI92" s="491">
        <v>5</v>
      </c>
      <c r="AJ92" s="430">
        <v>16</v>
      </c>
      <c r="AK92" s="501">
        <v>-113.90000000000002</v>
      </c>
      <c r="AL92" s="491">
        <v>6</v>
      </c>
      <c r="AM92" s="430">
        <v>14</v>
      </c>
      <c r="AN92" s="501">
        <v>-15.900000000000013</v>
      </c>
      <c r="AO92" s="554">
        <v>6</v>
      </c>
      <c r="AP92" s="109">
        <v>14</v>
      </c>
      <c r="AQ92" s="501">
        <v>-20.600000000000009</v>
      </c>
      <c r="AR92" s="554">
        <v>5</v>
      </c>
      <c r="AS92" s="109">
        <v>12</v>
      </c>
      <c r="AT92" s="501">
        <v>2.7999999999999972</v>
      </c>
      <c r="AU92" s="554">
        <v>1</v>
      </c>
      <c r="AV92" s="109">
        <v>3</v>
      </c>
      <c r="AW92" s="501">
        <v>-29.900000000000006</v>
      </c>
      <c r="AX92" s="554">
        <v>1</v>
      </c>
      <c r="AY92" s="109">
        <v>3</v>
      </c>
      <c r="AZ92" s="696">
        <f t="shared" si="0"/>
        <v>-333.85000000000014</v>
      </c>
      <c r="BA92" s="691">
        <f t="shared" si="1"/>
        <v>10</v>
      </c>
    </row>
    <row r="93" spans="2:53" x14ac:dyDescent="0.25">
      <c r="B93" s="718"/>
      <c r="C93" s="731"/>
      <c r="D93" s="719" t="s">
        <v>47</v>
      </c>
      <c r="E93" s="719"/>
      <c r="F93" s="491" t="s">
        <v>49</v>
      </c>
      <c r="G93" s="501"/>
      <c r="H93" s="491"/>
      <c r="I93" s="430"/>
      <c r="J93" s="501"/>
      <c r="K93" s="491"/>
      <c r="L93" s="430"/>
      <c r="M93" s="501"/>
      <c r="N93" s="491"/>
      <c r="O93" s="430"/>
      <c r="P93" s="501"/>
      <c r="Q93" s="491"/>
      <c r="R93" s="430"/>
      <c r="S93" s="501"/>
      <c r="T93" s="491"/>
      <c r="U93" s="430"/>
      <c r="V93" s="501"/>
      <c r="W93" s="491"/>
      <c r="X93" s="430"/>
      <c r="Y93" s="501"/>
      <c r="Z93" s="491"/>
      <c r="AA93" s="430"/>
      <c r="AB93" s="501">
        <v>106.24444444444444</v>
      </c>
      <c r="AC93" s="491">
        <v>4</v>
      </c>
      <c r="AD93" s="430">
        <v>4</v>
      </c>
      <c r="AE93" s="501">
        <v>-63.533333333333303</v>
      </c>
      <c r="AF93" s="444">
        <v>10</v>
      </c>
      <c r="AG93" s="110">
        <v>16</v>
      </c>
      <c r="AH93" s="501">
        <v>-374.5222222222223</v>
      </c>
      <c r="AI93" s="491">
        <v>4</v>
      </c>
      <c r="AJ93" s="430">
        <v>16</v>
      </c>
      <c r="AK93" s="501">
        <v>-153.39444444444447</v>
      </c>
      <c r="AL93" s="491">
        <v>8</v>
      </c>
      <c r="AM93" s="430">
        <v>14</v>
      </c>
      <c r="AN93" s="501">
        <v>-356.65</v>
      </c>
      <c r="AO93" s="554">
        <v>6</v>
      </c>
      <c r="AP93" s="109">
        <v>14</v>
      </c>
      <c r="AQ93" s="501">
        <v>108.1</v>
      </c>
      <c r="AR93" s="554">
        <v>5</v>
      </c>
      <c r="AS93" s="109">
        <v>12</v>
      </c>
      <c r="AT93" s="501">
        <v>59.199999999999989</v>
      </c>
      <c r="AU93" s="554">
        <v>2</v>
      </c>
      <c r="AV93" s="109">
        <v>3</v>
      </c>
      <c r="AW93" s="501">
        <v>-106.30000000000001</v>
      </c>
      <c r="AX93" s="554">
        <v>1</v>
      </c>
      <c r="AY93" s="109">
        <v>3</v>
      </c>
      <c r="AZ93" s="696">
        <f t="shared" si="0"/>
        <v>-780.85555555555561</v>
      </c>
      <c r="BA93" s="691">
        <f t="shared" si="1"/>
        <v>8</v>
      </c>
    </row>
    <row r="94" spans="2:53" x14ac:dyDescent="0.25">
      <c r="B94" s="718"/>
      <c r="C94" s="731"/>
      <c r="D94" s="718" t="s">
        <v>31</v>
      </c>
      <c r="E94" s="718"/>
      <c r="F94" s="502" t="s">
        <v>49</v>
      </c>
      <c r="G94" s="501"/>
      <c r="H94" s="491"/>
      <c r="I94" s="430"/>
      <c r="J94" s="501"/>
      <c r="K94" s="491"/>
      <c r="L94" s="430"/>
      <c r="M94" s="501">
        <v>10.866666666666665</v>
      </c>
      <c r="N94" s="491">
        <v>1</v>
      </c>
      <c r="O94" s="430">
        <v>2</v>
      </c>
      <c r="P94" s="501">
        <v>-116.66666666666666</v>
      </c>
      <c r="Q94" s="491">
        <v>5</v>
      </c>
      <c r="R94" s="430">
        <v>13</v>
      </c>
      <c r="S94" s="501">
        <v>-275.16666666666663</v>
      </c>
      <c r="T94" s="491">
        <v>6</v>
      </c>
      <c r="U94" s="430">
        <v>14</v>
      </c>
      <c r="V94" s="501">
        <v>-123.56666666666668</v>
      </c>
      <c r="W94" s="491">
        <v>3</v>
      </c>
      <c r="X94" s="430">
        <v>9</v>
      </c>
      <c r="Y94" s="501">
        <v>84.73333333333332</v>
      </c>
      <c r="Z94" s="444">
        <v>15</v>
      </c>
      <c r="AA94" s="110">
        <v>16</v>
      </c>
      <c r="AB94" s="501">
        <v>-147.26666666666668</v>
      </c>
      <c r="AC94" s="491">
        <v>3</v>
      </c>
      <c r="AD94" s="430">
        <v>10</v>
      </c>
      <c r="AE94" s="501">
        <v>-269.40000000000003</v>
      </c>
      <c r="AF94" s="491">
        <v>7</v>
      </c>
      <c r="AG94" s="430">
        <v>16</v>
      </c>
      <c r="AH94" s="501">
        <v>-183.23333333333332</v>
      </c>
      <c r="AI94" s="491">
        <v>5</v>
      </c>
      <c r="AJ94" s="430">
        <v>16</v>
      </c>
      <c r="AK94" s="501">
        <v>-33.76666666666668</v>
      </c>
      <c r="AL94" s="491">
        <v>6</v>
      </c>
      <c r="AM94" s="430">
        <v>14</v>
      </c>
      <c r="AN94" s="501">
        <v>-134.33333333333331</v>
      </c>
      <c r="AO94" s="554">
        <v>5</v>
      </c>
      <c r="AP94" s="109">
        <v>14</v>
      </c>
      <c r="AQ94" s="501">
        <v>-4.1666666666666421</v>
      </c>
      <c r="AR94" s="554">
        <v>6</v>
      </c>
      <c r="AS94" s="109">
        <v>12</v>
      </c>
      <c r="AT94" s="501">
        <v>-92.166666666666714</v>
      </c>
      <c r="AU94" s="554">
        <v>2</v>
      </c>
      <c r="AV94" s="109">
        <v>3</v>
      </c>
      <c r="AW94" s="501">
        <v>23.733333333333338</v>
      </c>
      <c r="AX94" s="554">
        <v>2</v>
      </c>
      <c r="AY94" s="109">
        <v>3</v>
      </c>
      <c r="AZ94" s="696">
        <f t="shared" si="0"/>
        <v>-879.43333333333339</v>
      </c>
      <c r="BA94" s="691">
        <f t="shared" si="1"/>
        <v>10</v>
      </c>
    </row>
    <row r="95" spans="2:53" x14ac:dyDescent="0.25">
      <c r="B95" s="718"/>
      <c r="C95" s="731"/>
      <c r="D95" s="718" t="s">
        <v>26</v>
      </c>
      <c r="E95" s="718"/>
      <c r="F95" s="502" t="s">
        <v>34</v>
      </c>
      <c r="G95" s="501">
        <v>-16.479999999999997</v>
      </c>
      <c r="H95" s="491">
        <v>8</v>
      </c>
      <c r="I95" s="430">
        <v>17</v>
      </c>
      <c r="J95" s="501">
        <v>-34.07</v>
      </c>
      <c r="K95" s="491">
        <v>8</v>
      </c>
      <c r="L95" s="430">
        <v>18</v>
      </c>
      <c r="M95" s="501">
        <v>-59.283333333333339</v>
      </c>
      <c r="N95" s="491">
        <v>6</v>
      </c>
      <c r="O95" s="430">
        <v>11</v>
      </c>
      <c r="P95" s="501">
        <v>45.42499999999999</v>
      </c>
      <c r="Q95" s="444">
        <v>9</v>
      </c>
      <c r="R95" s="110">
        <v>13</v>
      </c>
      <c r="S95" s="501">
        <v>137.77499999999998</v>
      </c>
      <c r="T95" s="444">
        <v>11</v>
      </c>
      <c r="U95" s="110">
        <v>14</v>
      </c>
      <c r="V95" s="501">
        <v>-15.824999999999998</v>
      </c>
      <c r="W95" s="491">
        <v>1</v>
      </c>
      <c r="X95" s="430">
        <v>2</v>
      </c>
      <c r="Y95" s="501"/>
      <c r="Z95" s="491"/>
      <c r="AA95" s="430"/>
      <c r="AB95" s="501">
        <v>46.749999999999993</v>
      </c>
      <c r="AC95" s="444">
        <v>2</v>
      </c>
      <c r="AD95" s="110">
        <v>3</v>
      </c>
      <c r="AE95" s="501">
        <v>-247.69999999999996</v>
      </c>
      <c r="AF95" s="491">
        <v>8</v>
      </c>
      <c r="AG95" s="430">
        <v>16</v>
      </c>
      <c r="AH95" s="501">
        <v>-219.84999999999994</v>
      </c>
      <c r="AI95" s="491">
        <v>9</v>
      </c>
      <c r="AJ95" s="430">
        <v>15</v>
      </c>
      <c r="AK95" s="501">
        <v>197.07499999999996</v>
      </c>
      <c r="AL95" s="444">
        <v>10</v>
      </c>
      <c r="AM95" s="110">
        <v>14</v>
      </c>
      <c r="AN95" s="501">
        <v>-162.72500000000002</v>
      </c>
      <c r="AO95" s="554">
        <v>7</v>
      </c>
      <c r="AP95" s="109">
        <v>14</v>
      </c>
      <c r="AQ95" s="501">
        <v>-119.02500000000001</v>
      </c>
      <c r="AR95" s="554">
        <v>5</v>
      </c>
      <c r="AS95" s="109">
        <v>12</v>
      </c>
      <c r="AT95" s="501">
        <v>-36.049999999999983</v>
      </c>
      <c r="AU95" s="554">
        <v>2</v>
      </c>
      <c r="AV95" s="109">
        <v>3</v>
      </c>
      <c r="AW95" s="501">
        <v>100.675</v>
      </c>
      <c r="AX95" s="554">
        <v>2</v>
      </c>
      <c r="AY95" s="109">
        <v>3</v>
      </c>
      <c r="AZ95" s="696">
        <f t="shared" si="0"/>
        <v>-456.6749999999999</v>
      </c>
      <c r="BA95" s="691">
        <f t="shared" si="1"/>
        <v>9</v>
      </c>
    </row>
    <row r="96" spans="2:53" x14ac:dyDescent="0.25">
      <c r="B96" s="718"/>
      <c r="C96" s="731"/>
      <c r="D96" s="718"/>
      <c r="E96" s="718"/>
      <c r="F96" s="502" t="s">
        <v>36</v>
      </c>
      <c r="G96" s="501"/>
      <c r="H96" s="491"/>
      <c r="I96" s="430"/>
      <c r="J96" s="501"/>
      <c r="K96" s="491"/>
      <c r="L96" s="430"/>
      <c r="M96" s="501"/>
      <c r="N96" s="491"/>
      <c r="O96" s="430"/>
      <c r="P96" s="501"/>
      <c r="Q96" s="491"/>
      <c r="R96" s="430"/>
      <c r="S96" s="501">
        <v>92.32</v>
      </c>
      <c r="T96" s="444">
        <v>9</v>
      </c>
      <c r="U96" s="110">
        <v>14</v>
      </c>
      <c r="V96" s="501">
        <v>-65.5</v>
      </c>
      <c r="W96" s="491">
        <v>0</v>
      </c>
      <c r="X96" s="430">
        <v>2</v>
      </c>
      <c r="Y96" s="501"/>
      <c r="Z96" s="491"/>
      <c r="AA96" s="430"/>
      <c r="AB96" s="501">
        <v>32.44</v>
      </c>
      <c r="AC96" s="444">
        <v>3</v>
      </c>
      <c r="AD96" s="110">
        <v>4</v>
      </c>
      <c r="AE96" s="501">
        <v>-142.06</v>
      </c>
      <c r="AF96" s="491">
        <v>7</v>
      </c>
      <c r="AG96" s="430">
        <v>16</v>
      </c>
      <c r="AH96" s="501">
        <v>-401.26000000000005</v>
      </c>
      <c r="AI96" s="491">
        <v>5</v>
      </c>
      <c r="AJ96" s="430">
        <v>15</v>
      </c>
      <c r="AK96" s="501">
        <v>178.52</v>
      </c>
      <c r="AL96" s="444">
        <v>10</v>
      </c>
      <c r="AM96" s="110">
        <v>14</v>
      </c>
      <c r="AN96" s="501">
        <v>-120.34000000000002</v>
      </c>
      <c r="AO96" s="554">
        <v>6</v>
      </c>
      <c r="AP96" s="109">
        <v>14</v>
      </c>
      <c r="AQ96" s="501">
        <v>-141.10000000000002</v>
      </c>
      <c r="AR96" s="554">
        <v>5</v>
      </c>
      <c r="AS96" s="109">
        <v>11</v>
      </c>
      <c r="AT96" s="501">
        <v>-10.620000000000005</v>
      </c>
      <c r="AU96" s="554">
        <v>2</v>
      </c>
      <c r="AV96" s="109">
        <v>3</v>
      </c>
      <c r="AW96" s="501">
        <v>132.38</v>
      </c>
      <c r="AX96" s="554">
        <v>2</v>
      </c>
      <c r="AY96" s="109">
        <v>3</v>
      </c>
      <c r="AZ96" s="696">
        <f t="shared" si="0"/>
        <v>-537.54000000000008</v>
      </c>
      <c r="BA96" s="691">
        <f t="shared" si="1"/>
        <v>9</v>
      </c>
    </row>
    <row r="97" spans="2:53" ht="15.75" thickBot="1" x14ac:dyDescent="0.3">
      <c r="B97" s="718"/>
      <c r="C97" s="740"/>
      <c r="D97" s="738" t="s">
        <v>17</v>
      </c>
      <c r="E97" s="738"/>
      <c r="F97" s="502" t="s">
        <v>49</v>
      </c>
      <c r="G97" s="501"/>
      <c r="H97" s="491"/>
      <c r="I97" s="430"/>
      <c r="J97" s="501"/>
      <c r="K97" s="491"/>
      <c r="L97" s="430"/>
      <c r="M97" s="501"/>
      <c r="N97" s="491"/>
      <c r="O97" s="430"/>
      <c r="P97" s="501"/>
      <c r="Q97" s="491"/>
      <c r="R97" s="430"/>
      <c r="S97" s="501"/>
      <c r="T97" s="491"/>
      <c r="U97" s="430"/>
      <c r="V97" s="501">
        <v>-6.1285714285714228</v>
      </c>
      <c r="W97" s="491">
        <v>6</v>
      </c>
      <c r="X97" s="430">
        <v>10</v>
      </c>
      <c r="Y97" s="501">
        <v>10.842857142857147</v>
      </c>
      <c r="Z97" s="491">
        <v>5</v>
      </c>
      <c r="AA97" s="430">
        <v>6</v>
      </c>
      <c r="AB97" s="501">
        <v>-45.885714285714286</v>
      </c>
      <c r="AC97" s="491">
        <v>4</v>
      </c>
      <c r="AD97" s="430">
        <v>9</v>
      </c>
      <c r="AE97" s="59">
        <v>-76.814285714285717</v>
      </c>
      <c r="AF97" s="193">
        <v>6</v>
      </c>
      <c r="AG97" s="106">
        <v>16</v>
      </c>
      <c r="AH97" s="107">
        <v>-265.91428571428577</v>
      </c>
      <c r="AI97" s="193">
        <v>6</v>
      </c>
      <c r="AJ97" s="106">
        <v>16</v>
      </c>
      <c r="AK97" s="107">
        <v>-89.457142857142884</v>
      </c>
      <c r="AL97" s="193">
        <v>6</v>
      </c>
      <c r="AM97" s="106">
        <v>14</v>
      </c>
      <c r="AN97" s="107">
        <v>-249.5</v>
      </c>
      <c r="AO97" s="554">
        <v>4</v>
      </c>
      <c r="AP97" s="109">
        <v>14</v>
      </c>
      <c r="AQ97" s="107">
        <v>-154.18333333333334</v>
      </c>
      <c r="AR97" s="554">
        <v>4</v>
      </c>
      <c r="AS97" s="109">
        <v>12</v>
      </c>
      <c r="AT97" s="107">
        <v>-0.3333333333333357</v>
      </c>
      <c r="AU97" s="554">
        <v>1</v>
      </c>
      <c r="AV97" s="109">
        <v>3</v>
      </c>
      <c r="AW97" s="107">
        <v>-135.56666666666666</v>
      </c>
      <c r="AX97" s="554">
        <v>0</v>
      </c>
      <c r="AY97" s="109">
        <v>3</v>
      </c>
      <c r="AZ97" s="696">
        <f t="shared" si="0"/>
        <v>-1012.9404761904761</v>
      </c>
      <c r="BA97" s="691">
        <f t="shared" si="1"/>
        <v>10</v>
      </c>
    </row>
    <row r="98" spans="2:53" x14ac:dyDescent="0.25">
      <c r="D98" s="746" t="s">
        <v>67</v>
      </c>
      <c r="E98" s="746"/>
      <c r="F98" s="493" t="s">
        <v>58</v>
      </c>
      <c r="G98" s="63"/>
      <c r="H98" s="63"/>
      <c r="I98" s="63"/>
      <c r="J98" s="63"/>
      <c r="K98" s="63"/>
      <c r="L98" s="63"/>
      <c r="M98" s="63"/>
      <c r="N98" s="63"/>
      <c r="O98" s="63"/>
      <c r="P98" s="63"/>
      <c r="Q98" s="63"/>
      <c r="R98" s="63"/>
      <c r="S98" s="63"/>
      <c r="T98" s="63"/>
      <c r="U98" s="63"/>
      <c r="V98" s="63"/>
      <c r="W98" s="63"/>
      <c r="X98" s="63"/>
      <c r="Y98" s="63"/>
      <c r="Z98" s="63"/>
      <c r="AA98" s="63"/>
      <c r="AB98" s="63"/>
      <c r="AC98" s="63"/>
      <c r="AD98" s="63"/>
      <c r="AE98" s="551">
        <v>3.5999999999999996</v>
      </c>
      <c r="AF98" s="545">
        <v>1</v>
      </c>
      <c r="AG98" s="430">
        <v>3</v>
      </c>
      <c r="AH98" s="551">
        <v>19.329999999999998</v>
      </c>
      <c r="AI98" s="545">
        <v>5</v>
      </c>
      <c r="AJ98" s="430">
        <v>9</v>
      </c>
      <c r="AK98" s="551">
        <v>-48.74000000000003</v>
      </c>
      <c r="AL98" s="545">
        <v>5</v>
      </c>
      <c r="AM98" s="430">
        <v>11</v>
      </c>
      <c r="AN98" s="551">
        <v>-24.83</v>
      </c>
      <c r="AO98" s="556">
        <v>1</v>
      </c>
      <c r="AP98" s="557">
        <v>4</v>
      </c>
      <c r="AQ98" s="624">
        <v>-55.13000000000001</v>
      </c>
      <c r="AR98" s="556">
        <v>7</v>
      </c>
      <c r="AS98" s="557">
        <v>14</v>
      </c>
      <c r="AT98" s="659">
        <v>-35.93</v>
      </c>
      <c r="AU98" s="556">
        <v>1</v>
      </c>
      <c r="AV98" s="557">
        <v>4</v>
      </c>
      <c r="AW98" s="696">
        <v>30.93</v>
      </c>
      <c r="AX98" s="556">
        <v>4</v>
      </c>
      <c r="AY98" s="557">
        <v>5</v>
      </c>
      <c r="AZ98" s="696">
        <f t="shared" si="0"/>
        <v>-110.77000000000004</v>
      </c>
      <c r="BA98" s="691">
        <f t="shared" si="1"/>
        <v>7</v>
      </c>
    </row>
    <row r="99" spans="2:53" x14ac:dyDescent="0.25">
      <c r="D99" s="747"/>
      <c r="E99" s="747"/>
      <c r="F99" s="491" t="s">
        <v>63</v>
      </c>
      <c r="AE99" s="495">
        <v>-12.119999999999997</v>
      </c>
      <c r="AF99" s="491">
        <v>4</v>
      </c>
      <c r="AG99" s="430">
        <v>6</v>
      </c>
      <c r="AH99" s="495">
        <v>-31.340000000000003</v>
      </c>
      <c r="AI99" s="491">
        <v>6</v>
      </c>
      <c r="AJ99" s="430">
        <v>13</v>
      </c>
      <c r="AK99" s="495">
        <v>-178.45999999999992</v>
      </c>
      <c r="AL99" s="491">
        <v>4</v>
      </c>
      <c r="AM99" s="430">
        <v>15</v>
      </c>
      <c r="AN99" s="551">
        <v>64.88</v>
      </c>
      <c r="AO99" s="554">
        <v>6</v>
      </c>
      <c r="AP99" s="109">
        <v>14</v>
      </c>
      <c r="AQ99" s="624">
        <v>-122.57000000000005</v>
      </c>
      <c r="AR99" s="554">
        <v>6</v>
      </c>
      <c r="AS99" s="109">
        <v>15</v>
      </c>
      <c r="AT99" s="659">
        <v>-87.210000000000008</v>
      </c>
      <c r="AU99" s="554">
        <v>3</v>
      </c>
      <c r="AV99" s="109">
        <v>6</v>
      </c>
      <c r="AW99" s="696">
        <v>148.80000000000001</v>
      </c>
      <c r="AX99" s="554">
        <v>7</v>
      </c>
      <c r="AY99" s="109">
        <v>7</v>
      </c>
      <c r="AZ99" s="696">
        <f t="shared" si="0"/>
        <v>-218.02000000000004</v>
      </c>
      <c r="BA99" s="691">
        <f t="shared" si="1"/>
        <v>7</v>
      </c>
    </row>
    <row r="100" spans="2:53" x14ac:dyDescent="0.25">
      <c r="D100" s="747"/>
      <c r="E100" s="747"/>
      <c r="F100" s="491" t="s">
        <v>56</v>
      </c>
      <c r="AE100" s="495">
        <v>-27.97000000000001</v>
      </c>
      <c r="AF100" s="491">
        <v>3</v>
      </c>
      <c r="AG100" s="430">
        <v>6</v>
      </c>
      <c r="AH100" s="495">
        <v>-5.3200000000000163</v>
      </c>
      <c r="AI100" s="491">
        <v>7</v>
      </c>
      <c r="AJ100" s="430">
        <v>13</v>
      </c>
      <c r="AK100" s="495">
        <v>-130.75999999999996</v>
      </c>
      <c r="AL100" s="491">
        <v>5</v>
      </c>
      <c r="AM100" s="430">
        <v>15</v>
      </c>
      <c r="AN100" s="551">
        <v>62.679999999999986</v>
      </c>
      <c r="AO100" s="554">
        <v>6</v>
      </c>
      <c r="AP100" s="109">
        <v>14</v>
      </c>
      <c r="AQ100" s="624">
        <v>-132.23000000000005</v>
      </c>
      <c r="AR100" s="554">
        <v>6</v>
      </c>
      <c r="AS100" s="109">
        <v>15</v>
      </c>
      <c r="AT100" s="659">
        <v>-85.660000000000011</v>
      </c>
      <c r="AU100" s="554">
        <v>3</v>
      </c>
      <c r="AV100" s="109">
        <v>6</v>
      </c>
      <c r="AW100" s="696">
        <v>139.20999999999998</v>
      </c>
      <c r="AX100" s="554">
        <v>7</v>
      </c>
      <c r="AY100" s="109">
        <v>7</v>
      </c>
      <c r="AZ100" s="696">
        <f t="shared" si="0"/>
        <v>-180.05000000000013</v>
      </c>
      <c r="BA100" s="691">
        <f t="shared" si="1"/>
        <v>7</v>
      </c>
    </row>
    <row r="101" spans="2:53" x14ac:dyDescent="0.25">
      <c r="D101" s="747"/>
      <c r="E101" s="747"/>
      <c r="F101" s="491" t="s">
        <v>57</v>
      </c>
      <c r="AE101" s="495">
        <v>5.8299999999999974</v>
      </c>
      <c r="AF101" s="491">
        <v>3</v>
      </c>
      <c r="AG101" s="430">
        <v>5</v>
      </c>
      <c r="AH101" s="495">
        <v>27.159999999999961</v>
      </c>
      <c r="AI101" s="491">
        <v>4</v>
      </c>
      <c r="AJ101" s="430">
        <v>12</v>
      </c>
      <c r="AK101" s="495">
        <v>-135.44</v>
      </c>
      <c r="AL101" s="491">
        <v>2</v>
      </c>
      <c r="AM101" s="430">
        <v>15</v>
      </c>
      <c r="AN101" s="551">
        <v>11.910000000000011</v>
      </c>
      <c r="AO101" s="554">
        <v>5</v>
      </c>
      <c r="AP101" s="109">
        <v>14</v>
      </c>
      <c r="AQ101" s="624">
        <v>-87.5</v>
      </c>
      <c r="AR101" s="554">
        <v>2</v>
      </c>
      <c r="AS101" s="109">
        <v>15</v>
      </c>
      <c r="AT101" s="659">
        <v>-3.9800000000000004</v>
      </c>
      <c r="AU101" s="554">
        <v>1</v>
      </c>
      <c r="AV101" s="109">
        <v>6</v>
      </c>
      <c r="AW101" s="696">
        <v>26.88</v>
      </c>
      <c r="AX101" s="554">
        <v>3</v>
      </c>
      <c r="AY101" s="109">
        <v>7</v>
      </c>
      <c r="AZ101" s="696">
        <f t="shared" si="0"/>
        <v>-155.14000000000001</v>
      </c>
      <c r="BA101" s="691">
        <f t="shared" si="1"/>
        <v>7</v>
      </c>
    </row>
    <row r="102" spans="2:53" x14ac:dyDescent="0.25">
      <c r="D102" s="747"/>
      <c r="E102" s="747"/>
      <c r="F102" s="545" t="s">
        <v>71</v>
      </c>
      <c r="AE102" s="551">
        <v>-57.450000000000017</v>
      </c>
      <c r="AF102" s="545">
        <v>9</v>
      </c>
      <c r="AG102" s="430">
        <v>16</v>
      </c>
      <c r="AH102" s="551">
        <v>-92.220000000000013</v>
      </c>
      <c r="AI102" s="545">
        <v>6</v>
      </c>
      <c r="AJ102" s="430">
        <v>14</v>
      </c>
      <c r="AK102" s="551">
        <v>-366.6099999999999</v>
      </c>
      <c r="AL102" s="545">
        <v>2</v>
      </c>
      <c r="AM102" s="430">
        <v>15</v>
      </c>
      <c r="AN102" s="551">
        <v>-167.10000000000002</v>
      </c>
      <c r="AO102" s="554">
        <v>6</v>
      </c>
      <c r="AP102" s="109">
        <v>14</v>
      </c>
      <c r="AQ102" s="624">
        <v>-163.36999999999995</v>
      </c>
      <c r="AR102" s="554">
        <v>9</v>
      </c>
      <c r="AS102" s="109">
        <v>16</v>
      </c>
      <c r="AT102" s="659">
        <v>-173.26</v>
      </c>
      <c r="AU102" s="554">
        <v>1</v>
      </c>
      <c r="AV102" s="109">
        <v>6</v>
      </c>
      <c r="AW102" s="696">
        <v>89.160000000000011</v>
      </c>
      <c r="AX102" s="554">
        <v>5</v>
      </c>
      <c r="AY102" s="109">
        <v>7</v>
      </c>
      <c r="AZ102" s="696">
        <f t="shared" si="0"/>
        <v>-930.85</v>
      </c>
      <c r="BA102" s="691">
        <f t="shared" si="1"/>
        <v>7</v>
      </c>
    </row>
    <row r="103" spans="2:53" x14ac:dyDescent="0.25">
      <c r="D103" s="748"/>
      <c r="E103" s="748"/>
      <c r="F103" s="546" t="s">
        <v>65</v>
      </c>
      <c r="G103" s="73"/>
      <c r="H103" s="73"/>
      <c r="I103" s="73"/>
      <c r="J103" s="73"/>
      <c r="K103" s="73"/>
      <c r="L103" s="73"/>
      <c r="M103" s="73"/>
      <c r="N103" s="73"/>
      <c r="O103" s="73"/>
      <c r="P103" s="73"/>
      <c r="Q103" s="73"/>
      <c r="R103" s="73"/>
      <c r="S103" s="73"/>
      <c r="T103" s="73"/>
      <c r="U103" s="73"/>
      <c r="V103" s="73"/>
      <c r="W103" s="73"/>
      <c r="X103" s="73"/>
      <c r="Y103" s="73"/>
      <c r="Z103" s="73"/>
      <c r="AA103" s="73"/>
      <c r="AB103" s="73"/>
      <c r="AC103" s="73"/>
      <c r="AD103" s="73"/>
      <c r="AE103" s="442"/>
      <c r="AF103" s="73"/>
      <c r="AG103" s="73"/>
      <c r="AH103" s="442"/>
      <c r="AI103" s="73"/>
      <c r="AJ103" s="73"/>
      <c r="AK103" s="4">
        <v>-134.07999999999996</v>
      </c>
      <c r="AL103" s="546">
        <v>5</v>
      </c>
      <c r="AM103" s="77">
        <v>15</v>
      </c>
      <c r="AN103" s="4">
        <v>-3.9299999999999784</v>
      </c>
      <c r="AO103" s="550">
        <v>5</v>
      </c>
      <c r="AP103" s="555">
        <v>14</v>
      </c>
      <c r="AQ103" s="4">
        <v>-73.259999999999991</v>
      </c>
      <c r="AR103" s="623">
        <v>6</v>
      </c>
      <c r="AS103" s="555">
        <v>15</v>
      </c>
      <c r="AT103" s="4">
        <v>-52.95</v>
      </c>
      <c r="AU103" s="658">
        <v>3</v>
      </c>
      <c r="AV103" s="555">
        <v>6</v>
      </c>
      <c r="AW103" s="4">
        <v>70.97</v>
      </c>
      <c r="AX103" s="695">
        <v>5</v>
      </c>
      <c r="AY103" s="555">
        <v>7</v>
      </c>
      <c r="AZ103" s="696">
        <f t="shared" si="0"/>
        <v>-193.24999999999991</v>
      </c>
      <c r="BA103" s="691">
        <f t="shared" si="1"/>
        <v>5</v>
      </c>
    </row>
    <row r="104" spans="2:53" x14ac:dyDescent="0.25">
      <c r="AE104" s="491" t="s">
        <v>60</v>
      </c>
      <c r="AH104" s="491" t="s">
        <v>60</v>
      </c>
      <c r="AK104" s="491" t="s">
        <v>60</v>
      </c>
      <c r="AN104" s="545" t="s">
        <v>60</v>
      </c>
      <c r="AQ104" s="620" t="s">
        <v>60</v>
      </c>
      <c r="AS104"/>
      <c r="AT104" s="654" t="s">
        <v>60</v>
      </c>
      <c r="AV104" s="673"/>
      <c r="AW104" s="691" t="s">
        <v>60</v>
      </c>
      <c r="AX104" s="673"/>
      <c r="AY104" s="673"/>
    </row>
  </sheetData>
  <mergeCells count="119">
    <mergeCell ref="AW2:AY2"/>
    <mergeCell ref="AN2:AP2"/>
    <mergeCell ref="AZ2:BA2"/>
    <mergeCell ref="M1:O1"/>
    <mergeCell ref="D40:E40"/>
    <mergeCell ref="AE2:AG2"/>
    <mergeCell ref="D43:E43"/>
    <mergeCell ref="D47:E47"/>
    <mergeCell ref="D73:E74"/>
    <mergeCell ref="D65:E65"/>
    <mergeCell ref="D60:E60"/>
    <mergeCell ref="D61:E61"/>
    <mergeCell ref="D62:E62"/>
    <mergeCell ref="S2:U2"/>
    <mergeCell ref="AB2:AD2"/>
    <mergeCell ref="V2:X2"/>
    <mergeCell ref="Y2:AA2"/>
    <mergeCell ref="D14:E14"/>
    <mergeCell ref="D12:E12"/>
    <mergeCell ref="D4:E4"/>
    <mergeCell ref="D15:E15"/>
    <mergeCell ref="D20:E20"/>
    <mergeCell ref="D23:E23"/>
    <mergeCell ref="D6:E6"/>
    <mergeCell ref="D98:E103"/>
    <mergeCell ref="D24:E24"/>
    <mergeCell ref="D93:E93"/>
    <mergeCell ref="D97:E97"/>
    <mergeCell ref="D90:E90"/>
    <mergeCell ref="D95:E96"/>
    <mergeCell ref="D91:E91"/>
    <mergeCell ref="D82:E82"/>
    <mergeCell ref="D83:E83"/>
    <mergeCell ref="D84:E84"/>
    <mergeCell ref="D94:E94"/>
    <mergeCell ref="D33:E33"/>
    <mergeCell ref="D85:E85"/>
    <mergeCell ref="D89:E89"/>
    <mergeCell ref="D63:E63"/>
    <mergeCell ref="D64:E64"/>
    <mergeCell ref="D70:E70"/>
    <mergeCell ref="D38:E38"/>
    <mergeCell ref="D35:E35"/>
    <mergeCell ref="D77:E78"/>
    <mergeCell ref="D79:E81"/>
    <mergeCell ref="D71:E72"/>
    <mergeCell ref="D87:E87"/>
    <mergeCell ref="D86:E86"/>
    <mergeCell ref="C92:C97"/>
    <mergeCell ref="D92:E92"/>
    <mergeCell ref="D51:E52"/>
    <mergeCell ref="C49:C59"/>
    <mergeCell ref="D68:E68"/>
    <mergeCell ref="D69:E69"/>
    <mergeCell ref="D75:E76"/>
    <mergeCell ref="J2:L2"/>
    <mergeCell ref="C44:C48"/>
    <mergeCell ref="D44:E44"/>
    <mergeCell ref="D46:E46"/>
    <mergeCell ref="D37:E37"/>
    <mergeCell ref="C24:C28"/>
    <mergeCell ref="D36:E36"/>
    <mergeCell ref="D13:E13"/>
    <mergeCell ref="C8:C11"/>
    <mergeCell ref="D25:E25"/>
    <mergeCell ref="C39:C43"/>
    <mergeCell ref="D19:E19"/>
    <mergeCell ref="D45:E45"/>
    <mergeCell ref="C16:C19"/>
    <mergeCell ref="D16:E16"/>
    <mergeCell ref="C70:C81"/>
    <mergeCell ref="D7:E7"/>
    <mergeCell ref="B4:B23"/>
    <mergeCell ref="C82:C91"/>
    <mergeCell ref="C60:C69"/>
    <mergeCell ref="D49:E50"/>
    <mergeCell ref="D42:E42"/>
    <mergeCell ref="C4:C7"/>
    <mergeCell ref="D5:E5"/>
    <mergeCell ref="B24:B48"/>
    <mergeCell ref="D26:E26"/>
    <mergeCell ref="D48:E48"/>
    <mergeCell ref="D41:E41"/>
    <mergeCell ref="D21:E21"/>
    <mergeCell ref="D66:E66"/>
    <mergeCell ref="D39:E39"/>
    <mergeCell ref="D67:E67"/>
    <mergeCell ref="D27:E27"/>
    <mergeCell ref="D9:E9"/>
    <mergeCell ref="D10:E10"/>
    <mergeCell ref="D8:E8"/>
    <mergeCell ref="D17:E17"/>
    <mergeCell ref="D18:E18"/>
    <mergeCell ref="D22:E22"/>
    <mergeCell ref="D88:E88"/>
    <mergeCell ref="AT2:AV2"/>
    <mergeCell ref="AQ2:AS2"/>
    <mergeCell ref="AK2:AM2"/>
    <mergeCell ref="AH2:AJ2"/>
    <mergeCell ref="D53:E54"/>
    <mergeCell ref="D55:E57"/>
    <mergeCell ref="D58:E58"/>
    <mergeCell ref="D59:E59"/>
    <mergeCell ref="P2:R2"/>
    <mergeCell ref="M2:O2"/>
    <mergeCell ref="B3:E3"/>
    <mergeCell ref="C12:C15"/>
    <mergeCell ref="D31:E31"/>
    <mergeCell ref="D11:E11"/>
    <mergeCell ref="D28:E28"/>
    <mergeCell ref="D32:E32"/>
    <mergeCell ref="C29:C33"/>
    <mergeCell ref="D29:E29"/>
    <mergeCell ref="D30:E30"/>
    <mergeCell ref="G2:I2"/>
    <mergeCell ref="C34:C38"/>
    <mergeCell ref="D34:E34"/>
    <mergeCell ref="B49:B97"/>
    <mergeCell ref="C20:C23"/>
  </mergeCells>
  <conditionalFormatting sqref="J61:J66 G61:G66 P68:P73 M68:M73 G68:G73 J68:J73 G4:G49 J4:J49 M4:M66 P4:P66 S4:S66 V4:V66 Y4:Y66 AB4:AB66 AE4:AE66 J75:J88 G75:G88 M75:M88 P75:P88 S75:S88 V75:V88 Y75:Y88 AB75:AB88 AE75:AE88 P90:P95 M90:M95 G90:G95 J90:J95 S90:S95 V90:V95 Y90:Y95 AB90:AB95 AE90:AE95 J97 G97 M97 P97 S97 V97 Y97 AB97 AE99:AE102 AE97 AH99:AH102 AH49:AH97 AK49:AK97 AK99:AK101 AK103 AN99:AN101 AN103">
    <cfRule type="cellIs" dxfId="13191" priority="251" operator="lessThan">
      <formula>0</formula>
    </cfRule>
    <cfRule type="cellIs" dxfId="13190" priority="252" operator="greaterThan">
      <formula>0</formula>
    </cfRule>
  </conditionalFormatting>
  <conditionalFormatting sqref="J61:J66 G61:G66 P68:P73 M68:M73 G68:G73 J68:J73 G4:G49 J4:J49 M4:M66 P4:P66 S4:S66 V4:V66 Y4:Y66 AB4:AB66 AE4:AE66 J75:J88 G75:G88 M75:M88 P75:P88 S75:S88 V75:V88 Y75:Y88 AB75:AB88 AE75:AE88 P90:P95 M90:M95 G90:G95 J90:J95 S90:S95 V90:V95 Y90:Y95 AB90:AB95 AE90:AE95 J97 G97 M97 P97 S97 V97 Y97 AB97 AE99:AE102 AE97 AH99:AH102 AH49:AH97 AK49:AK97 AK99:AK101 AK103 AN99:AN101 AN103">
    <cfRule type="cellIs" dxfId="13189" priority="249" operator="lessThan">
      <formula>0</formula>
    </cfRule>
    <cfRule type="cellIs" dxfId="13188" priority="250" operator="greaterThan">
      <formula>0</formula>
    </cfRule>
  </conditionalFormatting>
  <conditionalFormatting sqref="G50:G59">
    <cfRule type="cellIs" dxfId="13187" priority="247" operator="lessThan">
      <formula>0</formula>
    </cfRule>
    <cfRule type="cellIs" dxfId="13186" priority="248" operator="greaterThan">
      <formula>0</formula>
    </cfRule>
  </conditionalFormatting>
  <conditionalFormatting sqref="G50:G59">
    <cfRule type="cellIs" dxfId="13185" priority="245" operator="lessThan">
      <formula>0</formula>
    </cfRule>
    <cfRule type="cellIs" dxfId="13184" priority="246" operator="greaterThan">
      <formula>0</formula>
    </cfRule>
  </conditionalFormatting>
  <conditionalFormatting sqref="G50:G59">
    <cfRule type="cellIs" dxfId="13183" priority="243" operator="lessThan">
      <formula>0</formula>
    </cfRule>
    <cfRule type="cellIs" dxfId="13182" priority="244" operator="greaterThan">
      <formula>0</formula>
    </cfRule>
  </conditionalFormatting>
  <conditionalFormatting sqref="G50:G59">
    <cfRule type="cellIs" dxfId="13181" priority="241" operator="lessThan">
      <formula>0</formula>
    </cfRule>
    <cfRule type="cellIs" dxfId="13180" priority="242" operator="greaterThan">
      <formula>0</formula>
    </cfRule>
  </conditionalFormatting>
  <conditionalFormatting sqref="J50:J59">
    <cfRule type="cellIs" dxfId="13179" priority="239" operator="lessThan">
      <formula>0</formula>
    </cfRule>
    <cfRule type="cellIs" dxfId="13178" priority="240" operator="greaterThan">
      <formula>0</formula>
    </cfRule>
  </conditionalFormatting>
  <conditionalFormatting sqref="J50:J59">
    <cfRule type="cellIs" dxfId="13177" priority="237" operator="lessThan">
      <formula>0</formula>
    </cfRule>
    <cfRule type="cellIs" dxfId="13176" priority="238" operator="greaterThan">
      <formula>0</formula>
    </cfRule>
  </conditionalFormatting>
  <conditionalFormatting sqref="J50:J59">
    <cfRule type="cellIs" dxfId="13175" priority="235" operator="lessThan">
      <formula>0</formula>
    </cfRule>
    <cfRule type="cellIs" dxfId="13174" priority="236" operator="greaterThan">
      <formula>0</formula>
    </cfRule>
  </conditionalFormatting>
  <conditionalFormatting sqref="J50:J59">
    <cfRule type="cellIs" dxfId="13173" priority="233" operator="lessThan">
      <formula>0</formula>
    </cfRule>
    <cfRule type="cellIs" dxfId="13172" priority="234" operator="greaterThan">
      <formula>0</formula>
    </cfRule>
  </conditionalFormatting>
  <conditionalFormatting sqref="J60 G60">
    <cfRule type="cellIs" dxfId="13171" priority="231" operator="lessThan">
      <formula>0</formula>
    </cfRule>
    <cfRule type="cellIs" dxfId="13170" priority="232" operator="greaterThan">
      <formula>0</formula>
    </cfRule>
  </conditionalFormatting>
  <conditionalFormatting sqref="J60 G60">
    <cfRule type="cellIs" dxfId="13169" priority="229" operator="lessThan">
      <formula>0</formula>
    </cfRule>
    <cfRule type="cellIs" dxfId="13168" priority="230" operator="greaterThan">
      <formula>0</formula>
    </cfRule>
  </conditionalFormatting>
  <conditionalFormatting sqref="S68:S73">
    <cfRule type="cellIs" dxfId="13167" priority="227" operator="lessThan">
      <formula>0</formula>
    </cfRule>
    <cfRule type="cellIs" dxfId="13166" priority="228" operator="greaterThan">
      <formula>0</formula>
    </cfRule>
  </conditionalFormatting>
  <conditionalFormatting sqref="S68:S73">
    <cfRule type="cellIs" dxfId="13165" priority="225" operator="lessThan">
      <formula>0</formula>
    </cfRule>
    <cfRule type="cellIs" dxfId="13164" priority="226" operator="greaterThan">
      <formula>0</formula>
    </cfRule>
  </conditionalFormatting>
  <conditionalFormatting sqref="V68:V73">
    <cfRule type="cellIs" dxfId="13163" priority="223" operator="lessThan">
      <formula>0</formula>
    </cfRule>
    <cfRule type="cellIs" dxfId="13162" priority="224" operator="greaterThan">
      <formula>0</formula>
    </cfRule>
  </conditionalFormatting>
  <conditionalFormatting sqref="V68:V73">
    <cfRule type="cellIs" dxfId="13161" priority="221" operator="lessThan">
      <formula>0</formula>
    </cfRule>
    <cfRule type="cellIs" dxfId="13160" priority="222" operator="greaterThan">
      <formula>0</formula>
    </cfRule>
  </conditionalFormatting>
  <conditionalFormatting sqref="J67 G67 M67 P67">
    <cfRule type="cellIs" dxfId="13159" priority="219" operator="lessThan">
      <formula>0</formula>
    </cfRule>
    <cfRule type="cellIs" dxfId="13158" priority="220" operator="greaterThan">
      <formula>0</formula>
    </cfRule>
  </conditionalFormatting>
  <conditionalFormatting sqref="J67 G67 M67 P67">
    <cfRule type="cellIs" dxfId="13157" priority="217" operator="lessThan">
      <formula>0</formula>
    </cfRule>
    <cfRule type="cellIs" dxfId="13156" priority="218" operator="greaterThan">
      <formula>0</formula>
    </cfRule>
  </conditionalFormatting>
  <conditionalFormatting sqref="S67">
    <cfRule type="cellIs" dxfId="13155" priority="215" operator="lessThan">
      <formula>0</formula>
    </cfRule>
    <cfRule type="cellIs" dxfId="13154" priority="216" operator="greaterThan">
      <formula>0</formula>
    </cfRule>
  </conditionalFormatting>
  <conditionalFormatting sqref="S67">
    <cfRule type="cellIs" dxfId="13153" priority="213" operator="lessThan">
      <formula>0</formula>
    </cfRule>
    <cfRule type="cellIs" dxfId="13152" priority="214" operator="greaterThan">
      <formula>0</formula>
    </cfRule>
  </conditionalFormatting>
  <conditionalFormatting sqref="V67">
    <cfRule type="cellIs" dxfId="13151" priority="211" operator="lessThan">
      <formula>0</formula>
    </cfRule>
    <cfRule type="cellIs" dxfId="13150" priority="212" operator="greaterThan">
      <formula>0</formula>
    </cfRule>
  </conditionalFormatting>
  <conditionalFormatting sqref="V67">
    <cfRule type="cellIs" dxfId="13149" priority="209" operator="lessThan">
      <formula>0</formula>
    </cfRule>
    <cfRule type="cellIs" dxfId="13148" priority="210" operator="greaterThan">
      <formula>0</formula>
    </cfRule>
  </conditionalFormatting>
  <conditionalFormatting sqref="P74 G74 J74">
    <cfRule type="cellIs" dxfId="13147" priority="207" operator="lessThan">
      <formula>0</formula>
    </cfRule>
    <cfRule type="cellIs" dxfId="13146" priority="208" operator="greaterThan">
      <formula>0</formula>
    </cfRule>
  </conditionalFormatting>
  <conditionalFormatting sqref="P74 G74 J74">
    <cfRule type="cellIs" dxfId="13145" priority="205" operator="lessThan">
      <formula>0</formula>
    </cfRule>
    <cfRule type="cellIs" dxfId="13144" priority="206" operator="greaterThan">
      <formula>0</formula>
    </cfRule>
  </conditionalFormatting>
  <conditionalFormatting sqref="S74">
    <cfRule type="cellIs" dxfId="13143" priority="203" operator="lessThan">
      <formula>0</formula>
    </cfRule>
    <cfRule type="cellIs" dxfId="13142" priority="204" operator="greaterThan">
      <formula>0</formula>
    </cfRule>
  </conditionalFormatting>
  <conditionalFormatting sqref="S74">
    <cfRule type="cellIs" dxfId="13141" priority="201" operator="lessThan">
      <formula>0</formula>
    </cfRule>
    <cfRule type="cellIs" dxfId="13140" priority="202" operator="greaterThan">
      <formula>0</formula>
    </cfRule>
  </conditionalFormatting>
  <conditionalFormatting sqref="V74">
    <cfRule type="cellIs" dxfId="13139" priority="199" operator="lessThan">
      <formula>0</formula>
    </cfRule>
    <cfRule type="cellIs" dxfId="13138" priority="200" operator="greaterThan">
      <formula>0</formula>
    </cfRule>
  </conditionalFormatting>
  <conditionalFormatting sqref="V74">
    <cfRule type="cellIs" dxfId="13137" priority="197" operator="lessThan">
      <formula>0</formula>
    </cfRule>
    <cfRule type="cellIs" dxfId="13136" priority="198" operator="greaterThan">
      <formula>0</formula>
    </cfRule>
  </conditionalFormatting>
  <conditionalFormatting sqref="M74">
    <cfRule type="cellIs" dxfId="13135" priority="195" operator="lessThan">
      <formula>0</formula>
    </cfRule>
    <cfRule type="cellIs" dxfId="13134" priority="196" operator="greaterThan">
      <formula>0</formula>
    </cfRule>
  </conditionalFormatting>
  <conditionalFormatting sqref="M74">
    <cfRule type="cellIs" dxfId="13133" priority="193" operator="lessThan">
      <formula>0</formula>
    </cfRule>
    <cfRule type="cellIs" dxfId="13132" priority="194" operator="greaterThan">
      <formula>0</formula>
    </cfRule>
  </conditionalFormatting>
  <conditionalFormatting sqref="J89 G89 M89 P89">
    <cfRule type="cellIs" dxfId="13131" priority="191" operator="lessThan">
      <formula>0</formula>
    </cfRule>
    <cfRule type="cellIs" dxfId="13130" priority="192" operator="greaterThan">
      <formula>0</formula>
    </cfRule>
  </conditionalFormatting>
  <conditionalFormatting sqref="J89 G89 M89 P89">
    <cfRule type="cellIs" dxfId="13129" priority="189" operator="lessThan">
      <formula>0</formula>
    </cfRule>
    <cfRule type="cellIs" dxfId="13128" priority="190" operator="greaterThan">
      <formula>0</formula>
    </cfRule>
  </conditionalFormatting>
  <conditionalFormatting sqref="S89">
    <cfRule type="cellIs" dxfId="13127" priority="187" operator="lessThan">
      <formula>0</formula>
    </cfRule>
    <cfRule type="cellIs" dxfId="13126" priority="188" operator="greaterThan">
      <formula>0</formula>
    </cfRule>
  </conditionalFormatting>
  <conditionalFormatting sqref="S89">
    <cfRule type="cellIs" dxfId="13125" priority="185" operator="lessThan">
      <formula>0</formula>
    </cfRule>
    <cfRule type="cellIs" dxfId="13124" priority="186" operator="greaterThan">
      <formula>0</formula>
    </cfRule>
  </conditionalFormatting>
  <conditionalFormatting sqref="V89">
    <cfRule type="cellIs" dxfId="13123" priority="183" operator="lessThan">
      <formula>0</formula>
    </cfRule>
    <cfRule type="cellIs" dxfId="13122" priority="184" operator="greaterThan">
      <formula>0</formula>
    </cfRule>
  </conditionalFormatting>
  <conditionalFormatting sqref="V89">
    <cfRule type="cellIs" dxfId="13121" priority="181" operator="lessThan">
      <formula>0</formula>
    </cfRule>
    <cfRule type="cellIs" dxfId="13120" priority="182" operator="greaterThan">
      <formula>0</formula>
    </cfRule>
  </conditionalFormatting>
  <conditionalFormatting sqref="P96 M96 G96 J96">
    <cfRule type="cellIs" dxfId="13119" priority="179" operator="lessThan">
      <formula>0</formula>
    </cfRule>
    <cfRule type="cellIs" dxfId="13118" priority="180" operator="greaterThan">
      <formula>0</formula>
    </cfRule>
  </conditionalFormatting>
  <conditionalFormatting sqref="P96 M96 G96 J96">
    <cfRule type="cellIs" dxfId="13117" priority="177" operator="lessThan">
      <formula>0</formula>
    </cfRule>
    <cfRule type="cellIs" dxfId="13116" priority="178" operator="greaterThan">
      <formula>0</formula>
    </cfRule>
  </conditionalFormatting>
  <conditionalFormatting sqref="S96">
    <cfRule type="cellIs" dxfId="13115" priority="175" operator="lessThan">
      <formula>0</formula>
    </cfRule>
    <cfRule type="cellIs" dxfId="13114" priority="176" operator="greaterThan">
      <formula>0</formula>
    </cfRule>
  </conditionalFormatting>
  <conditionalFormatting sqref="S96">
    <cfRule type="cellIs" dxfId="13113" priority="173" operator="lessThan">
      <formula>0</formula>
    </cfRule>
    <cfRule type="cellIs" dxfId="13112" priority="174" operator="greaterThan">
      <formula>0</formula>
    </cfRule>
  </conditionalFormatting>
  <conditionalFormatting sqref="V96">
    <cfRule type="cellIs" dxfId="13111" priority="171" operator="lessThan">
      <formula>0</formula>
    </cfRule>
    <cfRule type="cellIs" dxfId="13110" priority="172" operator="greaterThan">
      <formula>0</formula>
    </cfRule>
  </conditionalFormatting>
  <conditionalFormatting sqref="V96">
    <cfRule type="cellIs" dxfId="13109" priority="169" operator="lessThan">
      <formula>0</formula>
    </cfRule>
    <cfRule type="cellIs" dxfId="13108" priority="170" operator="greaterThan">
      <formula>0</formula>
    </cfRule>
  </conditionalFormatting>
  <conditionalFormatting sqref="Y68:Y73">
    <cfRule type="cellIs" dxfId="13107" priority="167" operator="lessThan">
      <formula>0</formula>
    </cfRule>
    <cfRule type="cellIs" dxfId="13106" priority="168" operator="greaterThan">
      <formula>0</formula>
    </cfRule>
  </conditionalFormatting>
  <conditionalFormatting sqref="Y68:Y73">
    <cfRule type="cellIs" dxfId="13105" priority="165" operator="lessThan">
      <formula>0</formula>
    </cfRule>
    <cfRule type="cellIs" dxfId="13104" priority="166" operator="greaterThan">
      <formula>0</formula>
    </cfRule>
  </conditionalFormatting>
  <conditionalFormatting sqref="Y67">
    <cfRule type="cellIs" dxfId="13103" priority="163" operator="lessThan">
      <formula>0</formula>
    </cfRule>
    <cfRule type="cellIs" dxfId="13102" priority="164" operator="greaterThan">
      <formula>0</formula>
    </cfRule>
  </conditionalFormatting>
  <conditionalFormatting sqref="Y67">
    <cfRule type="cellIs" dxfId="13101" priority="161" operator="lessThan">
      <formula>0</formula>
    </cfRule>
    <cfRule type="cellIs" dxfId="13100" priority="162" operator="greaterThan">
      <formula>0</formula>
    </cfRule>
  </conditionalFormatting>
  <conditionalFormatting sqref="Y74">
    <cfRule type="cellIs" dxfId="13099" priority="159" operator="lessThan">
      <formula>0</formula>
    </cfRule>
    <cfRule type="cellIs" dxfId="13098" priority="160" operator="greaterThan">
      <formula>0</formula>
    </cfRule>
  </conditionalFormatting>
  <conditionalFormatting sqref="Y74">
    <cfRule type="cellIs" dxfId="13097" priority="157" operator="lessThan">
      <formula>0</formula>
    </cfRule>
    <cfRule type="cellIs" dxfId="13096" priority="158" operator="greaterThan">
      <formula>0</formula>
    </cfRule>
  </conditionalFormatting>
  <conditionalFormatting sqref="Y89">
    <cfRule type="cellIs" dxfId="13095" priority="155" operator="lessThan">
      <formula>0</formula>
    </cfRule>
    <cfRule type="cellIs" dxfId="13094" priority="156" operator="greaterThan">
      <formula>0</formula>
    </cfRule>
  </conditionalFormatting>
  <conditionalFormatting sqref="Y89">
    <cfRule type="cellIs" dxfId="13093" priority="153" operator="lessThan">
      <formula>0</formula>
    </cfRule>
    <cfRule type="cellIs" dxfId="13092" priority="154" operator="greaterThan">
      <formula>0</formula>
    </cfRule>
  </conditionalFormatting>
  <conditionalFormatting sqref="Y96">
    <cfRule type="cellIs" dxfId="13091" priority="151" operator="lessThan">
      <formula>0</formula>
    </cfRule>
    <cfRule type="cellIs" dxfId="13090" priority="152" operator="greaterThan">
      <formula>0</formula>
    </cfRule>
  </conditionalFormatting>
  <conditionalFormatting sqref="Y96">
    <cfRule type="cellIs" dxfId="13089" priority="149" operator="lessThan">
      <formula>0</formula>
    </cfRule>
    <cfRule type="cellIs" dxfId="13088" priority="150" operator="greaterThan">
      <formula>0</formula>
    </cfRule>
  </conditionalFormatting>
  <conditionalFormatting sqref="AB68:AB73">
    <cfRule type="cellIs" dxfId="13087" priority="147" operator="lessThan">
      <formula>0</formula>
    </cfRule>
    <cfRule type="cellIs" dxfId="13086" priority="148" operator="greaterThan">
      <formula>0</formula>
    </cfRule>
  </conditionalFormatting>
  <conditionalFormatting sqref="AB68:AB73">
    <cfRule type="cellIs" dxfId="13085" priority="145" operator="lessThan">
      <formula>0</formula>
    </cfRule>
    <cfRule type="cellIs" dxfId="13084" priority="146" operator="greaterThan">
      <formula>0</formula>
    </cfRule>
  </conditionalFormatting>
  <conditionalFormatting sqref="AB67">
    <cfRule type="cellIs" dxfId="13083" priority="143" operator="lessThan">
      <formula>0</formula>
    </cfRule>
    <cfRule type="cellIs" dxfId="13082" priority="144" operator="greaterThan">
      <formula>0</formula>
    </cfRule>
  </conditionalFormatting>
  <conditionalFormatting sqref="AB67">
    <cfRule type="cellIs" dxfId="13081" priority="141" operator="lessThan">
      <formula>0</formula>
    </cfRule>
    <cfRule type="cellIs" dxfId="13080" priority="142" operator="greaterThan">
      <formula>0</formula>
    </cfRule>
  </conditionalFormatting>
  <conditionalFormatting sqref="AB74">
    <cfRule type="cellIs" dxfId="13079" priority="139" operator="lessThan">
      <formula>0</formula>
    </cfRule>
    <cfRule type="cellIs" dxfId="13078" priority="140" operator="greaterThan">
      <formula>0</formula>
    </cfRule>
  </conditionalFormatting>
  <conditionalFormatting sqref="AB74">
    <cfRule type="cellIs" dxfId="13077" priority="137" operator="lessThan">
      <formula>0</formula>
    </cfRule>
    <cfRule type="cellIs" dxfId="13076" priority="138" operator="greaterThan">
      <formula>0</formula>
    </cfRule>
  </conditionalFormatting>
  <conditionalFormatting sqref="AB89">
    <cfRule type="cellIs" dxfId="13075" priority="135" operator="lessThan">
      <formula>0</formula>
    </cfRule>
    <cfRule type="cellIs" dxfId="13074" priority="136" operator="greaterThan">
      <formula>0</formula>
    </cfRule>
  </conditionalFormatting>
  <conditionalFormatting sqref="AB89">
    <cfRule type="cellIs" dxfId="13073" priority="133" operator="lessThan">
      <formula>0</formula>
    </cfRule>
    <cfRule type="cellIs" dxfId="13072" priority="134" operator="greaterThan">
      <formula>0</formula>
    </cfRule>
  </conditionalFormatting>
  <conditionalFormatting sqref="AB96">
    <cfRule type="cellIs" dxfId="13071" priority="131" operator="lessThan">
      <formula>0</formula>
    </cfRule>
    <cfRule type="cellIs" dxfId="13070" priority="132" operator="greaterThan">
      <formula>0</formula>
    </cfRule>
  </conditionalFormatting>
  <conditionalFormatting sqref="AB96">
    <cfRule type="cellIs" dxfId="13069" priority="129" operator="lessThan">
      <formula>0</formula>
    </cfRule>
    <cfRule type="cellIs" dxfId="13068" priority="130" operator="greaterThan">
      <formula>0</formula>
    </cfRule>
  </conditionalFormatting>
  <conditionalFormatting sqref="AE68:AE73">
    <cfRule type="cellIs" dxfId="13067" priority="127" operator="lessThan">
      <formula>0</formula>
    </cfRule>
    <cfRule type="cellIs" dxfId="13066" priority="128" operator="greaterThan">
      <formula>0</formula>
    </cfRule>
  </conditionalFormatting>
  <conditionalFormatting sqref="AE68:AE73">
    <cfRule type="cellIs" dxfId="13065" priority="125" operator="lessThan">
      <formula>0</formula>
    </cfRule>
    <cfRule type="cellIs" dxfId="13064" priority="126" operator="greaterThan">
      <formula>0</formula>
    </cfRule>
  </conditionalFormatting>
  <conditionalFormatting sqref="AE67">
    <cfRule type="cellIs" dxfId="13063" priority="123" operator="lessThan">
      <formula>0</formula>
    </cfRule>
    <cfRule type="cellIs" dxfId="13062" priority="124" operator="greaterThan">
      <formula>0</formula>
    </cfRule>
  </conditionalFormatting>
  <conditionalFormatting sqref="AE67">
    <cfRule type="cellIs" dxfId="13061" priority="121" operator="lessThan">
      <formula>0</formula>
    </cfRule>
    <cfRule type="cellIs" dxfId="13060" priority="122" operator="greaterThan">
      <formula>0</formula>
    </cfRule>
  </conditionalFormatting>
  <conditionalFormatting sqref="AE74">
    <cfRule type="cellIs" dxfId="13059" priority="119" operator="lessThan">
      <formula>0</formula>
    </cfRule>
    <cfRule type="cellIs" dxfId="13058" priority="120" operator="greaterThan">
      <formula>0</formula>
    </cfRule>
  </conditionalFormatting>
  <conditionalFormatting sqref="AE74">
    <cfRule type="cellIs" dxfId="13057" priority="117" operator="lessThan">
      <formula>0</formula>
    </cfRule>
    <cfRule type="cellIs" dxfId="13056" priority="118" operator="greaterThan">
      <formula>0</formula>
    </cfRule>
  </conditionalFormatting>
  <conditionalFormatting sqref="AE89">
    <cfRule type="cellIs" dxfId="13055" priority="115" operator="lessThan">
      <formula>0</formula>
    </cfRule>
    <cfRule type="cellIs" dxfId="13054" priority="116" operator="greaterThan">
      <formula>0</formula>
    </cfRule>
  </conditionalFormatting>
  <conditionalFormatting sqref="AE89">
    <cfRule type="cellIs" dxfId="13053" priority="113" operator="lessThan">
      <formula>0</formula>
    </cfRule>
    <cfRule type="cellIs" dxfId="13052" priority="114" operator="greaterThan">
      <formula>0</formula>
    </cfRule>
  </conditionalFormatting>
  <conditionalFormatting sqref="AE96">
    <cfRule type="cellIs" dxfId="13051" priority="111" operator="lessThan">
      <formula>0</formula>
    </cfRule>
    <cfRule type="cellIs" dxfId="13050" priority="112" operator="greaterThan">
      <formula>0</formula>
    </cfRule>
  </conditionalFormatting>
  <conditionalFormatting sqref="AE96">
    <cfRule type="cellIs" dxfId="13049" priority="109" operator="lessThan">
      <formula>0</formula>
    </cfRule>
    <cfRule type="cellIs" dxfId="13048" priority="110" operator="greaterThan">
      <formula>0</formula>
    </cfRule>
  </conditionalFormatting>
  <conditionalFormatting sqref="AH4:AH48">
    <cfRule type="cellIs" dxfId="13047" priority="103" operator="lessThan">
      <formula>0</formula>
    </cfRule>
    <cfRule type="cellIs" dxfId="13046" priority="104" operator="greaterThan">
      <formula>0</formula>
    </cfRule>
  </conditionalFormatting>
  <conditionalFormatting sqref="AH4:AH48">
    <cfRule type="cellIs" dxfId="13045" priority="101" operator="lessThan">
      <formula>0</formula>
    </cfRule>
    <cfRule type="cellIs" dxfId="13044" priority="102" operator="greaterThan">
      <formula>0</formula>
    </cfRule>
  </conditionalFormatting>
  <conditionalFormatting sqref="AK4:AK48">
    <cfRule type="cellIs" dxfId="13043" priority="95" operator="lessThan">
      <formula>0</formula>
    </cfRule>
    <cfRule type="cellIs" dxfId="13042" priority="96" operator="greaterThan">
      <formula>0</formula>
    </cfRule>
  </conditionalFormatting>
  <conditionalFormatting sqref="AK4:AK48">
    <cfRule type="cellIs" dxfId="13041" priority="93" operator="lessThan">
      <formula>0</formula>
    </cfRule>
    <cfRule type="cellIs" dxfId="13040" priority="94" operator="greaterThan">
      <formula>0</formula>
    </cfRule>
  </conditionalFormatting>
  <conditionalFormatting sqref="AN49:AN97">
    <cfRule type="cellIs" dxfId="13039" priority="87" operator="lessThan">
      <formula>0</formula>
    </cfRule>
    <cfRule type="cellIs" dxfId="13038" priority="88" operator="greaterThan">
      <formula>0</formula>
    </cfRule>
  </conditionalFormatting>
  <conditionalFormatting sqref="AN49:AN97">
    <cfRule type="cellIs" dxfId="13037" priority="85" operator="lessThan">
      <formula>0</formula>
    </cfRule>
    <cfRule type="cellIs" dxfId="13036" priority="86" operator="greaterThan">
      <formula>0</formula>
    </cfRule>
  </conditionalFormatting>
  <conditionalFormatting sqref="AN4:AN48">
    <cfRule type="cellIs" dxfId="13035" priority="83" operator="lessThan">
      <formula>0</formula>
    </cfRule>
    <cfRule type="cellIs" dxfId="13034" priority="84" operator="greaterThan">
      <formula>0</formula>
    </cfRule>
  </conditionalFormatting>
  <conditionalFormatting sqref="AN4:AN48">
    <cfRule type="cellIs" dxfId="13033" priority="81" operator="lessThan">
      <formula>0</formula>
    </cfRule>
    <cfRule type="cellIs" dxfId="13032" priority="82" operator="greaterThan">
      <formula>0</formula>
    </cfRule>
  </conditionalFormatting>
  <conditionalFormatting sqref="AE102 AH102 AK102 AN102">
    <cfRule type="cellIs" dxfId="13031" priority="75" operator="lessThan">
      <formula>0</formula>
    </cfRule>
    <cfRule type="cellIs" dxfId="13030" priority="76" operator="greaterThan">
      <formula>0</formula>
    </cfRule>
  </conditionalFormatting>
  <conditionalFormatting sqref="AE102 AH102 AK102 AN102">
    <cfRule type="cellIs" dxfId="13029" priority="73" operator="lessThan">
      <formula>0</formula>
    </cfRule>
    <cfRule type="cellIs" dxfId="13028" priority="74" operator="greaterThan">
      <formula>0</formula>
    </cfRule>
  </conditionalFormatting>
  <conditionalFormatting sqref="AE98 AH98 AK98 AN98">
    <cfRule type="cellIs" dxfId="13027" priority="71" operator="lessThan">
      <formula>0</formula>
    </cfRule>
    <cfRule type="cellIs" dxfId="13026" priority="72" operator="greaterThan">
      <formula>0</formula>
    </cfRule>
  </conditionalFormatting>
  <conditionalFormatting sqref="AE98 AH98 AK98 AN98">
    <cfRule type="cellIs" dxfId="13025" priority="69" operator="lessThan">
      <formula>0</formula>
    </cfRule>
    <cfRule type="cellIs" dxfId="13024" priority="70" operator="greaterThan">
      <formula>0</formula>
    </cfRule>
  </conditionalFormatting>
  <conditionalFormatting sqref="AZ49">
    <cfRule type="cellIs" dxfId="13023" priority="67" operator="lessThan">
      <formula>0</formula>
    </cfRule>
    <cfRule type="cellIs" dxfId="13022" priority="68" operator="greaterThan">
      <formula>0</formula>
    </cfRule>
  </conditionalFormatting>
  <conditionalFormatting sqref="AZ49">
    <cfRule type="cellIs" dxfId="13021" priority="65" operator="lessThan">
      <formula>0</formula>
    </cfRule>
    <cfRule type="cellIs" dxfId="13020" priority="66" operator="greaterThan">
      <formula>0</formula>
    </cfRule>
  </conditionalFormatting>
  <conditionalFormatting sqref="AQ99:AQ101 AQ103">
    <cfRule type="cellIs" dxfId="13019" priority="63" operator="lessThan">
      <formula>0</formula>
    </cfRule>
    <cfRule type="cellIs" dxfId="13018" priority="64" operator="greaterThan">
      <formula>0</formula>
    </cfRule>
  </conditionalFormatting>
  <conditionalFormatting sqref="AQ99:AQ101 AQ103">
    <cfRule type="cellIs" dxfId="13017" priority="61" operator="lessThan">
      <formula>0</formula>
    </cfRule>
    <cfRule type="cellIs" dxfId="13016" priority="62" operator="greaterThan">
      <formula>0</formula>
    </cfRule>
  </conditionalFormatting>
  <conditionalFormatting sqref="AQ49:AQ97">
    <cfRule type="cellIs" dxfId="13015" priority="59" operator="lessThan">
      <formula>0</formula>
    </cfRule>
    <cfRule type="cellIs" dxfId="13014" priority="60" operator="greaterThan">
      <formula>0</formula>
    </cfRule>
  </conditionalFormatting>
  <conditionalFormatting sqref="AQ49:AQ97">
    <cfRule type="cellIs" dxfId="13013" priority="57" operator="lessThan">
      <formula>0</formula>
    </cfRule>
    <cfRule type="cellIs" dxfId="13012" priority="58" operator="greaterThan">
      <formula>0</formula>
    </cfRule>
  </conditionalFormatting>
  <conditionalFormatting sqref="AQ4:AQ48">
    <cfRule type="cellIs" dxfId="13011" priority="55" operator="lessThan">
      <formula>0</formula>
    </cfRule>
    <cfRule type="cellIs" dxfId="13010" priority="56" operator="greaterThan">
      <formula>0</formula>
    </cfRule>
  </conditionalFormatting>
  <conditionalFormatting sqref="AQ4:AQ48">
    <cfRule type="cellIs" dxfId="13009" priority="53" operator="lessThan">
      <formula>0</formula>
    </cfRule>
    <cfRule type="cellIs" dxfId="13008" priority="54" operator="greaterThan">
      <formula>0</formula>
    </cfRule>
  </conditionalFormatting>
  <conditionalFormatting sqref="AQ102">
    <cfRule type="cellIs" dxfId="13007" priority="51" operator="lessThan">
      <formula>0</formula>
    </cfRule>
    <cfRule type="cellIs" dxfId="13006" priority="52" operator="greaterThan">
      <formula>0</formula>
    </cfRule>
  </conditionalFormatting>
  <conditionalFormatting sqref="AQ102">
    <cfRule type="cellIs" dxfId="13005" priority="49" operator="lessThan">
      <formula>0</formula>
    </cfRule>
    <cfRule type="cellIs" dxfId="13004" priority="50" operator="greaterThan">
      <formula>0</formula>
    </cfRule>
  </conditionalFormatting>
  <conditionalFormatting sqref="AQ98">
    <cfRule type="cellIs" dxfId="13003" priority="47" operator="lessThan">
      <formula>0</formula>
    </cfRule>
    <cfRule type="cellIs" dxfId="13002" priority="48" operator="greaterThan">
      <formula>0</formula>
    </cfRule>
  </conditionalFormatting>
  <conditionalFormatting sqref="AQ98">
    <cfRule type="cellIs" dxfId="13001" priority="45" operator="lessThan">
      <formula>0</formula>
    </cfRule>
    <cfRule type="cellIs" dxfId="13000" priority="46" operator="greaterThan">
      <formula>0</formula>
    </cfRule>
  </conditionalFormatting>
  <conditionalFormatting sqref="AT99:AT101 AT103">
    <cfRule type="cellIs" dxfId="12999" priority="39" operator="lessThan">
      <formula>0</formula>
    </cfRule>
    <cfRule type="cellIs" dxfId="12998" priority="40" operator="greaterThan">
      <formula>0</formula>
    </cfRule>
  </conditionalFormatting>
  <conditionalFormatting sqref="AT99:AT101 AT103">
    <cfRule type="cellIs" dxfId="12997" priority="37" operator="lessThan">
      <formula>0</formula>
    </cfRule>
    <cfRule type="cellIs" dxfId="12996" priority="38" operator="greaterThan">
      <formula>0</formula>
    </cfRule>
  </conditionalFormatting>
  <conditionalFormatting sqref="AT49:AT97">
    <cfRule type="cellIs" dxfId="12995" priority="35" operator="lessThan">
      <formula>0</formula>
    </cfRule>
    <cfRule type="cellIs" dxfId="12994" priority="36" operator="greaterThan">
      <formula>0</formula>
    </cfRule>
  </conditionalFormatting>
  <conditionalFormatting sqref="AT49:AT97">
    <cfRule type="cellIs" dxfId="12993" priority="33" operator="lessThan">
      <formula>0</formula>
    </cfRule>
    <cfRule type="cellIs" dxfId="12992" priority="34" operator="greaterThan">
      <formula>0</formula>
    </cfRule>
  </conditionalFormatting>
  <conditionalFormatting sqref="AT4:AT48">
    <cfRule type="cellIs" dxfId="12991" priority="31" operator="lessThan">
      <formula>0</formula>
    </cfRule>
    <cfRule type="cellIs" dxfId="12990" priority="32" operator="greaterThan">
      <formula>0</formula>
    </cfRule>
  </conditionalFormatting>
  <conditionalFormatting sqref="AT4:AT48">
    <cfRule type="cellIs" dxfId="12989" priority="29" operator="lessThan">
      <formula>0</formula>
    </cfRule>
    <cfRule type="cellIs" dxfId="12988" priority="30" operator="greaterThan">
      <formula>0</formula>
    </cfRule>
  </conditionalFormatting>
  <conditionalFormatting sqref="AT102">
    <cfRule type="cellIs" dxfId="12987" priority="27" operator="lessThan">
      <formula>0</formula>
    </cfRule>
    <cfRule type="cellIs" dxfId="12986" priority="28" operator="greaterThan">
      <formula>0</formula>
    </cfRule>
  </conditionalFormatting>
  <conditionalFormatting sqref="AT102">
    <cfRule type="cellIs" dxfId="12985" priority="25" operator="lessThan">
      <formula>0</formula>
    </cfRule>
    <cfRule type="cellIs" dxfId="12984" priority="26" operator="greaterThan">
      <formula>0</formula>
    </cfRule>
  </conditionalFormatting>
  <conditionalFormatting sqref="AT98">
    <cfRule type="cellIs" dxfId="12983" priority="23" operator="lessThan">
      <formula>0</formula>
    </cfRule>
    <cfRule type="cellIs" dxfId="12982" priority="24" operator="greaterThan">
      <formula>0</formula>
    </cfRule>
  </conditionalFormatting>
  <conditionalFormatting sqref="AT98">
    <cfRule type="cellIs" dxfId="12981" priority="21" operator="lessThan">
      <formula>0</formula>
    </cfRule>
    <cfRule type="cellIs" dxfId="12980" priority="22" operator="greaterThan">
      <formula>0</formula>
    </cfRule>
  </conditionalFormatting>
  <conditionalFormatting sqref="AZ50:AZ103">
    <cfRule type="cellIs" dxfId="12979" priority="19" operator="lessThan">
      <formula>0</formula>
    </cfRule>
    <cfRule type="cellIs" dxfId="12978" priority="20" operator="greaterThan">
      <formula>0</formula>
    </cfRule>
  </conditionalFormatting>
  <conditionalFormatting sqref="AZ50:AZ103">
    <cfRule type="cellIs" dxfId="12977" priority="17" operator="lessThan">
      <formula>0</formula>
    </cfRule>
    <cfRule type="cellIs" dxfId="12976" priority="18" operator="greaterThan">
      <formula>0</formula>
    </cfRule>
  </conditionalFormatting>
  <conditionalFormatting sqref="AW99:AW101 AW103">
    <cfRule type="cellIs" dxfId="12975" priority="15" operator="lessThan">
      <formula>0</formula>
    </cfRule>
    <cfRule type="cellIs" dxfId="12974" priority="16" operator="greaterThan">
      <formula>0</formula>
    </cfRule>
  </conditionalFormatting>
  <conditionalFormatting sqref="AW99:AW101 AW103">
    <cfRule type="cellIs" dxfId="12973" priority="13" operator="lessThan">
      <formula>0</formula>
    </cfRule>
    <cfRule type="cellIs" dxfId="12972" priority="14" operator="greaterThan">
      <formula>0</formula>
    </cfRule>
  </conditionalFormatting>
  <conditionalFormatting sqref="AW49:AW97">
    <cfRule type="cellIs" dxfId="12971" priority="11" operator="lessThan">
      <formula>0</formula>
    </cfRule>
    <cfRule type="cellIs" dxfId="12970" priority="12" operator="greaterThan">
      <formula>0</formula>
    </cfRule>
  </conditionalFormatting>
  <conditionalFormatting sqref="AW49:AW97">
    <cfRule type="cellIs" dxfId="12969" priority="9" operator="lessThan">
      <formula>0</formula>
    </cfRule>
    <cfRule type="cellIs" dxfId="12968" priority="10" operator="greaterThan">
      <formula>0</formula>
    </cfRule>
  </conditionalFormatting>
  <conditionalFormatting sqref="AW102">
    <cfRule type="cellIs" dxfId="12967" priority="7" operator="lessThan">
      <formula>0</formula>
    </cfRule>
    <cfRule type="cellIs" dxfId="12966" priority="8" operator="greaterThan">
      <formula>0</formula>
    </cfRule>
  </conditionalFormatting>
  <conditionalFormatting sqref="AW102">
    <cfRule type="cellIs" dxfId="12965" priority="5" operator="lessThan">
      <formula>0</formula>
    </cfRule>
    <cfRule type="cellIs" dxfId="12964" priority="6" operator="greaterThan">
      <formula>0</formula>
    </cfRule>
  </conditionalFormatting>
  <conditionalFormatting sqref="AW98">
    <cfRule type="cellIs" dxfId="12963" priority="3" operator="lessThan">
      <formula>0</formula>
    </cfRule>
    <cfRule type="cellIs" dxfId="12962" priority="4" operator="greaterThan">
      <formula>0</formula>
    </cfRule>
  </conditionalFormatting>
  <conditionalFormatting sqref="AW98">
    <cfRule type="cellIs" dxfId="12961" priority="1" operator="lessThan">
      <formula>0</formula>
    </cfRule>
    <cfRule type="cellIs" dxfId="12960" priority="2" operator="greater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B1:XW189"/>
  <sheetViews>
    <sheetView zoomScale="80" zoomScaleNormal="80" workbookViewId="0">
      <pane xSplit="7" ySplit="2" topLeftCell="XO63" activePane="bottomRight" state="frozen"/>
      <selection pane="topRight" activeCell="G1" sqref="G1"/>
      <selection pane="bottomLeft" activeCell="A3" sqref="A3"/>
      <selection pane="bottomRight" activeCell="XY81" sqref="XY81"/>
    </sheetView>
  </sheetViews>
  <sheetFormatPr baseColWidth="10" defaultRowHeight="15" x14ac:dyDescent="0.25"/>
  <cols>
    <col min="1" max="1" width="4.5703125" customWidth="1"/>
    <col min="2" max="2" width="9.42578125" customWidth="1"/>
    <col min="3" max="3" width="10.5703125" customWidth="1"/>
    <col min="4" max="4" width="7.28515625" customWidth="1"/>
    <col min="5" max="5" width="7.140625" customWidth="1"/>
    <col min="7" max="7" width="13.7109375" customWidth="1"/>
    <col min="54" max="54" width="11.42578125" customWidth="1"/>
  </cols>
  <sheetData>
    <row r="1" spans="2:647" x14ac:dyDescent="0.25">
      <c r="H1" s="753">
        <v>43605</v>
      </c>
      <c r="I1" s="754"/>
      <c r="J1" s="753">
        <v>43606</v>
      </c>
      <c r="K1" s="754"/>
      <c r="L1" s="753">
        <v>43608</v>
      </c>
      <c r="M1" s="754"/>
      <c r="N1" s="753">
        <v>43609</v>
      </c>
      <c r="O1" s="754"/>
      <c r="P1" s="753">
        <v>43612</v>
      </c>
      <c r="Q1" s="754"/>
      <c r="R1" s="753">
        <v>43613</v>
      </c>
      <c r="S1" s="754"/>
      <c r="T1" s="753">
        <v>43614</v>
      </c>
      <c r="U1" s="754"/>
      <c r="V1" s="753">
        <v>43615</v>
      </c>
      <c r="W1" s="754"/>
      <c r="X1" s="753">
        <v>43616</v>
      </c>
      <c r="Y1" s="754"/>
      <c r="Z1" s="753">
        <v>43619</v>
      </c>
      <c r="AA1" s="754"/>
      <c r="AB1" s="753">
        <v>43620</v>
      </c>
      <c r="AC1" s="754"/>
      <c r="AD1" s="753">
        <v>43621</v>
      </c>
      <c r="AE1" s="754"/>
      <c r="AF1" s="753">
        <v>43623</v>
      </c>
      <c r="AG1" s="754"/>
      <c r="AH1" s="753">
        <v>43626</v>
      </c>
      <c r="AI1" s="754"/>
      <c r="AJ1" s="753">
        <v>43627</v>
      </c>
      <c r="AK1" s="754"/>
      <c r="AL1" s="753">
        <v>43628</v>
      </c>
      <c r="AM1" s="754"/>
      <c r="AN1" s="753">
        <v>43628</v>
      </c>
      <c r="AO1" s="754"/>
      <c r="AP1" s="753">
        <v>43630</v>
      </c>
      <c r="AQ1" s="754"/>
      <c r="AR1" s="753">
        <v>43633</v>
      </c>
      <c r="AS1" s="754"/>
      <c r="AT1" s="753">
        <v>43634</v>
      </c>
      <c r="AU1" s="754"/>
      <c r="AV1" s="753">
        <v>43640</v>
      </c>
      <c r="AW1" s="754"/>
      <c r="AX1" s="753">
        <v>43641</v>
      </c>
      <c r="AY1" s="754"/>
      <c r="AZ1" s="753">
        <v>43642</v>
      </c>
      <c r="BA1" s="754"/>
      <c r="BB1" s="753">
        <v>43643</v>
      </c>
      <c r="BC1" s="754"/>
      <c r="BD1" s="753">
        <v>43644</v>
      </c>
      <c r="BE1" s="754"/>
      <c r="BF1" s="753">
        <v>43647</v>
      </c>
      <c r="BG1" s="754"/>
      <c r="BH1" s="753">
        <v>43648</v>
      </c>
      <c r="BI1" s="754"/>
      <c r="BJ1" s="753">
        <v>43649</v>
      </c>
      <c r="BK1" s="754"/>
      <c r="BL1" s="753">
        <v>43650</v>
      </c>
      <c r="BM1" s="754"/>
      <c r="BN1" s="753">
        <v>43651</v>
      </c>
      <c r="BO1" s="754"/>
      <c r="BP1" s="753">
        <v>43654</v>
      </c>
      <c r="BQ1" s="754"/>
      <c r="BR1" s="753">
        <v>43655</v>
      </c>
      <c r="BS1" s="754"/>
      <c r="BT1" s="753">
        <v>43656</v>
      </c>
      <c r="BU1" s="754"/>
      <c r="BV1" s="753">
        <v>43657</v>
      </c>
      <c r="BW1" s="754"/>
      <c r="BX1" s="753">
        <v>43658</v>
      </c>
      <c r="BY1" s="754"/>
      <c r="BZ1" s="753">
        <v>43661</v>
      </c>
      <c r="CA1" s="754"/>
      <c r="CB1" s="753">
        <v>43662</v>
      </c>
      <c r="CC1" s="754"/>
      <c r="CD1" s="753">
        <v>43663</v>
      </c>
      <c r="CE1" s="754"/>
      <c r="CF1" s="753">
        <v>43664</v>
      </c>
      <c r="CG1" s="754"/>
      <c r="CH1" s="753">
        <v>43665</v>
      </c>
      <c r="CI1" s="754"/>
      <c r="CJ1" s="753">
        <v>43668</v>
      </c>
      <c r="CK1" s="754"/>
      <c r="CL1" s="753">
        <v>43669</v>
      </c>
      <c r="CM1" s="754"/>
      <c r="CN1" s="753">
        <v>43670</v>
      </c>
      <c r="CO1" s="754"/>
      <c r="CP1" s="753">
        <v>43672</v>
      </c>
      <c r="CQ1" s="754"/>
      <c r="CR1" s="753">
        <v>43675</v>
      </c>
      <c r="CS1" s="754"/>
      <c r="CT1" s="753">
        <v>43678</v>
      </c>
      <c r="CU1" s="754"/>
      <c r="CV1" s="753">
        <v>43679</v>
      </c>
      <c r="CW1" s="754"/>
      <c r="CX1" s="753">
        <v>43682</v>
      </c>
      <c r="CY1" s="754"/>
      <c r="CZ1" s="753">
        <v>43683</v>
      </c>
      <c r="DA1" s="754"/>
      <c r="DB1" s="753">
        <v>43684</v>
      </c>
      <c r="DC1" s="754"/>
      <c r="DD1" s="753">
        <v>43685</v>
      </c>
      <c r="DE1" s="754"/>
      <c r="DF1" s="753">
        <v>43689</v>
      </c>
      <c r="DG1" s="754"/>
      <c r="DH1" s="753">
        <v>43690</v>
      </c>
      <c r="DI1" s="754"/>
      <c r="DJ1" s="753">
        <v>43691</v>
      </c>
      <c r="DK1" s="754"/>
      <c r="DL1" s="753">
        <v>43692</v>
      </c>
      <c r="DM1" s="754"/>
      <c r="DN1" s="753">
        <v>43697</v>
      </c>
      <c r="DO1" s="754"/>
      <c r="DP1" s="753">
        <v>43698</v>
      </c>
      <c r="DQ1" s="754"/>
      <c r="DR1" s="753">
        <v>43698</v>
      </c>
      <c r="DS1" s="754"/>
      <c r="DT1" s="753">
        <v>43699</v>
      </c>
      <c r="DU1" s="754"/>
      <c r="DV1" s="753">
        <v>43700</v>
      </c>
      <c r="DW1" s="754"/>
      <c r="DX1" s="753">
        <v>43703</v>
      </c>
      <c r="DY1" s="754"/>
      <c r="DZ1" s="753">
        <v>43704</v>
      </c>
      <c r="EA1" s="754"/>
      <c r="EB1" s="753">
        <v>43705</v>
      </c>
      <c r="EC1" s="754"/>
      <c r="ED1" s="753">
        <v>43706</v>
      </c>
      <c r="EE1" s="754"/>
      <c r="EF1" s="753">
        <v>43707</v>
      </c>
      <c r="EG1" s="754"/>
      <c r="EH1" s="753">
        <v>43710</v>
      </c>
      <c r="EI1" s="754"/>
      <c r="EJ1" s="753">
        <v>43711</v>
      </c>
      <c r="EK1" s="754"/>
      <c r="EL1" s="753">
        <v>43712</v>
      </c>
      <c r="EM1" s="754"/>
      <c r="EN1" s="753">
        <v>43713</v>
      </c>
      <c r="EO1" s="754"/>
      <c r="EP1" s="753">
        <v>43714</v>
      </c>
      <c r="EQ1" s="754"/>
      <c r="ER1" s="753">
        <v>43717</v>
      </c>
      <c r="ES1" s="754"/>
      <c r="ET1" s="753">
        <v>43718</v>
      </c>
      <c r="EU1" s="754"/>
      <c r="EV1" s="753">
        <v>43719</v>
      </c>
      <c r="EW1" s="754"/>
      <c r="EX1" s="753">
        <v>43721</v>
      </c>
      <c r="EY1" s="754"/>
      <c r="EZ1" s="753">
        <v>43725</v>
      </c>
      <c r="FA1" s="754"/>
      <c r="FB1" s="753">
        <v>43743</v>
      </c>
      <c r="FC1" s="754"/>
      <c r="FD1" s="753">
        <v>43745</v>
      </c>
      <c r="FE1" s="754"/>
      <c r="FF1" s="753">
        <v>43746</v>
      </c>
      <c r="FG1" s="754"/>
      <c r="FH1" s="753">
        <v>43747</v>
      </c>
      <c r="FI1" s="754"/>
      <c r="FJ1" s="753">
        <v>43748</v>
      </c>
      <c r="FK1" s="754"/>
      <c r="FL1" s="753">
        <v>43749</v>
      </c>
      <c r="FM1" s="754"/>
      <c r="FN1" s="753">
        <v>43752</v>
      </c>
      <c r="FO1" s="754"/>
      <c r="FP1" s="753">
        <v>43753</v>
      </c>
      <c r="FQ1" s="754"/>
      <c r="FR1" s="753">
        <v>43754</v>
      </c>
      <c r="FS1" s="754"/>
      <c r="FT1" s="753">
        <v>43755</v>
      </c>
      <c r="FU1" s="754"/>
      <c r="FV1" s="753">
        <v>43757</v>
      </c>
      <c r="FW1" s="754"/>
      <c r="FX1" s="753">
        <v>43759</v>
      </c>
      <c r="FY1" s="754"/>
      <c r="FZ1" s="753">
        <v>43760</v>
      </c>
      <c r="GA1" s="754"/>
      <c r="GB1" s="753">
        <v>43761</v>
      </c>
      <c r="GC1" s="754"/>
      <c r="GD1" s="753">
        <v>43763</v>
      </c>
      <c r="GE1" s="754"/>
      <c r="GF1" s="753">
        <v>43766</v>
      </c>
      <c r="GG1" s="754"/>
      <c r="GH1" s="753">
        <v>43767</v>
      </c>
      <c r="GI1" s="754"/>
      <c r="GJ1" s="753">
        <v>43770</v>
      </c>
      <c r="GK1" s="754"/>
      <c r="GL1" s="753">
        <v>43773</v>
      </c>
      <c r="GM1" s="754"/>
      <c r="GN1" s="753">
        <v>43774</v>
      </c>
      <c r="GO1" s="754"/>
      <c r="GP1" s="753">
        <v>43775</v>
      </c>
      <c r="GQ1" s="754"/>
      <c r="GR1" s="753">
        <v>43776</v>
      </c>
      <c r="GS1" s="754"/>
      <c r="GT1" s="753">
        <v>43777</v>
      </c>
      <c r="GU1" s="754"/>
      <c r="GV1" s="753">
        <v>43780</v>
      </c>
      <c r="GW1" s="754"/>
      <c r="GX1" s="753">
        <v>43782</v>
      </c>
      <c r="GY1" s="754"/>
      <c r="GZ1" s="753">
        <v>43783</v>
      </c>
      <c r="HA1" s="754"/>
      <c r="HB1" s="753">
        <v>43784</v>
      </c>
      <c r="HC1" s="754"/>
      <c r="HD1" s="753">
        <v>43787</v>
      </c>
      <c r="HE1" s="754"/>
      <c r="HF1" s="753">
        <v>43788</v>
      </c>
      <c r="HG1" s="754"/>
      <c r="HH1" s="753">
        <v>43789</v>
      </c>
      <c r="HI1" s="754"/>
      <c r="HJ1" s="753">
        <v>43791</v>
      </c>
      <c r="HK1" s="754"/>
      <c r="HL1" s="753">
        <v>43794</v>
      </c>
      <c r="HM1" s="754"/>
      <c r="HN1" s="753">
        <v>43795</v>
      </c>
      <c r="HO1" s="754"/>
      <c r="HP1" s="753">
        <v>43796</v>
      </c>
      <c r="HQ1" s="754"/>
      <c r="HR1" s="753">
        <v>43797</v>
      </c>
      <c r="HS1" s="754"/>
      <c r="HT1" s="753">
        <v>43798</v>
      </c>
      <c r="HU1" s="754"/>
      <c r="HV1" s="753">
        <v>43801</v>
      </c>
      <c r="HW1" s="754"/>
      <c r="HX1" s="753">
        <v>43802</v>
      </c>
      <c r="HY1" s="754"/>
      <c r="HZ1" s="753">
        <v>43803</v>
      </c>
      <c r="IA1" s="754"/>
      <c r="IB1" s="753">
        <v>43804</v>
      </c>
      <c r="IC1" s="754"/>
      <c r="ID1" s="753">
        <v>43805</v>
      </c>
      <c r="IE1" s="754"/>
      <c r="IF1" s="753">
        <v>43808</v>
      </c>
      <c r="IG1" s="754"/>
      <c r="IH1" s="753">
        <v>43809</v>
      </c>
      <c r="II1" s="754"/>
      <c r="IJ1" s="753">
        <v>43812</v>
      </c>
      <c r="IK1" s="754"/>
      <c r="IL1" s="753">
        <v>43815</v>
      </c>
      <c r="IM1" s="754"/>
      <c r="IN1" s="753">
        <v>43816</v>
      </c>
      <c r="IO1" s="754"/>
      <c r="IP1" s="753">
        <v>43817</v>
      </c>
      <c r="IQ1" s="754"/>
      <c r="IR1" s="753">
        <v>43819</v>
      </c>
      <c r="IS1" s="754"/>
      <c r="IT1" s="753">
        <v>43822</v>
      </c>
      <c r="IU1" s="754"/>
      <c r="IV1" s="753">
        <v>43836</v>
      </c>
      <c r="IW1" s="754"/>
      <c r="IX1" s="753">
        <v>43837</v>
      </c>
      <c r="IY1" s="754"/>
      <c r="IZ1" s="753">
        <v>43838</v>
      </c>
      <c r="JA1" s="754"/>
      <c r="JB1" s="753">
        <v>43839</v>
      </c>
      <c r="JC1" s="754"/>
      <c r="JD1" s="753">
        <v>43840</v>
      </c>
      <c r="JE1" s="754"/>
      <c r="JF1" s="753">
        <v>43843</v>
      </c>
      <c r="JG1" s="754"/>
      <c r="JH1" s="753">
        <v>43844</v>
      </c>
      <c r="JI1" s="754"/>
      <c r="JJ1" s="753">
        <v>43845</v>
      </c>
      <c r="JK1" s="754"/>
      <c r="JL1" s="753">
        <v>43846</v>
      </c>
      <c r="JM1" s="754"/>
      <c r="JN1" s="753">
        <v>43847</v>
      </c>
      <c r="JO1" s="754"/>
      <c r="JP1" s="753">
        <v>43850</v>
      </c>
      <c r="JQ1" s="754"/>
      <c r="JR1" s="753">
        <v>43851</v>
      </c>
      <c r="JS1" s="754"/>
      <c r="JT1" s="753">
        <v>43852</v>
      </c>
      <c r="JU1" s="754"/>
      <c r="JV1" s="753">
        <v>43854</v>
      </c>
      <c r="JW1" s="754"/>
      <c r="JX1" s="753">
        <v>43857</v>
      </c>
      <c r="JY1" s="754"/>
      <c r="JZ1" s="753">
        <v>43858</v>
      </c>
      <c r="KA1" s="754"/>
      <c r="KB1" s="753">
        <v>43860</v>
      </c>
      <c r="KC1" s="754"/>
      <c r="KD1" s="753">
        <v>43866</v>
      </c>
      <c r="KE1" s="754"/>
      <c r="KF1" s="753">
        <v>43867</v>
      </c>
      <c r="KG1" s="754"/>
      <c r="KH1" s="753">
        <v>43871</v>
      </c>
      <c r="KI1" s="754"/>
      <c r="KJ1" s="753">
        <v>43872</v>
      </c>
      <c r="KK1" s="754"/>
      <c r="KL1" s="753">
        <v>43874</v>
      </c>
      <c r="KM1" s="754"/>
      <c r="KN1" s="753">
        <v>43875</v>
      </c>
      <c r="KO1" s="754"/>
      <c r="KP1" s="753">
        <v>43879</v>
      </c>
      <c r="KQ1" s="754"/>
      <c r="KR1" s="753">
        <v>43880</v>
      </c>
      <c r="KS1" s="754"/>
      <c r="KT1" s="753">
        <v>43881</v>
      </c>
      <c r="KU1" s="754"/>
      <c r="KV1" s="753">
        <v>43882</v>
      </c>
      <c r="KW1" s="754"/>
      <c r="KX1" s="753">
        <v>43885</v>
      </c>
      <c r="KY1" s="754"/>
      <c r="KZ1" s="753">
        <v>43886</v>
      </c>
      <c r="LA1" s="754"/>
      <c r="LB1" s="753">
        <v>43887</v>
      </c>
      <c r="LC1" s="754"/>
      <c r="LD1" s="753">
        <v>43888</v>
      </c>
      <c r="LE1" s="754"/>
      <c r="LF1" s="753">
        <v>43889</v>
      </c>
      <c r="LG1" s="754"/>
      <c r="LH1" s="753">
        <v>43892</v>
      </c>
      <c r="LI1" s="754"/>
      <c r="LJ1" s="753">
        <v>43893</v>
      </c>
      <c r="LK1" s="754"/>
      <c r="LL1" s="753">
        <v>43894</v>
      </c>
      <c r="LM1" s="754"/>
      <c r="LN1" s="753">
        <v>43895</v>
      </c>
      <c r="LO1" s="754"/>
      <c r="LP1" s="753">
        <v>43896</v>
      </c>
      <c r="LQ1" s="754"/>
      <c r="LR1" s="753">
        <v>43900</v>
      </c>
      <c r="LS1" s="754"/>
      <c r="LT1" s="753">
        <v>43901</v>
      </c>
      <c r="LU1" s="754"/>
      <c r="LV1" s="753">
        <v>43903</v>
      </c>
      <c r="LW1" s="754"/>
      <c r="LX1" s="753">
        <v>43906</v>
      </c>
      <c r="LY1" s="754"/>
      <c r="LZ1" s="753">
        <v>43907</v>
      </c>
      <c r="MA1" s="754"/>
      <c r="MB1" s="753">
        <v>43908</v>
      </c>
      <c r="MC1" s="754"/>
      <c r="MD1" s="753">
        <v>43909</v>
      </c>
      <c r="ME1" s="754"/>
      <c r="MF1" s="753">
        <v>43910</v>
      </c>
      <c r="MG1" s="754"/>
      <c r="MH1" s="753">
        <v>43913</v>
      </c>
      <c r="MI1" s="754"/>
      <c r="MJ1" s="753">
        <v>43914</v>
      </c>
      <c r="MK1" s="754"/>
      <c r="ML1" s="753">
        <v>43915</v>
      </c>
      <c r="MM1" s="754"/>
      <c r="MN1" s="753">
        <v>43916</v>
      </c>
      <c r="MO1" s="754"/>
      <c r="MP1" s="753">
        <v>43917</v>
      </c>
      <c r="MQ1" s="754"/>
      <c r="MR1" s="753">
        <v>43920</v>
      </c>
      <c r="MS1" s="754"/>
      <c r="MT1" s="753">
        <v>43921</v>
      </c>
      <c r="MU1" s="754"/>
      <c r="MV1" s="753">
        <v>43922</v>
      </c>
      <c r="MW1" s="754"/>
      <c r="MX1" s="753">
        <v>43923</v>
      </c>
      <c r="MY1" s="754"/>
      <c r="MZ1" s="753">
        <v>43924</v>
      </c>
      <c r="NA1" s="754"/>
      <c r="NB1" s="753">
        <v>43927</v>
      </c>
      <c r="NC1" s="754"/>
      <c r="ND1" s="753">
        <v>43928</v>
      </c>
      <c r="NE1" s="754"/>
      <c r="NF1" s="753">
        <v>43929</v>
      </c>
      <c r="NG1" s="754"/>
      <c r="NH1" s="753">
        <v>43929</v>
      </c>
      <c r="NI1" s="754"/>
      <c r="NJ1" s="753">
        <v>43935</v>
      </c>
      <c r="NK1" s="754"/>
      <c r="NL1" s="753">
        <v>43936</v>
      </c>
      <c r="NM1" s="754"/>
      <c r="NN1" s="753">
        <v>43937</v>
      </c>
      <c r="NO1" s="754"/>
      <c r="NP1" s="753">
        <v>43938</v>
      </c>
      <c r="NQ1" s="754"/>
      <c r="NR1" s="753">
        <v>43941</v>
      </c>
      <c r="NS1" s="754"/>
      <c r="NT1" s="753">
        <v>43942</v>
      </c>
      <c r="NU1" s="754"/>
      <c r="NV1" s="753">
        <v>43943</v>
      </c>
      <c r="NW1" s="754"/>
      <c r="NX1" s="753">
        <v>43944</v>
      </c>
      <c r="NY1" s="754"/>
      <c r="NZ1" s="753">
        <v>43945</v>
      </c>
      <c r="OA1" s="754"/>
      <c r="OB1" s="753">
        <v>43948</v>
      </c>
      <c r="OC1" s="754"/>
      <c r="OD1" s="753">
        <v>43949</v>
      </c>
      <c r="OE1" s="754"/>
      <c r="OF1" s="753">
        <v>43950</v>
      </c>
      <c r="OG1" s="754"/>
      <c r="OH1" s="753">
        <v>43955</v>
      </c>
      <c r="OI1" s="754"/>
      <c r="OJ1" s="753">
        <v>43956</v>
      </c>
      <c r="OK1" s="754"/>
      <c r="OL1" s="753">
        <v>43957</v>
      </c>
      <c r="OM1" s="754"/>
      <c r="ON1" s="753">
        <v>43958</v>
      </c>
      <c r="OO1" s="754"/>
      <c r="OP1" s="753">
        <v>43962</v>
      </c>
      <c r="OQ1" s="754"/>
      <c r="OR1" s="753">
        <v>43963</v>
      </c>
      <c r="OS1" s="754"/>
      <c r="OT1" s="753">
        <v>43969</v>
      </c>
      <c r="OU1" s="754"/>
      <c r="OV1" s="753">
        <v>43970</v>
      </c>
      <c r="OW1" s="754"/>
      <c r="OX1" s="753">
        <v>43971</v>
      </c>
      <c r="OY1" s="754"/>
      <c r="OZ1" s="753">
        <v>43977</v>
      </c>
      <c r="PA1" s="754"/>
      <c r="PB1" s="753">
        <v>43978</v>
      </c>
      <c r="PC1" s="754"/>
      <c r="PD1" s="753">
        <v>43979</v>
      </c>
      <c r="PE1" s="754"/>
      <c r="PF1" s="753">
        <v>43980</v>
      </c>
      <c r="PG1" s="754"/>
      <c r="PH1" s="753">
        <v>43983</v>
      </c>
      <c r="PI1" s="754"/>
      <c r="PJ1" s="753">
        <v>43984</v>
      </c>
      <c r="PK1" s="754"/>
      <c r="PL1" s="753">
        <v>43985</v>
      </c>
      <c r="PM1" s="754"/>
      <c r="PN1" s="753">
        <v>43987</v>
      </c>
      <c r="PO1" s="754"/>
      <c r="PP1" s="753">
        <v>43990</v>
      </c>
      <c r="PQ1" s="754"/>
      <c r="PR1" s="753">
        <v>43991</v>
      </c>
      <c r="PS1" s="754"/>
      <c r="PT1" s="753">
        <v>43993</v>
      </c>
      <c r="PU1" s="754"/>
      <c r="PV1" s="753">
        <v>43994</v>
      </c>
      <c r="PW1" s="754"/>
      <c r="PX1" s="753">
        <v>43997</v>
      </c>
      <c r="PY1" s="754"/>
      <c r="PZ1" s="753">
        <v>43999</v>
      </c>
      <c r="QA1" s="754"/>
      <c r="QB1" s="753">
        <v>44000</v>
      </c>
      <c r="QC1" s="754"/>
      <c r="QD1" s="753">
        <v>44001</v>
      </c>
      <c r="QE1" s="754"/>
      <c r="QF1" s="753">
        <v>44004</v>
      </c>
      <c r="QG1" s="754"/>
      <c r="QH1" s="753">
        <v>44005</v>
      </c>
      <c r="QI1" s="754"/>
      <c r="QJ1" s="753">
        <v>44006</v>
      </c>
      <c r="QK1" s="754"/>
      <c r="QL1" s="753">
        <v>44007</v>
      </c>
      <c r="QM1" s="754"/>
      <c r="QN1" s="753">
        <v>44008</v>
      </c>
      <c r="QO1" s="754"/>
      <c r="QP1" s="753">
        <v>44011</v>
      </c>
      <c r="QQ1" s="754"/>
      <c r="QR1" s="753">
        <v>44012</v>
      </c>
      <c r="QS1" s="754"/>
      <c r="QT1" s="753">
        <v>44013</v>
      </c>
      <c r="QU1" s="754"/>
      <c r="QV1" s="753">
        <v>44014</v>
      </c>
      <c r="QW1" s="754"/>
      <c r="QX1" s="753">
        <v>44015</v>
      </c>
      <c r="QY1" s="754"/>
      <c r="QZ1" s="753">
        <v>44019</v>
      </c>
      <c r="RA1" s="754"/>
      <c r="RB1" s="753">
        <v>44020</v>
      </c>
      <c r="RC1" s="754"/>
      <c r="RD1" s="753">
        <v>44021</v>
      </c>
      <c r="RE1" s="754"/>
      <c r="RF1" s="753">
        <v>44022</v>
      </c>
      <c r="RG1" s="754"/>
      <c r="RH1" s="753">
        <v>44025</v>
      </c>
      <c r="RI1" s="754"/>
      <c r="RJ1" s="753">
        <v>44026</v>
      </c>
      <c r="RK1" s="754"/>
      <c r="RL1" s="753">
        <v>44027</v>
      </c>
      <c r="RM1" s="754"/>
      <c r="RN1" s="753">
        <v>44029</v>
      </c>
      <c r="RO1" s="754"/>
      <c r="RP1" s="753">
        <v>44032</v>
      </c>
      <c r="RQ1" s="754"/>
      <c r="RR1" s="753">
        <v>44033</v>
      </c>
      <c r="RS1" s="754"/>
      <c r="RT1" s="753">
        <v>44035</v>
      </c>
      <c r="RU1" s="754"/>
      <c r="RV1" s="753">
        <v>44039</v>
      </c>
      <c r="RW1" s="754"/>
      <c r="RX1" s="753">
        <v>44040</v>
      </c>
      <c r="RY1" s="754"/>
      <c r="RZ1" s="753">
        <v>44042</v>
      </c>
      <c r="SA1" s="754"/>
      <c r="SB1" s="753">
        <v>44043</v>
      </c>
      <c r="SC1" s="754"/>
      <c r="SD1" s="753">
        <v>44046</v>
      </c>
      <c r="SE1" s="754"/>
      <c r="SF1" s="753">
        <v>44047</v>
      </c>
      <c r="SG1" s="754"/>
      <c r="SH1" s="753">
        <v>44048</v>
      </c>
      <c r="SI1" s="754"/>
      <c r="SJ1" s="753">
        <v>44049</v>
      </c>
      <c r="SK1" s="754"/>
      <c r="SL1" s="753">
        <v>44050</v>
      </c>
      <c r="SM1" s="754"/>
      <c r="SN1" s="753">
        <v>44054</v>
      </c>
      <c r="SO1" s="754"/>
      <c r="SP1" s="753">
        <v>44055</v>
      </c>
      <c r="SQ1" s="754"/>
      <c r="SR1" s="753">
        <v>44056</v>
      </c>
      <c r="SS1" s="754"/>
      <c r="ST1" s="753">
        <v>44057</v>
      </c>
      <c r="SU1" s="754"/>
      <c r="SV1" s="753">
        <v>44060</v>
      </c>
      <c r="SW1" s="754"/>
      <c r="SX1" s="753">
        <v>44061</v>
      </c>
      <c r="SY1" s="754"/>
      <c r="SZ1" s="753">
        <v>44062</v>
      </c>
      <c r="TA1" s="754"/>
      <c r="TB1" s="753">
        <v>44063</v>
      </c>
      <c r="TC1" s="754"/>
      <c r="TD1" s="753">
        <v>44068</v>
      </c>
      <c r="TE1" s="754"/>
      <c r="TF1" s="753">
        <v>44069</v>
      </c>
      <c r="TG1" s="754"/>
      <c r="TH1" s="753">
        <v>44070</v>
      </c>
      <c r="TI1" s="754"/>
      <c r="TJ1" s="753">
        <v>44071</v>
      </c>
      <c r="TK1" s="754"/>
      <c r="TL1" s="753">
        <v>44074</v>
      </c>
      <c r="TM1" s="754"/>
      <c r="TN1" s="753">
        <v>44075</v>
      </c>
      <c r="TO1" s="754"/>
      <c r="TP1" s="753">
        <v>44076</v>
      </c>
      <c r="TQ1" s="754"/>
      <c r="TR1" s="753">
        <v>44077</v>
      </c>
      <c r="TS1" s="754"/>
      <c r="TT1" s="753">
        <v>44078</v>
      </c>
      <c r="TU1" s="754"/>
      <c r="TV1" s="753">
        <v>44081</v>
      </c>
      <c r="TW1" s="754"/>
      <c r="TX1" s="753">
        <v>44083</v>
      </c>
      <c r="TY1" s="754"/>
      <c r="TZ1" s="753">
        <v>44085</v>
      </c>
      <c r="UA1" s="754"/>
      <c r="UB1" s="753">
        <v>44092</v>
      </c>
      <c r="UC1" s="754"/>
      <c r="UD1" s="753">
        <v>44095</v>
      </c>
      <c r="UE1" s="754"/>
      <c r="UF1" s="753">
        <v>44096</v>
      </c>
      <c r="UG1" s="754"/>
      <c r="UH1" s="753">
        <v>44097</v>
      </c>
      <c r="UI1" s="754"/>
      <c r="UJ1" s="753">
        <v>44098</v>
      </c>
      <c r="UK1" s="754"/>
      <c r="UL1" s="753">
        <v>44099</v>
      </c>
      <c r="UM1" s="754"/>
      <c r="UN1" s="753">
        <v>44102</v>
      </c>
      <c r="UO1" s="754"/>
      <c r="UP1" s="753">
        <v>44103</v>
      </c>
      <c r="UQ1" s="754"/>
      <c r="UR1" s="753">
        <v>44104</v>
      </c>
      <c r="US1" s="754"/>
      <c r="UT1" s="753">
        <v>44105</v>
      </c>
      <c r="UU1" s="754"/>
      <c r="UV1" s="753">
        <v>44106</v>
      </c>
      <c r="UW1" s="754"/>
      <c r="UX1" s="753">
        <v>44109</v>
      </c>
      <c r="UY1" s="754"/>
      <c r="UZ1" s="753">
        <v>44110</v>
      </c>
      <c r="VA1" s="754"/>
      <c r="VB1" s="753">
        <v>44111</v>
      </c>
      <c r="VC1" s="754"/>
      <c r="VD1" s="753">
        <v>44112</v>
      </c>
      <c r="VE1" s="754"/>
      <c r="VF1" s="753">
        <v>44113</v>
      </c>
      <c r="VG1" s="754"/>
      <c r="VH1" s="753">
        <v>44117</v>
      </c>
      <c r="VI1" s="754"/>
      <c r="VJ1" s="753">
        <v>44118</v>
      </c>
      <c r="VK1" s="754"/>
      <c r="VL1" s="753">
        <v>44119</v>
      </c>
      <c r="VM1" s="754"/>
      <c r="VN1" s="753">
        <v>44120</v>
      </c>
      <c r="VO1" s="754"/>
      <c r="VP1" s="753">
        <v>44123</v>
      </c>
      <c r="VQ1" s="754"/>
      <c r="VR1" s="753">
        <v>44124</v>
      </c>
      <c r="VS1" s="754"/>
      <c r="VT1" s="753">
        <v>44125</v>
      </c>
      <c r="VU1" s="754"/>
      <c r="VV1" s="753">
        <v>44126</v>
      </c>
      <c r="VW1" s="754"/>
      <c r="VX1" s="753">
        <v>44127</v>
      </c>
      <c r="VY1" s="754"/>
      <c r="VZ1" s="753">
        <v>44131</v>
      </c>
      <c r="WA1" s="754"/>
      <c r="WB1" s="753">
        <v>44132</v>
      </c>
      <c r="WC1" s="754"/>
      <c r="WD1" s="753">
        <v>44134</v>
      </c>
      <c r="WE1" s="754"/>
      <c r="WF1" s="753">
        <v>44147</v>
      </c>
      <c r="WG1" s="754"/>
      <c r="WH1" s="753">
        <v>44148</v>
      </c>
      <c r="WI1" s="754"/>
      <c r="WJ1" s="753">
        <v>44153</v>
      </c>
      <c r="WK1" s="754"/>
      <c r="WL1" s="753">
        <v>44154</v>
      </c>
      <c r="WM1" s="754"/>
      <c r="WN1" s="753">
        <v>44155</v>
      </c>
      <c r="WO1" s="754"/>
      <c r="WP1" s="753">
        <v>44159</v>
      </c>
      <c r="WQ1" s="754"/>
      <c r="WR1" s="753">
        <v>44160</v>
      </c>
      <c r="WS1" s="754"/>
      <c r="WT1" s="753">
        <v>44168</v>
      </c>
      <c r="WU1" s="754"/>
      <c r="WV1" s="753">
        <v>44169</v>
      </c>
      <c r="WW1" s="754"/>
      <c r="WX1" s="753">
        <v>44173</v>
      </c>
      <c r="WY1" s="754"/>
      <c r="WZ1" s="753">
        <v>44174</v>
      </c>
      <c r="XA1" s="754"/>
      <c r="XB1" s="753">
        <v>44176</v>
      </c>
      <c r="XC1" s="754"/>
      <c r="XD1" s="753">
        <v>44180</v>
      </c>
      <c r="XE1" s="754"/>
      <c r="XF1" s="753">
        <v>44187</v>
      </c>
      <c r="XG1" s="754"/>
      <c r="XH1" s="753">
        <v>44188</v>
      </c>
      <c r="XI1" s="754"/>
      <c r="XJ1" s="753">
        <v>44202</v>
      </c>
      <c r="XK1" s="754"/>
      <c r="XL1" s="753">
        <v>44204</v>
      </c>
      <c r="XM1" s="754"/>
      <c r="XN1" s="753">
        <v>44208</v>
      </c>
      <c r="XO1" s="754"/>
      <c r="XP1" s="753">
        <v>44210</v>
      </c>
      <c r="XQ1" s="754"/>
      <c r="XR1" s="753">
        <v>44211</v>
      </c>
      <c r="XS1" s="754"/>
      <c r="XT1" s="753">
        <v>44214</v>
      </c>
      <c r="XU1" s="754"/>
      <c r="XV1" s="753">
        <v>44217</v>
      </c>
      <c r="XW1" s="754"/>
    </row>
    <row r="2" spans="2:647" x14ac:dyDescent="0.25">
      <c r="D2" s="17"/>
      <c r="E2" s="17"/>
      <c r="F2" s="17" t="s">
        <v>4</v>
      </c>
      <c r="G2" s="17" t="s">
        <v>0</v>
      </c>
      <c r="H2" s="7" t="s">
        <v>1</v>
      </c>
      <c r="I2" s="16" t="s">
        <v>2</v>
      </c>
      <c r="J2" s="7" t="s">
        <v>1</v>
      </c>
      <c r="K2" s="16" t="s">
        <v>2</v>
      </c>
      <c r="L2" s="7" t="s">
        <v>1</v>
      </c>
      <c r="M2" s="16" t="s">
        <v>2</v>
      </c>
      <c r="N2" s="7" t="s">
        <v>1</v>
      </c>
      <c r="O2" s="16" t="s">
        <v>2</v>
      </c>
      <c r="P2" s="7" t="s">
        <v>1</v>
      </c>
      <c r="Q2" s="16" t="s">
        <v>2</v>
      </c>
      <c r="R2" s="7" t="s">
        <v>1</v>
      </c>
      <c r="S2" s="16" t="s">
        <v>2</v>
      </c>
      <c r="T2" s="7" t="s">
        <v>1</v>
      </c>
      <c r="U2" s="16" t="s">
        <v>2</v>
      </c>
      <c r="V2" s="7" t="s">
        <v>1</v>
      </c>
      <c r="W2" s="16" t="s">
        <v>2</v>
      </c>
      <c r="X2" s="7" t="s">
        <v>1</v>
      </c>
      <c r="Y2" s="16" t="s">
        <v>2</v>
      </c>
      <c r="Z2" s="7" t="s">
        <v>1</v>
      </c>
      <c r="AA2" s="16" t="s">
        <v>2</v>
      </c>
      <c r="AB2" s="7" t="s">
        <v>1</v>
      </c>
      <c r="AC2" s="16" t="s">
        <v>2</v>
      </c>
      <c r="AD2" s="7" t="s">
        <v>1</v>
      </c>
      <c r="AE2" s="16" t="s">
        <v>2</v>
      </c>
      <c r="AF2" s="7" t="s">
        <v>1</v>
      </c>
      <c r="AG2" s="16" t="s">
        <v>2</v>
      </c>
      <c r="AH2" s="7" t="s">
        <v>1</v>
      </c>
      <c r="AI2" s="16" t="s">
        <v>2</v>
      </c>
      <c r="AJ2" s="7" t="s">
        <v>1</v>
      </c>
      <c r="AK2" s="16" t="s">
        <v>2</v>
      </c>
      <c r="AL2" s="7" t="s">
        <v>1</v>
      </c>
      <c r="AM2" s="16" t="s">
        <v>2</v>
      </c>
      <c r="AN2" s="7" t="s">
        <v>1</v>
      </c>
      <c r="AO2" s="16" t="s">
        <v>2</v>
      </c>
      <c r="AP2" s="7" t="s">
        <v>1</v>
      </c>
      <c r="AQ2" s="16" t="s">
        <v>2</v>
      </c>
      <c r="AR2" s="7" t="s">
        <v>1</v>
      </c>
      <c r="AS2" s="16" t="s">
        <v>2</v>
      </c>
      <c r="AT2" s="7" t="s">
        <v>1</v>
      </c>
      <c r="AU2" s="16" t="s">
        <v>2</v>
      </c>
      <c r="AV2" s="7" t="s">
        <v>1</v>
      </c>
      <c r="AW2" s="16" t="s">
        <v>2</v>
      </c>
      <c r="AX2" s="7" t="s">
        <v>1</v>
      </c>
      <c r="AY2" s="16" t="s">
        <v>2</v>
      </c>
      <c r="AZ2" s="7" t="s">
        <v>1</v>
      </c>
      <c r="BA2" s="16" t="s">
        <v>2</v>
      </c>
      <c r="BB2" s="7" t="s">
        <v>1</v>
      </c>
      <c r="BC2" s="16" t="s">
        <v>2</v>
      </c>
      <c r="BD2" s="7" t="s">
        <v>1</v>
      </c>
      <c r="BE2" s="16" t="s">
        <v>2</v>
      </c>
      <c r="BF2" s="7" t="s">
        <v>1</v>
      </c>
      <c r="BG2" s="16" t="s">
        <v>2</v>
      </c>
      <c r="BH2" s="7" t="s">
        <v>1</v>
      </c>
      <c r="BI2" s="16" t="s">
        <v>2</v>
      </c>
      <c r="BJ2" s="7" t="s">
        <v>1</v>
      </c>
      <c r="BK2" s="16" t="s">
        <v>2</v>
      </c>
      <c r="BL2" s="7" t="s">
        <v>1</v>
      </c>
      <c r="BM2" s="16" t="s">
        <v>2</v>
      </c>
      <c r="BN2" s="7" t="s">
        <v>1</v>
      </c>
      <c r="BO2" s="16" t="s">
        <v>2</v>
      </c>
      <c r="BP2" s="7" t="s">
        <v>1</v>
      </c>
      <c r="BQ2" s="16" t="s">
        <v>2</v>
      </c>
      <c r="BR2" s="7" t="s">
        <v>1</v>
      </c>
      <c r="BS2" s="16" t="s">
        <v>2</v>
      </c>
      <c r="BT2" s="7" t="s">
        <v>1</v>
      </c>
      <c r="BU2" s="16" t="s">
        <v>2</v>
      </c>
      <c r="BV2" s="7" t="s">
        <v>1</v>
      </c>
      <c r="BW2" s="16" t="s">
        <v>2</v>
      </c>
      <c r="BX2" s="7" t="s">
        <v>1</v>
      </c>
      <c r="BY2" s="16" t="s">
        <v>2</v>
      </c>
      <c r="BZ2" s="7" t="s">
        <v>1</v>
      </c>
      <c r="CA2" s="16" t="s">
        <v>2</v>
      </c>
      <c r="CB2" s="7" t="s">
        <v>1</v>
      </c>
      <c r="CC2" s="16" t="s">
        <v>2</v>
      </c>
      <c r="CD2" s="7" t="s">
        <v>1</v>
      </c>
      <c r="CE2" s="16" t="s">
        <v>2</v>
      </c>
      <c r="CF2" s="7" t="s">
        <v>1</v>
      </c>
      <c r="CG2" s="16" t="s">
        <v>2</v>
      </c>
      <c r="CH2" s="7" t="s">
        <v>1</v>
      </c>
      <c r="CI2" s="16" t="s">
        <v>2</v>
      </c>
      <c r="CJ2" s="7" t="s">
        <v>1</v>
      </c>
      <c r="CK2" s="16" t="s">
        <v>2</v>
      </c>
      <c r="CL2" s="7" t="s">
        <v>1</v>
      </c>
      <c r="CM2" s="16" t="s">
        <v>2</v>
      </c>
      <c r="CN2" s="7" t="s">
        <v>1</v>
      </c>
      <c r="CO2" s="16" t="s">
        <v>2</v>
      </c>
      <c r="CP2" s="7" t="s">
        <v>1</v>
      </c>
      <c r="CQ2" s="22" t="s">
        <v>2</v>
      </c>
      <c r="CR2" s="7" t="s">
        <v>1</v>
      </c>
      <c r="CS2" s="23" t="s">
        <v>2</v>
      </c>
      <c r="CT2" s="7" t="s">
        <v>1</v>
      </c>
      <c r="CU2" s="24" t="s">
        <v>2</v>
      </c>
      <c r="CV2" s="7" t="s">
        <v>1</v>
      </c>
      <c r="CW2" s="25" t="s">
        <v>2</v>
      </c>
      <c r="CX2" s="7" t="s">
        <v>1</v>
      </c>
      <c r="CY2" s="26" t="s">
        <v>2</v>
      </c>
      <c r="CZ2" s="7" t="s">
        <v>1</v>
      </c>
      <c r="DA2" s="27" t="s">
        <v>2</v>
      </c>
      <c r="DB2" s="7" t="s">
        <v>1</v>
      </c>
      <c r="DC2" s="28" t="s">
        <v>2</v>
      </c>
      <c r="DD2" s="7" t="s">
        <v>1</v>
      </c>
      <c r="DE2" s="29" t="s">
        <v>2</v>
      </c>
      <c r="DF2" s="7" t="s">
        <v>1</v>
      </c>
      <c r="DG2" s="30" t="s">
        <v>2</v>
      </c>
      <c r="DH2" s="7" t="s">
        <v>1</v>
      </c>
      <c r="DI2" s="31" t="s">
        <v>2</v>
      </c>
      <c r="DJ2" s="7" t="s">
        <v>1</v>
      </c>
      <c r="DK2" s="32" t="s">
        <v>2</v>
      </c>
      <c r="DL2" s="7" t="s">
        <v>1</v>
      </c>
      <c r="DM2" s="33" t="s">
        <v>2</v>
      </c>
      <c r="DN2" s="7" t="s">
        <v>1</v>
      </c>
      <c r="DO2" s="34" t="s">
        <v>2</v>
      </c>
      <c r="DP2" s="7" t="s">
        <v>1</v>
      </c>
      <c r="DQ2" s="36" t="s">
        <v>2</v>
      </c>
      <c r="DR2" s="7" t="s">
        <v>1</v>
      </c>
      <c r="DS2" s="37" t="s">
        <v>2</v>
      </c>
      <c r="DT2" s="7" t="s">
        <v>1</v>
      </c>
      <c r="DU2" s="38" t="s">
        <v>2</v>
      </c>
      <c r="DV2" s="7" t="s">
        <v>1</v>
      </c>
      <c r="DW2" s="39" t="s">
        <v>2</v>
      </c>
      <c r="DX2" s="7" t="s">
        <v>1</v>
      </c>
      <c r="DY2" s="40" t="s">
        <v>2</v>
      </c>
      <c r="DZ2" s="7" t="s">
        <v>1</v>
      </c>
      <c r="EA2" s="41" t="s">
        <v>2</v>
      </c>
      <c r="EB2" s="7" t="s">
        <v>1</v>
      </c>
      <c r="EC2" s="42" t="s">
        <v>2</v>
      </c>
      <c r="ED2" s="7" t="s">
        <v>1</v>
      </c>
      <c r="EE2" s="43" t="s">
        <v>2</v>
      </c>
      <c r="EF2" s="7" t="s">
        <v>1</v>
      </c>
      <c r="EG2" s="44" t="s">
        <v>2</v>
      </c>
      <c r="EH2" s="7" t="s">
        <v>1</v>
      </c>
      <c r="EI2" s="45" t="s">
        <v>2</v>
      </c>
      <c r="EJ2" s="7" t="s">
        <v>1</v>
      </c>
      <c r="EK2" s="46" t="s">
        <v>2</v>
      </c>
      <c r="EL2" s="7" t="s">
        <v>1</v>
      </c>
      <c r="EM2" s="47" t="s">
        <v>2</v>
      </c>
      <c r="EN2" s="7" t="s">
        <v>1</v>
      </c>
      <c r="EO2" s="48" t="s">
        <v>2</v>
      </c>
      <c r="EP2" s="7" t="s">
        <v>1</v>
      </c>
      <c r="EQ2" s="49" t="s">
        <v>2</v>
      </c>
      <c r="ER2" s="7" t="s">
        <v>1</v>
      </c>
      <c r="ES2" s="50" t="s">
        <v>2</v>
      </c>
      <c r="ET2" s="7" t="s">
        <v>1</v>
      </c>
      <c r="EU2" s="51" t="s">
        <v>2</v>
      </c>
      <c r="EV2" s="7" t="s">
        <v>1</v>
      </c>
      <c r="EW2" s="52" t="s">
        <v>2</v>
      </c>
      <c r="EX2" s="7" t="s">
        <v>1</v>
      </c>
      <c r="EY2" s="53" t="s">
        <v>2</v>
      </c>
      <c r="EZ2" s="7" t="s">
        <v>1</v>
      </c>
      <c r="FA2" s="54" t="s">
        <v>2</v>
      </c>
      <c r="FB2" s="7" t="s">
        <v>1</v>
      </c>
      <c r="FC2" s="56" t="s">
        <v>2</v>
      </c>
      <c r="FD2" s="7" t="s">
        <v>1</v>
      </c>
      <c r="FE2" s="56" t="s">
        <v>2</v>
      </c>
      <c r="FF2" s="7" t="s">
        <v>1</v>
      </c>
      <c r="FG2" s="56" t="s">
        <v>2</v>
      </c>
      <c r="FH2" s="7" t="s">
        <v>1</v>
      </c>
      <c r="FI2" s="56" t="s">
        <v>2</v>
      </c>
      <c r="FJ2" s="7" t="s">
        <v>1</v>
      </c>
      <c r="FK2" s="56" t="s">
        <v>2</v>
      </c>
      <c r="FL2" s="7" t="s">
        <v>1</v>
      </c>
      <c r="FM2" s="56" t="s">
        <v>2</v>
      </c>
      <c r="FN2" s="7" t="s">
        <v>1</v>
      </c>
      <c r="FO2" s="56" t="s">
        <v>2</v>
      </c>
      <c r="FP2" s="7" t="s">
        <v>1</v>
      </c>
      <c r="FQ2" s="56" t="s">
        <v>2</v>
      </c>
      <c r="FR2" s="7" t="s">
        <v>1</v>
      </c>
      <c r="FS2" s="56" t="s">
        <v>2</v>
      </c>
      <c r="FT2" s="7" t="s">
        <v>1</v>
      </c>
      <c r="FU2" s="56" t="s">
        <v>2</v>
      </c>
      <c r="FV2" s="7" t="s">
        <v>1</v>
      </c>
      <c r="FW2" s="56" t="s">
        <v>2</v>
      </c>
      <c r="FX2" s="7" t="s">
        <v>1</v>
      </c>
      <c r="FY2" s="56" t="s">
        <v>2</v>
      </c>
      <c r="FZ2" s="7" t="s">
        <v>1</v>
      </c>
      <c r="GA2" s="56" t="s">
        <v>2</v>
      </c>
      <c r="GB2" s="7" t="s">
        <v>1</v>
      </c>
      <c r="GC2" s="56" t="s">
        <v>2</v>
      </c>
      <c r="GD2" s="7" t="s">
        <v>1</v>
      </c>
      <c r="GE2" s="56" t="s">
        <v>2</v>
      </c>
      <c r="GF2" s="7" t="s">
        <v>1</v>
      </c>
      <c r="GG2" s="56" t="s">
        <v>2</v>
      </c>
      <c r="GH2" s="7" t="s">
        <v>1</v>
      </c>
      <c r="GI2" s="58" t="s">
        <v>2</v>
      </c>
      <c r="GJ2" s="7" t="s">
        <v>1</v>
      </c>
      <c r="GK2" s="58" t="s">
        <v>2</v>
      </c>
      <c r="GL2" s="7" t="s">
        <v>1</v>
      </c>
      <c r="GM2" s="58" t="s">
        <v>2</v>
      </c>
      <c r="GN2" s="7" t="s">
        <v>1</v>
      </c>
      <c r="GO2" s="58" t="s">
        <v>2</v>
      </c>
      <c r="GP2" s="7" t="s">
        <v>1</v>
      </c>
      <c r="GQ2" s="58" t="s">
        <v>2</v>
      </c>
      <c r="GR2" s="7" t="s">
        <v>1</v>
      </c>
      <c r="GS2" s="66" t="s">
        <v>2</v>
      </c>
      <c r="GT2" s="7" t="s">
        <v>1</v>
      </c>
      <c r="GU2" s="66" t="s">
        <v>2</v>
      </c>
      <c r="GV2" s="7" t="s">
        <v>1</v>
      </c>
      <c r="GW2" s="66" t="s">
        <v>2</v>
      </c>
      <c r="GX2" s="7" t="s">
        <v>1</v>
      </c>
      <c r="GY2" s="66" t="s">
        <v>2</v>
      </c>
      <c r="GZ2" s="7" t="s">
        <v>1</v>
      </c>
      <c r="HA2" s="66" t="s">
        <v>2</v>
      </c>
      <c r="HB2" s="7" t="s">
        <v>1</v>
      </c>
      <c r="HC2" s="66" t="s">
        <v>2</v>
      </c>
      <c r="HD2" s="7" t="s">
        <v>1</v>
      </c>
      <c r="HE2" s="66" t="s">
        <v>2</v>
      </c>
      <c r="HF2" s="7" t="s">
        <v>1</v>
      </c>
      <c r="HG2" s="66" t="s">
        <v>2</v>
      </c>
      <c r="HH2" s="7" t="s">
        <v>1</v>
      </c>
      <c r="HI2" s="66" t="s">
        <v>2</v>
      </c>
      <c r="HJ2" s="7" t="s">
        <v>1</v>
      </c>
      <c r="HK2" s="66" t="s">
        <v>2</v>
      </c>
      <c r="HL2" s="7" t="s">
        <v>1</v>
      </c>
      <c r="HM2" s="66" t="s">
        <v>2</v>
      </c>
      <c r="HN2" s="7" t="s">
        <v>1</v>
      </c>
      <c r="HO2" s="66" t="s">
        <v>2</v>
      </c>
      <c r="HP2" s="7" t="s">
        <v>1</v>
      </c>
      <c r="HQ2" s="66" t="s">
        <v>2</v>
      </c>
      <c r="HR2" s="7" t="s">
        <v>1</v>
      </c>
      <c r="HS2" s="66" t="s">
        <v>2</v>
      </c>
      <c r="HT2" s="7" t="s">
        <v>1</v>
      </c>
      <c r="HU2" s="66" t="s">
        <v>2</v>
      </c>
      <c r="HV2" s="7" t="s">
        <v>1</v>
      </c>
      <c r="HW2" s="66" t="s">
        <v>2</v>
      </c>
      <c r="HX2" s="7" t="s">
        <v>1</v>
      </c>
      <c r="HY2" s="66" t="s">
        <v>2</v>
      </c>
      <c r="HZ2" s="7" t="s">
        <v>1</v>
      </c>
      <c r="IA2" s="66" t="s">
        <v>2</v>
      </c>
      <c r="IB2" s="7" t="s">
        <v>1</v>
      </c>
      <c r="IC2" s="66" t="s">
        <v>2</v>
      </c>
      <c r="ID2" s="7" t="s">
        <v>1</v>
      </c>
      <c r="IE2" s="66" t="s">
        <v>2</v>
      </c>
      <c r="IF2" s="7" t="s">
        <v>1</v>
      </c>
      <c r="IG2" s="66" t="s">
        <v>2</v>
      </c>
      <c r="IH2" s="7" t="s">
        <v>1</v>
      </c>
      <c r="II2" s="66" t="s">
        <v>2</v>
      </c>
      <c r="IJ2" s="7" t="s">
        <v>1</v>
      </c>
      <c r="IK2" s="66" t="s">
        <v>2</v>
      </c>
      <c r="IL2" s="7" t="s">
        <v>1</v>
      </c>
      <c r="IM2" s="66" t="s">
        <v>2</v>
      </c>
      <c r="IN2" s="7" t="s">
        <v>1</v>
      </c>
      <c r="IO2" s="66" t="s">
        <v>2</v>
      </c>
      <c r="IP2" s="7" t="s">
        <v>1</v>
      </c>
      <c r="IQ2" s="66" t="s">
        <v>2</v>
      </c>
      <c r="IR2" s="7" t="s">
        <v>1</v>
      </c>
      <c r="IS2" s="66" t="s">
        <v>2</v>
      </c>
      <c r="IT2" s="7" t="s">
        <v>1</v>
      </c>
      <c r="IU2" s="66" t="s">
        <v>2</v>
      </c>
      <c r="IV2" s="7" t="s">
        <v>1</v>
      </c>
      <c r="IW2" s="66" t="s">
        <v>2</v>
      </c>
      <c r="IX2" s="7" t="s">
        <v>1</v>
      </c>
      <c r="IY2" s="66" t="s">
        <v>2</v>
      </c>
      <c r="IZ2" s="7" t="s">
        <v>1</v>
      </c>
      <c r="JA2" s="66" t="s">
        <v>2</v>
      </c>
      <c r="JB2" s="7" t="s">
        <v>1</v>
      </c>
      <c r="JC2" s="66" t="s">
        <v>2</v>
      </c>
      <c r="JD2" s="7" t="s">
        <v>1</v>
      </c>
      <c r="JE2" s="66" t="s">
        <v>2</v>
      </c>
      <c r="JF2" s="7" t="s">
        <v>1</v>
      </c>
      <c r="JG2" s="66" t="s">
        <v>2</v>
      </c>
      <c r="JH2" s="7" t="s">
        <v>1</v>
      </c>
      <c r="JI2" s="66" t="s">
        <v>2</v>
      </c>
      <c r="JJ2" s="7" t="s">
        <v>1</v>
      </c>
      <c r="JK2" s="66" t="s">
        <v>2</v>
      </c>
      <c r="JL2" s="7" t="s">
        <v>1</v>
      </c>
      <c r="JM2" s="66" t="s">
        <v>2</v>
      </c>
      <c r="JN2" s="7" t="s">
        <v>1</v>
      </c>
      <c r="JO2" s="66" t="s">
        <v>2</v>
      </c>
      <c r="JP2" s="7" t="s">
        <v>1</v>
      </c>
      <c r="JQ2" s="66" t="s">
        <v>2</v>
      </c>
      <c r="JR2" s="7" t="s">
        <v>1</v>
      </c>
      <c r="JS2" s="66" t="s">
        <v>2</v>
      </c>
      <c r="JT2" s="7" t="s">
        <v>1</v>
      </c>
      <c r="JU2" s="66" t="s">
        <v>2</v>
      </c>
      <c r="JV2" s="7" t="s">
        <v>1</v>
      </c>
      <c r="JW2" s="125" t="s">
        <v>2</v>
      </c>
      <c r="JX2" s="7" t="s">
        <v>1</v>
      </c>
      <c r="JY2" s="131" t="s">
        <v>2</v>
      </c>
      <c r="JZ2" s="7" t="s">
        <v>1</v>
      </c>
      <c r="KA2" s="134" t="s">
        <v>2</v>
      </c>
      <c r="KB2" s="7" t="s">
        <v>1</v>
      </c>
      <c r="KC2" s="137" t="s">
        <v>2</v>
      </c>
      <c r="KD2" s="7" t="s">
        <v>1</v>
      </c>
      <c r="KE2" s="141" t="s">
        <v>2</v>
      </c>
      <c r="KF2" s="7" t="s">
        <v>1</v>
      </c>
      <c r="KG2" s="145" t="s">
        <v>2</v>
      </c>
      <c r="KH2" s="7" t="s">
        <v>1</v>
      </c>
      <c r="KI2" s="149" t="s">
        <v>2</v>
      </c>
      <c r="KJ2" s="7" t="s">
        <v>1</v>
      </c>
      <c r="KK2" s="153" t="s">
        <v>2</v>
      </c>
      <c r="KL2" s="7" t="s">
        <v>1</v>
      </c>
      <c r="KM2" s="157" t="s">
        <v>2</v>
      </c>
      <c r="KN2" s="7" t="s">
        <v>1</v>
      </c>
      <c r="KO2" s="161" t="s">
        <v>2</v>
      </c>
      <c r="KP2" s="7" t="s">
        <v>1</v>
      </c>
      <c r="KQ2" s="164" t="s">
        <v>2</v>
      </c>
      <c r="KR2" s="7" t="s">
        <v>1</v>
      </c>
      <c r="KS2" s="166" t="s">
        <v>2</v>
      </c>
      <c r="KT2" s="7" t="s">
        <v>1</v>
      </c>
      <c r="KU2" s="169" t="s">
        <v>2</v>
      </c>
      <c r="KV2" s="7" t="s">
        <v>1</v>
      </c>
      <c r="KW2" s="172" t="s">
        <v>2</v>
      </c>
      <c r="KX2" s="7" t="s">
        <v>1</v>
      </c>
      <c r="KY2" s="175" t="s">
        <v>2</v>
      </c>
      <c r="KZ2" s="7" t="s">
        <v>1</v>
      </c>
      <c r="LA2" s="180" t="s">
        <v>2</v>
      </c>
      <c r="LB2" s="7" t="s">
        <v>1</v>
      </c>
      <c r="LC2" s="184" t="s">
        <v>2</v>
      </c>
      <c r="LD2" s="7" t="s">
        <v>1</v>
      </c>
      <c r="LE2" s="188" t="s">
        <v>2</v>
      </c>
      <c r="LF2" s="7" t="s">
        <v>1</v>
      </c>
      <c r="LG2" s="190" t="s">
        <v>2</v>
      </c>
      <c r="LH2" s="7" t="s">
        <v>1</v>
      </c>
      <c r="LI2" s="192" t="s">
        <v>2</v>
      </c>
      <c r="LJ2" s="7" t="s">
        <v>1</v>
      </c>
      <c r="LK2" s="195" t="s">
        <v>2</v>
      </c>
      <c r="LL2" s="7" t="s">
        <v>1</v>
      </c>
      <c r="LM2" s="197" t="s">
        <v>2</v>
      </c>
      <c r="LN2" s="7" t="s">
        <v>1</v>
      </c>
      <c r="LO2" s="199" t="s">
        <v>2</v>
      </c>
      <c r="LP2" s="7" t="s">
        <v>1</v>
      </c>
      <c r="LQ2" s="201" t="s">
        <v>2</v>
      </c>
      <c r="LR2" s="7" t="s">
        <v>1</v>
      </c>
      <c r="LS2" s="203" t="s">
        <v>2</v>
      </c>
      <c r="LT2" s="7" t="s">
        <v>1</v>
      </c>
      <c r="LU2" s="205" t="s">
        <v>2</v>
      </c>
      <c r="LV2" s="7" t="s">
        <v>1</v>
      </c>
      <c r="LW2" s="207" t="s">
        <v>2</v>
      </c>
      <c r="LX2" s="7" t="s">
        <v>1</v>
      </c>
      <c r="LY2" s="209" t="s">
        <v>2</v>
      </c>
      <c r="LZ2" s="7" t="s">
        <v>1</v>
      </c>
      <c r="MA2" s="211" t="s">
        <v>2</v>
      </c>
      <c r="MB2" s="7" t="s">
        <v>1</v>
      </c>
      <c r="MC2" s="213" t="s">
        <v>2</v>
      </c>
      <c r="MD2" s="7" t="s">
        <v>1</v>
      </c>
      <c r="ME2" s="215" t="s">
        <v>2</v>
      </c>
      <c r="MF2" s="7" t="s">
        <v>1</v>
      </c>
      <c r="MG2" s="217" t="s">
        <v>2</v>
      </c>
      <c r="MH2" s="7" t="s">
        <v>1</v>
      </c>
      <c r="MI2" s="219" t="s">
        <v>2</v>
      </c>
      <c r="MJ2" s="7" t="s">
        <v>1</v>
      </c>
      <c r="MK2" s="221" t="s">
        <v>2</v>
      </c>
      <c r="ML2" s="7" t="s">
        <v>1</v>
      </c>
      <c r="MM2" s="223" t="s">
        <v>2</v>
      </c>
      <c r="MN2" s="7" t="s">
        <v>1</v>
      </c>
      <c r="MO2" s="225" t="s">
        <v>2</v>
      </c>
      <c r="MP2" s="7" t="s">
        <v>1</v>
      </c>
      <c r="MQ2" s="227" t="s">
        <v>2</v>
      </c>
      <c r="MR2" s="7" t="s">
        <v>1</v>
      </c>
      <c r="MS2" s="229" t="s">
        <v>2</v>
      </c>
      <c r="MT2" s="7" t="s">
        <v>1</v>
      </c>
      <c r="MU2" s="231" t="s">
        <v>2</v>
      </c>
      <c r="MV2" s="7" t="s">
        <v>1</v>
      </c>
      <c r="MW2" s="233" t="s">
        <v>2</v>
      </c>
      <c r="MX2" s="7" t="s">
        <v>1</v>
      </c>
      <c r="MY2" s="235" t="s">
        <v>2</v>
      </c>
      <c r="MZ2" s="7" t="s">
        <v>1</v>
      </c>
      <c r="NA2" s="237" t="s">
        <v>2</v>
      </c>
      <c r="NB2" s="7" t="s">
        <v>1</v>
      </c>
      <c r="NC2" s="239" t="s">
        <v>2</v>
      </c>
      <c r="ND2" s="7" t="s">
        <v>1</v>
      </c>
      <c r="NE2" s="241" t="s">
        <v>2</v>
      </c>
      <c r="NF2" s="7" t="s">
        <v>1</v>
      </c>
      <c r="NG2" s="243" t="s">
        <v>2</v>
      </c>
      <c r="NH2" s="7" t="s">
        <v>1</v>
      </c>
      <c r="NI2" s="245" t="s">
        <v>2</v>
      </c>
      <c r="NJ2" s="7" t="s">
        <v>1</v>
      </c>
      <c r="NK2" s="245" t="s">
        <v>2</v>
      </c>
      <c r="NL2" s="7" t="s">
        <v>1</v>
      </c>
      <c r="NM2" s="247" t="s">
        <v>2</v>
      </c>
      <c r="NN2" s="7" t="s">
        <v>1</v>
      </c>
      <c r="NO2" s="249" t="s">
        <v>2</v>
      </c>
      <c r="NP2" s="7" t="s">
        <v>1</v>
      </c>
      <c r="NQ2" s="251" t="s">
        <v>2</v>
      </c>
      <c r="NR2" s="7" t="s">
        <v>1</v>
      </c>
      <c r="NS2" s="253" t="s">
        <v>2</v>
      </c>
      <c r="NT2" s="7" t="s">
        <v>1</v>
      </c>
      <c r="NU2" s="255" t="s">
        <v>2</v>
      </c>
      <c r="NV2" s="7" t="s">
        <v>1</v>
      </c>
      <c r="NW2" s="257" t="s">
        <v>2</v>
      </c>
      <c r="NX2" s="7" t="s">
        <v>1</v>
      </c>
      <c r="NY2" s="259" t="s">
        <v>2</v>
      </c>
      <c r="NZ2" s="7" t="s">
        <v>1</v>
      </c>
      <c r="OA2" s="261" t="s">
        <v>2</v>
      </c>
      <c r="OB2" s="7" t="s">
        <v>1</v>
      </c>
      <c r="OC2" s="263" t="s">
        <v>2</v>
      </c>
      <c r="OD2" s="7" t="s">
        <v>1</v>
      </c>
      <c r="OE2" s="265" t="s">
        <v>2</v>
      </c>
      <c r="OF2" s="7" t="s">
        <v>1</v>
      </c>
      <c r="OG2" s="267" t="s">
        <v>2</v>
      </c>
      <c r="OH2" s="7" t="s">
        <v>1</v>
      </c>
      <c r="OI2" s="269" t="s">
        <v>2</v>
      </c>
      <c r="OJ2" s="7" t="s">
        <v>1</v>
      </c>
      <c r="OK2" s="271" t="s">
        <v>2</v>
      </c>
      <c r="OL2" s="7" t="s">
        <v>1</v>
      </c>
      <c r="OM2" s="273" t="s">
        <v>2</v>
      </c>
      <c r="ON2" s="7" t="s">
        <v>1</v>
      </c>
      <c r="OO2" s="275" t="s">
        <v>2</v>
      </c>
      <c r="OP2" s="7" t="s">
        <v>1</v>
      </c>
      <c r="OQ2" s="277" t="s">
        <v>2</v>
      </c>
      <c r="OR2" s="7" t="s">
        <v>1</v>
      </c>
      <c r="OS2" s="279" t="s">
        <v>2</v>
      </c>
      <c r="OT2" s="7" t="s">
        <v>1</v>
      </c>
      <c r="OU2" s="281" t="s">
        <v>2</v>
      </c>
      <c r="OV2" s="7" t="s">
        <v>1</v>
      </c>
      <c r="OW2" s="283" t="s">
        <v>2</v>
      </c>
      <c r="OX2" s="7" t="s">
        <v>1</v>
      </c>
      <c r="OY2" s="286" t="s">
        <v>2</v>
      </c>
      <c r="OZ2" s="7" t="s">
        <v>1</v>
      </c>
      <c r="PA2" s="289" t="s">
        <v>2</v>
      </c>
      <c r="PB2" s="7" t="s">
        <v>1</v>
      </c>
      <c r="PC2" s="293" t="s">
        <v>2</v>
      </c>
      <c r="PD2" s="7" t="s">
        <v>1</v>
      </c>
      <c r="PE2" s="296" t="s">
        <v>2</v>
      </c>
      <c r="PF2" s="7" t="s">
        <v>1</v>
      </c>
      <c r="PG2" s="299" t="s">
        <v>2</v>
      </c>
      <c r="PH2" s="7" t="s">
        <v>1</v>
      </c>
      <c r="PI2" s="300" t="s">
        <v>2</v>
      </c>
      <c r="PJ2" s="7" t="s">
        <v>1</v>
      </c>
      <c r="PK2" s="303" t="s">
        <v>2</v>
      </c>
      <c r="PL2" s="7" t="s">
        <v>1</v>
      </c>
      <c r="PM2" s="310" t="s">
        <v>2</v>
      </c>
      <c r="PN2" s="7" t="s">
        <v>1</v>
      </c>
      <c r="PO2" s="314" t="s">
        <v>2</v>
      </c>
      <c r="PP2" s="7" t="s">
        <v>1</v>
      </c>
      <c r="PQ2" s="314" t="s">
        <v>2</v>
      </c>
      <c r="PR2" s="7" t="s">
        <v>1</v>
      </c>
      <c r="PS2" s="316" t="s">
        <v>2</v>
      </c>
      <c r="PT2" s="7" t="s">
        <v>1</v>
      </c>
      <c r="PU2" s="319" t="s">
        <v>2</v>
      </c>
      <c r="PV2" s="7" t="s">
        <v>1</v>
      </c>
      <c r="PW2" s="322" t="s">
        <v>2</v>
      </c>
      <c r="PX2" s="7" t="s">
        <v>1</v>
      </c>
      <c r="PY2" s="324" t="s">
        <v>2</v>
      </c>
      <c r="PZ2" s="7" t="s">
        <v>1</v>
      </c>
      <c r="QA2" s="326" t="s">
        <v>2</v>
      </c>
      <c r="QB2" s="7" t="s">
        <v>1</v>
      </c>
      <c r="QC2" s="328" t="s">
        <v>2</v>
      </c>
      <c r="QD2" s="337" t="s">
        <v>1</v>
      </c>
      <c r="QE2" s="335" t="s">
        <v>2</v>
      </c>
      <c r="QF2" s="341" t="s">
        <v>1</v>
      </c>
      <c r="QG2" s="340" t="s">
        <v>2</v>
      </c>
      <c r="QH2" s="347" t="s">
        <v>1</v>
      </c>
      <c r="QI2" s="346" t="s">
        <v>2</v>
      </c>
      <c r="QJ2" s="353" t="s">
        <v>1</v>
      </c>
      <c r="QK2" s="354" t="s">
        <v>2</v>
      </c>
      <c r="QL2" s="357" t="s">
        <v>1</v>
      </c>
      <c r="QM2" s="358" t="s">
        <v>2</v>
      </c>
      <c r="QN2" s="361" t="s">
        <v>1</v>
      </c>
      <c r="QO2" s="362" t="s">
        <v>2</v>
      </c>
      <c r="QP2" s="364" t="s">
        <v>1</v>
      </c>
      <c r="QQ2" s="365" t="s">
        <v>2</v>
      </c>
      <c r="QR2" s="368" t="s">
        <v>1</v>
      </c>
      <c r="QS2" s="367" t="s">
        <v>2</v>
      </c>
      <c r="QT2" s="373" t="s">
        <v>1</v>
      </c>
      <c r="QU2" s="372" t="s">
        <v>2</v>
      </c>
      <c r="QV2" s="376" t="s">
        <v>1</v>
      </c>
      <c r="QW2" s="375" t="s">
        <v>2</v>
      </c>
      <c r="QX2" s="379" t="s">
        <v>1</v>
      </c>
      <c r="QY2" s="380" t="s">
        <v>2</v>
      </c>
      <c r="QZ2" s="389" t="s">
        <v>1</v>
      </c>
      <c r="RA2" s="387" t="s">
        <v>2</v>
      </c>
      <c r="RB2" s="389" t="s">
        <v>1</v>
      </c>
      <c r="RC2" s="396" t="s">
        <v>2</v>
      </c>
      <c r="RD2" s="389" t="s">
        <v>1</v>
      </c>
      <c r="RE2" s="400" t="s">
        <v>2</v>
      </c>
      <c r="RF2" s="389" t="s">
        <v>1</v>
      </c>
      <c r="RG2" s="400" t="s">
        <v>2</v>
      </c>
      <c r="RH2" s="389" t="s">
        <v>1</v>
      </c>
      <c r="RI2" s="404" t="s">
        <v>2</v>
      </c>
      <c r="RJ2" s="389" t="s">
        <v>1</v>
      </c>
      <c r="RK2" s="406" t="s">
        <v>2</v>
      </c>
      <c r="RL2" s="389" t="s">
        <v>1</v>
      </c>
      <c r="RM2" s="408" t="s">
        <v>2</v>
      </c>
      <c r="RN2" s="389" t="s">
        <v>1</v>
      </c>
      <c r="RO2" s="411" t="s">
        <v>2</v>
      </c>
      <c r="RP2" s="389" t="s">
        <v>1</v>
      </c>
      <c r="RQ2" s="413" t="s">
        <v>2</v>
      </c>
      <c r="RR2" s="389" t="s">
        <v>1</v>
      </c>
      <c r="RS2" s="416" t="s">
        <v>2</v>
      </c>
      <c r="RT2" s="389" t="s">
        <v>1</v>
      </c>
      <c r="RU2" s="418" t="s">
        <v>2</v>
      </c>
      <c r="RV2" s="389" t="s">
        <v>1</v>
      </c>
      <c r="RW2" s="423" t="s">
        <v>2</v>
      </c>
      <c r="RX2" s="389" t="s">
        <v>1</v>
      </c>
      <c r="RY2" s="428" t="s">
        <v>2</v>
      </c>
      <c r="RZ2" s="389" t="s">
        <v>1</v>
      </c>
      <c r="SA2" s="430" t="s">
        <v>2</v>
      </c>
      <c r="SB2" s="389" t="s">
        <v>1</v>
      </c>
      <c r="SC2" s="430" t="s">
        <v>2</v>
      </c>
      <c r="SD2" s="389" t="s">
        <v>1</v>
      </c>
      <c r="SE2" s="430" t="s">
        <v>2</v>
      </c>
      <c r="SF2" s="389" t="s">
        <v>1</v>
      </c>
      <c r="SG2" s="430" t="s">
        <v>2</v>
      </c>
      <c r="SH2" s="389" t="s">
        <v>1</v>
      </c>
      <c r="SI2" s="430" t="s">
        <v>2</v>
      </c>
      <c r="SJ2" s="389" t="s">
        <v>1</v>
      </c>
      <c r="SK2" s="430" t="s">
        <v>2</v>
      </c>
      <c r="SL2" s="389" t="s">
        <v>1</v>
      </c>
      <c r="SM2" s="430" t="s">
        <v>2</v>
      </c>
      <c r="SN2" s="389" t="s">
        <v>1</v>
      </c>
      <c r="SO2" s="430" t="s">
        <v>2</v>
      </c>
      <c r="SP2" s="389" t="s">
        <v>1</v>
      </c>
      <c r="SQ2" s="430" t="s">
        <v>2</v>
      </c>
      <c r="SR2" s="389" t="s">
        <v>1</v>
      </c>
      <c r="SS2" s="430" t="s">
        <v>2</v>
      </c>
      <c r="ST2" s="389" t="s">
        <v>1</v>
      </c>
      <c r="SU2" s="430" t="s">
        <v>2</v>
      </c>
      <c r="SV2" s="389" t="s">
        <v>1</v>
      </c>
      <c r="SW2" s="430" t="s">
        <v>2</v>
      </c>
      <c r="SX2" s="389" t="s">
        <v>1</v>
      </c>
      <c r="SY2" s="430" t="s">
        <v>2</v>
      </c>
      <c r="SZ2" s="389" t="s">
        <v>1</v>
      </c>
      <c r="TA2" s="430" t="s">
        <v>2</v>
      </c>
      <c r="TB2" s="389" t="s">
        <v>1</v>
      </c>
      <c r="TC2" s="430" t="s">
        <v>2</v>
      </c>
      <c r="TD2" s="389" t="s">
        <v>1</v>
      </c>
      <c r="TE2" s="430" t="s">
        <v>2</v>
      </c>
      <c r="TF2" s="389" t="s">
        <v>1</v>
      </c>
      <c r="TG2" s="430" t="s">
        <v>2</v>
      </c>
      <c r="TH2" s="389" t="s">
        <v>1</v>
      </c>
      <c r="TI2" s="430" t="s">
        <v>2</v>
      </c>
      <c r="TJ2" s="389" t="s">
        <v>1</v>
      </c>
      <c r="TK2" s="430" t="s">
        <v>2</v>
      </c>
      <c r="TL2" s="389" t="s">
        <v>1</v>
      </c>
      <c r="TM2" s="430" t="s">
        <v>2</v>
      </c>
      <c r="TN2" s="389" t="s">
        <v>1</v>
      </c>
      <c r="TO2" s="430" t="s">
        <v>2</v>
      </c>
      <c r="TP2" s="389" t="s">
        <v>1</v>
      </c>
      <c r="TQ2" s="430" t="s">
        <v>2</v>
      </c>
      <c r="TR2" s="389" t="s">
        <v>1</v>
      </c>
      <c r="TS2" s="430" t="s">
        <v>2</v>
      </c>
      <c r="TT2" s="389" t="s">
        <v>1</v>
      </c>
      <c r="TU2" s="430" t="s">
        <v>2</v>
      </c>
      <c r="TV2" s="389" t="s">
        <v>1</v>
      </c>
      <c r="TW2" s="430" t="s">
        <v>2</v>
      </c>
      <c r="TX2" s="389" t="s">
        <v>1</v>
      </c>
      <c r="TY2" s="430" t="s">
        <v>2</v>
      </c>
      <c r="TZ2" s="389" t="s">
        <v>1</v>
      </c>
      <c r="UA2" s="430" t="s">
        <v>2</v>
      </c>
      <c r="UB2" s="389" t="s">
        <v>1</v>
      </c>
      <c r="UC2" s="430" t="s">
        <v>2</v>
      </c>
      <c r="UD2" s="389" t="s">
        <v>1</v>
      </c>
      <c r="UE2" s="430" t="s">
        <v>2</v>
      </c>
      <c r="UF2" s="389" t="s">
        <v>1</v>
      </c>
      <c r="UG2" s="430" t="s">
        <v>2</v>
      </c>
      <c r="UH2" s="389" t="s">
        <v>1</v>
      </c>
      <c r="UI2" s="430" t="s">
        <v>2</v>
      </c>
      <c r="UJ2" s="389" t="s">
        <v>1</v>
      </c>
      <c r="UK2" s="430" t="s">
        <v>2</v>
      </c>
      <c r="UL2" s="389" t="s">
        <v>1</v>
      </c>
      <c r="UM2" s="430" t="s">
        <v>2</v>
      </c>
      <c r="UN2" s="389" t="s">
        <v>1</v>
      </c>
      <c r="UO2" s="430" t="s">
        <v>2</v>
      </c>
      <c r="UP2" s="389" t="s">
        <v>1</v>
      </c>
      <c r="UQ2" s="430" t="s">
        <v>2</v>
      </c>
      <c r="UR2" s="389" t="s">
        <v>1</v>
      </c>
      <c r="US2" s="430" t="s">
        <v>2</v>
      </c>
      <c r="UT2" s="389" t="s">
        <v>1</v>
      </c>
      <c r="UU2" s="430" t="s">
        <v>2</v>
      </c>
      <c r="UV2" s="560" t="s">
        <v>1</v>
      </c>
      <c r="UW2" s="430" t="s">
        <v>2</v>
      </c>
      <c r="UX2" s="563" t="s">
        <v>1</v>
      </c>
      <c r="UY2" s="430" t="s">
        <v>2</v>
      </c>
      <c r="UZ2" s="567" t="s">
        <v>1</v>
      </c>
      <c r="VA2" s="430" t="s">
        <v>2</v>
      </c>
      <c r="VB2" s="569" t="s">
        <v>1</v>
      </c>
      <c r="VC2" s="430" t="s">
        <v>2</v>
      </c>
      <c r="VD2" s="574" t="s">
        <v>1</v>
      </c>
      <c r="VE2" s="430" t="s">
        <v>2</v>
      </c>
      <c r="VF2" s="577" t="s">
        <v>1</v>
      </c>
      <c r="VG2" s="430" t="s">
        <v>2</v>
      </c>
      <c r="VH2" s="582" t="s">
        <v>1</v>
      </c>
      <c r="VI2" s="430" t="s">
        <v>2</v>
      </c>
      <c r="VJ2" s="588" t="s">
        <v>1</v>
      </c>
      <c r="VK2" s="430" t="s">
        <v>2</v>
      </c>
      <c r="VL2" s="590" t="s">
        <v>1</v>
      </c>
      <c r="VM2" s="430" t="s">
        <v>2</v>
      </c>
      <c r="VN2" s="595" t="s">
        <v>1</v>
      </c>
      <c r="VO2" s="430" t="s">
        <v>2</v>
      </c>
      <c r="VP2" s="598" t="s">
        <v>1</v>
      </c>
      <c r="VQ2" s="430" t="s">
        <v>2</v>
      </c>
      <c r="VR2" s="602" t="s">
        <v>1</v>
      </c>
      <c r="VS2" s="430" t="s">
        <v>2</v>
      </c>
      <c r="VT2" s="604" t="s">
        <v>1</v>
      </c>
      <c r="VU2" s="430" t="s">
        <v>2</v>
      </c>
      <c r="VV2" s="608" t="s">
        <v>1</v>
      </c>
      <c r="VW2" s="430" t="s">
        <v>2</v>
      </c>
      <c r="VX2" s="610" t="s">
        <v>1</v>
      </c>
      <c r="VY2" s="430" t="s">
        <v>2</v>
      </c>
      <c r="VZ2" s="615" t="s">
        <v>1</v>
      </c>
      <c r="WA2" s="430" t="s">
        <v>2</v>
      </c>
      <c r="WB2" s="618" t="s">
        <v>1</v>
      </c>
      <c r="WC2" s="430" t="s">
        <v>2</v>
      </c>
      <c r="WD2" s="622" t="s">
        <v>1</v>
      </c>
      <c r="WE2" s="430" t="s">
        <v>2</v>
      </c>
      <c r="WF2" s="625" t="s">
        <v>1</v>
      </c>
      <c r="WG2" s="430" t="s">
        <v>2</v>
      </c>
      <c r="WH2" s="628" t="s">
        <v>1</v>
      </c>
      <c r="WI2" s="430" t="s">
        <v>2</v>
      </c>
      <c r="WJ2" s="631" t="s">
        <v>1</v>
      </c>
      <c r="WK2" s="430" t="s">
        <v>2</v>
      </c>
      <c r="WL2" s="637" t="s">
        <v>1</v>
      </c>
      <c r="WM2" s="430" t="s">
        <v>2</v>
      </c>
      <c r="WN2" s="639" t="s">
        <v>1</v>
      </c>
      <c r="WO2" s="430" t="s">
        <v>2</v>
      </c>
      <c r="WP2" s="644" t="s">
        <v>1</v>
      </c>
      <c r="WQ2" s="430" t="s">
        <v>2</v>
      </c>
      <c r="WR2" s="647" t="s">
        <v>1</v>
      </c>
      <c r="WS2" s="430" t="s">
        <v>2</v>
      </c>
      <c r="WT2" s="656" t="s">
        <v>1</v>
      </c>
      <c r="WU2" s="430" t="s">
        <v>2</v>
      </c>
      <c r="WV2" s="656" t="s">
        <v>1</v>
      </c>
      <c r="WW2" s="430" t="s">
        <v>2</v>
      </c>
      <c r="WX2" s="667" t="s">
        <v>1</v>
      </c>
      <c r="WY2" s="430" t="s">
        <v>2</v>
      </c>
      <c r="WZ2" s="675" t="s">
        <v>1</v>
      </c>
      <c r="XA2" s="430" t="s">
        <v>2</v>
      </c>
      <c r="XB2" s="678" t="s">
        <v>1</v>
      </c>
      <c r="XC2" s="430" t="s">
        <v>2</v>
      </c>
      <c r="XD2" s="682" t="s">
        <v>1</v>
      </c>
      <c r="XE2" s="430" t="s">
        <v>2</v>
      </c>
      <c r="XF2" s="684" t="s">
        <v>1</v>
      </c>
      <c r="XG2" s="430" t="s">
        <v>2</v>
      </c>
      <c r="XH2" s="688" t="s">
        <v>1</v>
      </c>
      <c r="XI2" s="430" t="s">
        <v>2</v>
      </c>
      <c r="XJ2" s="690" t="s">
        <v>1</v>
      </c>
      <c r="XK2" s="430" t="s">
        <v>2</v>
      </c>
      <c r="XL2" s="690" t="s">
        <v>1</v>
      </c>
      <c r="XM2" s="430" t="s">
        <v>2</v>
      </c>
      <c r="XN2" s="690" t="s">
        <v>1</v>
      </c>
      <c r="XO2" s="430" t="s">
        <v>2</v>
      </c>
      <c r="XP2" s="698" t="s">
        <v>1</v>
      </c>
      <c r="XQ2" s="430" t="s">
        <v>2</v>
      </c>
      <c r="XR2" s="702" t="s">
        <v>1</v>
      </c>
      <c r="XS2" s="430" t="s">
        <v>2</v>
      </c>
      <c r="XT2" s="707" t="s">
        <v>1</v>
      </c>
      <c r="XU2" s="430" t="s">
        <v>2</v>
      </c>
      <c r="XV2" s="710" t="s">
        <v>1</v>
      </c>
      <c r="XW2" s="430" t="s">
        <v>2</v>
      </c>
    </row>
    <row r="3" spans="2:647" x14ac:dyDescent="0.25">
      <c r="B3" s="755" t="s">
        <v>6</v>
      </c>
      <c r="C3" s="759" t="s">
        <v>9</v>
      </c>
      <c r="D3" s="757" t="s">
        <v>14</v>
      </c>
      <c r="E3" s="757"/>
      <c r="F3" s="57">
        <v>0.1</v>
      </c>
      <c r="G3" s="767" t="s">
        <v>5</v>
      </c>
      <c r="H3" s="3">
        <v>-2.5499999999999998</v>
      </c>
      <c r="I3" s="1">
        <v>0.35714285714285715</v>
      </c>
      <c r="J3" s="3">
        <v>-1.4900000000000002</v>
      </c>
      <c r="K3" s="1">
        <v>0.30769230769230771</v>
      </c>
      <c r="L3" s="3">
        <v>-7.75</v>
      </c>
      <c r="M3" s="1">
        <v>0.30769230769230771</v>
      </c>
      <c r="N3" s="3">
        <v>-1.51</v>
      </c>
      <c r="O3" s="1">
        <v>0.2857142857142857</v>
      </c>
      <c r="P3" s="3">
        <v>-3.2199999999999998</v>
      </c>
      <c r="Q3" s="1">
        <v>0.35714285714285715</v>
      </c>
      <c r="R3" s="3">
        <v>-5.2600000000000007</v>
      </c>
      <c r="S3" s="1">
        <v>0.21428571428571427</v>
      </c>
      <c r="T3" s="3"/>
      <c r="U3" s="1"/>
      <c r="V3" s="3">
        <v>-4.0599999999999996</v>
      </c>
      <c r="W3" s="1">
        <v>0.2857142857142857</v>
      </c>
      <c r="X3" s="3"/>
      <c r="Y3" s="1"/>
      <c r="Z3" s="3">
        <v>-2.13</v>
      </c>
      <c r="AA3" s="1">
        <v>0.2857142857142857</v>
      </c>
      <c r="AB3" s="3"/>
      <c r="AC3" s="1"/>
      <c r="AD3" s="3">
        <v>-0.18000000000000005</v>
      </c>
      <c r="AE3" s="1">
        <v>0.5</v>
      </c>
      <c r="AF3" s="3"/>
      <c r="AG3" s="1"/>
      <c r="AH3" s="3">
        <v>1.0700000000000003</v>
      </c>
      <c r="AI3" s="1">
        <v>0.5714285714285714</v>
      </c>
      <c r="AJ3" s="3">
        <v>-5.6</v>
      </c>
      <c r="AK3" s="1">
        <v>0.21428571428571427</v>
      </c>
      <c r="AL3" s="3">
        <v>-0.60000000000000009</v>
      </c>
      <c r="AM3" s="1">
        <v>0.46153846153846156</v>
      </c>
      <c r="AN3" s="3"/>
      <c r="AO3" s="1"/>
      <c r="AP3" s="3">
        <v>-0.55000000000000004</v>
      </c>
      <c r="AQ3" s="1">
        <v>0.2857142857142857</v>
      </c>
      <c r="AR3" s="3">
        <v>-1.9300000000000004</v>
      </c>
      <c r="AS3" s="1">
        <v>0.21428571428571427</v>
      </c>
      <c r="AT3" s="3"/>
      <c r="AU3" s="1"/>
      <c r="AV3" s="3">
        <v>-2.62</v>
      </c>
      <c r="AW3" s="1">
        <v>0.2857142857142857</v>
      </c>
      <c r="AX3" s="3">
        <v>-1.5799999999999998</v>
      </c>
      <c r="AY3" s="1">
        <v>0.42857142857142855</v>
      </c>
      <c r="AZ3" s="3">
        <v>-0.6499999999999998</v>
      </c>
      <c r="BA3" s="1">
        <v>0.5714285714285714</v>
      </c>
      <c r="BB3" s="3">
        <v>-2.4400000000000004</v>
      </c>
      <c r="BC3" s="1">
        <v>0.21428571428571427</v>
      </c>
      <c r="BD3" s="3">
        <v>-3.5599999999999996</v>
      </c>
      <c r="BE3" s="1">
        <v>0.2857142857142857</v>
      </c>
      <c r="BF3" s="3">
        <v>-8.0400000000000009</v>
      </c>
      <c r="BG3" s="1">
        <v>0.2857142857142857</v>
      </c>
      <c r="BH3" s="3"/>
      <c r="BI3" s="1"/>
      <c r="BJ3" s="3">
        <v>-7.8199999999999994</v>
      </c>
      <c r="BK3" s="1">
        <v>0.23076923076923078</v>
      </c>
      <c r="BL3" s="3">
        <v>-4.7799999999999994</v>
      </c>
      <c r="BM3" s="1">
        <v>0.38461538461538464</v>
      </c>
      <c r="BN3" s="3"/>
      <c r="BO3" s="1"/>
      <c r="BP3" s="3">
        <v>0.1399999999999999</v>
      </c>
      <c r="BQ3" s="1">
        <v>0.6428571428571429</v>
      </c>
      <c r="BR3" s="3">
        <v>1.1499999999999997</v>
      </c>
      <c r="BS3" s="1">
        <v>0.5</v>
      </c>
      <c r="BT3" s="3"/>
      <c r="BU3" s="1"/>
      <c r="BV3" s="3">
        <v>-4.3599999999999994</v>
      </c>
      <c r="BW3" s="1">
        <v>0.2857142857142857</v>
      </c>
      <c r="BX3" s="3">
        <v>4.47</v>
      </c>
      <c r="BY3" s="1">
        <v>0.61538461538461542</v>
      </c>
      <c r="BZ3" s="3">
        <v>-5.1099999999999994</v>
      </c>
      <c r="CA3" s="1">
        <v>0.15384615384615385</v>
      </c>
      <c r="CB3" s="3">
        <v>-3.13</v>
      </c>
      <c r="CC3" s="1">
        <v>0.35714285714285715</v>
      </c>
      <c r="CD3" s="3">
        <v>-0.34000000000000008</v>
      </c>
      <c r="CE3" s="1">
        <v>0.5</v>
      </c>
      <c r="CF3" s="3"/>
      <c r="CG3" s="1"/>
      <c r="CH3" s="3"/>
      <c r="CI3" s="1"/>
      <c r="CJ3" s="3">
        <v>-5.4799999999999995</v>
      </c>
      <c r="CK3" s="1">
        <v>0.42857142857142855</v>
      </c>
      <c r="CL3" s="3">
        <v>1.42</v>
      </c>
      <c r="CM3" s="1">
        <v>0.38461538461538464</v>
      </c>
      <c r="CN3" s="3">
        <v>-2.93</v>
      </c>
      <c r="CO3" s="1">
        <v>7.1428571428571425E-2</v>
      </c>
      <c r="CP3" s="3">
        <v>3.0000000000000471E-2</v>
      </c>
      <c r="CQ3" s="1">
        <v>0.35714285714285715</v>
      </c>
      <c r="CR3" s="3">
        <v>-1.8199999999999998</v>
      </c>
      <c r="CS3" s="1">
        <v>0.2857142857142857</v>
      </c>
      <c r="CT3" s="3">
        <v>-2.7400000000000007</v>
      </c>
      <c r="CU3" s="1">
        <v>0.38461538461538464</v>
      </c>
      <c r="CV3" s="3">
        <v>-7.1400000000000006</v>
      </c>
      <c r="CW3" s="1">
        <v>0.23076923076923078</v>
      </c>
      <c r="CX3" s="3">
        <v>-3.45</v>
      </c>
      <c r="CY3" s="1">
        <v>0.42857142857142855</v>
      </c>
      <c r="CZ3" s="3"/>
      <c r="DA3" s="1"/>
      <c r="DB3" s="3">
        <v>3.1899999999999995</v>
      </c>
      <c r="DC3" s="1">
        <v>0.46153846153846156</v>
      </c>
      <c r="DD3" s="3">
        <v>-5.7800000000000011</v>
      </c>
      <c r="DE3" s="1">
        <v>0.42857142857142855</v>
      </c>
      <c r="DF3" s="3">
        <v>-3.87</v>
      </c>
      <c r="DG3" s="1">
        <v>0.42857142857142855</v>
      </c>
      <c r="DH3" s="3">
        <v>-5.48</v>
      </c>
      <c r="DI3" s="1">
        <v>0.42857142857142855</v>
      </c>
      <c r="DJ3" s="3">
        <v>-2.9499999999999997</v>
      </c>
      <c r="DK3" s="1">
        <v>0.42857142857142855</v>
      </c>
      <c r="DL3" s="3">
        <v>-0.10999999999999999</v>
      </c>
      <c r="DM3" s="1">
        <v>0.42857142857142855</v>
      </c>
      <c r="DN3" s="3">
        <v>-2.1500000000000004</v>
      </c>
      <c r="DO3" s="1">
        <v>0.35714285714285715</v>
      </c>
      <c r="DP3" s="3"/>
      <c r="DQ3" s="1"/>
      <c r="DR3" s="3">
        <v>-4.9350000000000014</v>
      </c>
      <c r="DS3" s="1">
        <v>0.4375</v>
      </c>
      <c r="DT3" s="3">
        <v>-0.88</v>
      </c>
      <c r="DU3" s="1">
        <v>0.5714285714285714</v>
      </c>
      <c r="DV3" s="3">
        <v>-2.4799999999999995</v>
      </c>
      <c r="DW3" s="1">
        <v>0.38461538461538464</v>
      </c>
      <c r="DX3" s="3">
        <v>-2.4799999999999995</v>
      </c>
      <c r="DY3" s="1">
        <v>0.38461538461538464</v>
      </c>
      <c r="DZ3" s="3">
        <v>-2.59</v>
      </c>
      <c r="EA3" s="1">
        <v>0.35714285714285715</v>
      </c>
      <c r="EB3" s="3">
        <v>-3.0099999999999993</v>
      </c>
      <c r="EC3" s="1">
        <v>0.21428571428571427</v>
      </c>
      <c r="ED3" s="3">
        <v>-1.8800000000000003</v>
      </c>
      <c r="EE3" s="1">
        <v>0.42857142857142855</v>
      </c>
      <c r="EF3" s="3">
        <v>-4.04</v>
      </c>
      <c r="EG3" s="1">
        <v>0.35714285714285715</v>
      </c>
      <c r="EH3" s="3">
        <v>-3.56</v>
      </c>
      <c r="EI3" s="1">
        <v>0.2857142857142857</v>
      </c>
      <c r="EJ3" s="3"/>
      <c r="EK3" s="1"/>
      <c r="EL3" s="3"/>
      <c r="EM3" s="1"/>
      <c r="EN3" s="3">
        <v>-2.76</v>
      </c>
      <c r="EO3" s="1">
        <v>0.38461538461538464</v>
      </c>
      <c r="EP3" s="3"/>
      <c r="EQ3" s="1"/>
      <c r="ER3" s="3">
        <v>-0.98999999999999977</v>
      </c>
      <c r="ES3" s="1">
        <v>0.5714285714285714</v>
      </c>
      <c r="ET3" s="3">
        <v>-1.9399999999999997</v>
      </c>
      <c r="EU3" s="1">
        <v>0.35714285714285715</v>
      </c>
      <c r="EV3" s="3">
        <v>-1.19</v>
      </c>
      <c r="EW3" s="1">
        <v>0.2857142857142857</v>
      </c>
      <c r="EX3" s="3">
        <v>-3.7199999999999998</v>
      </c>
      <c r="EY3" s="1">
        <v>0.42857142857142855</v>
      </c>
      <c r="EZ3" s="3"/>
      <c r="FA3" s="1"/>
      <c r="FB3" s="3">
        <v>-2.54</v>
      </c>
      <c r="FC3" s="1">
        <v>0.38461538461538464</v>
      </c>
      <c r="FD3" s="3">
        <v>2.2599999999999998</v>
      </c>
      <c r="FE3" s="1">
        <v>0.6428571428571429</v>
      </c>
      <c r="FF3" s="3">
        <v>-2.27</v>
      </c>
      <c r="FG3" s="1">
        <v>0.2857142857142857</v>
      </c>
      <c r="FH3" s="3">
        <v>-4.7499999999999991</v>
      </c>
      <c r="FI3" s="1">
        <v>8.3333333333333329E-2</v>
      </c>
      <c r="FJ3" s="3">
        <v>3.24</v>
      </c>
      <c r="FK3" s="1">
        <v>0.7142857142857143</v>
      </c>
      <c r="FL3" s="3">
        <v>-8.3000000000000007</v>
      </c>
      <c r="FM3" s="1">
        <v>0.5</v>
      </c>
      <c r="FN3" s="3">
        <v>1.1800000000000004</v>
      </c>
      <c r="FO3" s="1">
        <v>0.6428571428571429</v>
      </c>
      <c r="FP3" s="3">
        <v>-6.7200000000000006</v>
      </c>
      <c r="FQ3" s="1">
        <v>0.21428571428571427</v>
      </c>
      <c r="FR3" s="3">
        <v>-0.89999999999999991</v>
      </c>
      <c r="FS3" s="1">
        <v>0.42857142857142855</v>
      </c>
      <c r="FT3" s="3">
        <v>-3.6</v>
      </c>
      <c r="FU3" s="1">
        <v>0.21428571428571427</v>
      </c>
      <c r="FV3" s="3">
        <v>-1.69</v>
      </c>
      <c r="FW3" s="1">
        <v>0.21428571428571427</v>
      </c>
      <c r="FX3" s="3">
        <v>-2.9</v>
      </c>
      <c r="FY3" s="1">
        <v>0.35714285714285715</v>
      </c>
      <c r="FZ3" s="3">
        <v>-1.43</v>
      </c>
      <c r="GA3" s="1">
        <v>0.35714285714285715</v>
      </c>
      <c r="GB3" s="3">
        <v>-2.0599999999999996</v>
      </c>
      <c r="GC3" s="1">
        <v>0.35714285714285715</v>
      </c>
      <c r="GD3" s="3">
        <v>-0.99000000000000021</v>
      </c>
      <c r="GE3" s="1">
        <v>0.35714285714285715</v>
      </c>
      <c r="GF3" s="3">
        <v>-1.2599999999999998</v>
      </c>
      <c r="GG3" s="1">
        <v>0.42857142857142855</v>
      </c>
      <c r="GH3" s="3">
        <v>-3.1099999999999994</v>
      </c>
      <c r="GI3" s="1">
        <v>0.42857142857142855</v>
      </c>
      <c r="GJ3" s="3">
        <v>-0.94000000000000006</v>
      </c>
      <c r="GK3" s="1">
        <v>0.46153846153846156</v>
      </c>
      <c r="GL3" s="3">
        <v>-4.63</v>
      </c>
      <c r="GM3" s="1">
        <v>0.42857142857142855</v>
      </c>
      <c r="GN3" s="3"/>
      <c r="GO3" s="1"/>
      <c r="GP3" s="3">
        <v>0.81</v>
      </c>
      <c r="GQ3" s="1">
        <v>0.5714285714285714</v>
      </c>
      <c r="GR3" s="3">
        <v>-5.8</v>
      </c>
      <c r="GS3" s="1">
        <v>0.42857142857142855</v>
      </c>
      <c r="GT3" s="3">
        <v>-1.8199999999999998</v>
      </c>
      <c r="GU3" s="1">
        <v>0.5</v>
      </c>
      <c r="GV3" s="3">
        <v>-3.8199999999999994</v>
      </c>
      <c r="GW3" s="1">
        <v>0.42857142857142855</v>
      </c>
      <c r="GX3" s="3">
        <v>-3.22</v>
      </c>
      <c r="GY3" s="1">
        <v>0.23076923076923078</v>
      </c>
      <c r="GZ3" s="3"/>
      <c r="HA3" s="1"/>
      <c r="HB3" s="3">
        <v>1.8800000000000003</v>
      </c>
      <c r="HC3" s="1">
        <v>0.38461538461538464</v>
      </c>
      <c r="HD3" s="76">
        <v>-3.58</v>
      </c>
      <c r="HE3" s="1">
        <v>0.14285714285714285</v>
      </c>
      <c r="HF3" s="78">
        <v>-2.3600000000000003</v>
      </c>
      <c r="HG3" s="1">
        <v>0.21428571428571427</v>
      </c>
      <c r="HH3" s="79">
        <v>-1.6200000000000003</v>
      </c>
      <c r="HI3" s="1">
        <v>0.5</v>
      </c>
      <c r="HJ3" s="80">
        <v>-0.69000000000000006</v>
      </c>
      <c r="HK3" s="1">
        <v>0.46153846153846156</v>
      </c>
      <c r="HL3" s="81">
        <v>1.1000000000000001</v>
      </c>
      <c r="HM3" s="1">
        <v>0.5714285714285714</v>
      </c>
      <c r="HN3" s="82">
        <v>-3.05</v>
      </c>
      <c r="HO3" s="1">
        <v>0.25</v>
      </c>
      <c r="HP3" s="83">
        <v>-3.4099999999999997</v>
      </c>
      <c r="HQ3" s="1">
        <v>0.14285714285714285</v>
      </c>
      <c r="HR3" s="84">
        <v>-2.2200000000000002</v>
      </c>
      <c r="HS3" s="1">
        <v>0.2857142857142857</v>
      </c>
      <c r="HT3" s="85">
        <v>-3.5800000000000005</v>
      </c>
      <c r="HU3" s="1">
        <v>0.21428571428571427</v>
      </c>
      <c r="HV3" s="88">
        <v>1.9999999999999629E-2</v>
      </c>
      <c r="HW3" s="1">
        <v>0.2857142857142857</v>
      </c>
      <c r="HX3" s="89"/>
      <c r="HY3" s="1"/>
      <c r="HZ3" s="91"/>
      <c r="IA3" s="1"/>
      <c r="IB3" s="92">
        <v>-4.46</v>
      </c>
      <c r="IC3" s="1">
        <v>0.2857142857142857</v>
      </c>
      <c r="ID3" s="93">
        <v>6.19</v>
      </c>
      <c r="IE3" s="1">
        <v>0.46153846153846156</v>
      </c>
      <c r="IF3" s="94">
        <v>-2.3599999999999994</v>
      </c>
      <c r="IG3" s="1">
        <v>0.21428571428571427</v>
      </c>
      <c r="IH3" s="97">
        <v>-0.3600000000000001</v>
      </c>
      <c r="II3" s="1">
        <v>0.35714285714285715</v>
      </c>
      <c r="IJ3" s="98">
        <v>-6.1999999999999993</v>
      </c>
      <c r="IK3" s="1">
        <v>0.42857142857142855</v>
      </c>
      <c r="IL3" s="99">
        <v>-2.4000000000000004</v>
      </c>
      <c r="IM3" s="1">
        <v>0.42857142857142855</v>
      </c>
      <c r="IN3" s="100">
        <v>-6.1999999999999993</v>
      </c>
      <c r="IO3" s="1">
        <v>0.14285714285714285</v>
      </c>
      <c r="IP3" s="101">
        <v>-4.7699999999999996</v>
      </c>
      <c r="IQ3" s="1">
        <v>0.35714285714285715</v>
      </c>
      <c r="IR3" s="102"/>
      <c r="IS3" s="1"/>
      <c r="IT3" s="103"/>
      <c r="IU3" s="1"/>
      <c r="IV3" s="104">
        <v>-1.1600000000000001</v>
      </c>
      <c r="IW3" s="1">
        <v>0.42857142857142855</v>
      </c>
      <c r="IX3" s="104">
        <v>-5.6099999999999994</v>
      </c>
      <c r="IY3" s="1">
        <v>0.2857142857142857</v>
      </c>
      <c r="IZ3" s="105"/>
      <c r="JA3" s="1"/>
      <c r="JB3" s="112"/>
      <c r="JC3" s="1"/>
      <c r="JD3" s="113"/>
      <c r="JE3" s="1"/>
      <c r="JF3" s="114">
        <v>-3.75</v>
      </c>
      <c r="JG3" s="1">
        <v>0.21428571428571427</v>
      </c>
      <c r="JH3" s="115">
        <v>-1.38</v>
      </c>
      <c r="JI3" s="1">
        <v>0.42857142857142855</v>
      </c>
      <c r="JJ3" s="116">
        <v>-2.5</v>
      </c>
      <c r="JK3" s="1">
        <v>0.35714285714285715</v>
      </c>
      <c r="JL3" s="117">
        <v>-2.4000000000000008</v>
      </c>
      <c r="JM3" s="1">
        <v>0.35714285714285715</v>
      </c>
      <c r="JN3" s="118">
        <v>-1.0700000000000003</v>
      </c>
      <c r="JO3" s="1">
        <v>0.35714285714285715</v>
      </c>
      <c r="JP3" s="119">
        <v>-7.47</v>
      </c>
      <c r="JQ3" s="1">
        <v>0</v>
      </c>
      <c r="JR3" s="120">
        <v>-3.51</v>
      </c>
      <c r="JS3" s="1">
        <v>0.2857142857142857</v>
      </c>
      <c r="JT3" s="122"/>
      <c r="JU3" s="1"/>
      <c r="JV3" s="126"/>
      <c r="JW3" s="1"/>
      <c r="JX3" s="132"/>
      <c r="JY3" s="1"/>
      <c r="JZ3" s="133">
        <v>-2.06</v>
      </c>
      <c r="KA3" s="1">
        <v>0.35714285714285715</v>
      </c>
      <c r="KB3" s="138">
        <v>-2.3800000000000003</v>
      </c>
      <c r="KC3" s="1">
        <v>0.35714285714285715</v>
      </c>
      <c r="KD3" s="140">
        <v>-4.5999999999999996</v>
      </c>
      <c r="KE3" s="1">
        <v>0.2857142857142857</v>
      </c>
      <c r="KF3" s="144">
        <v>-6.870000000000001</v>
      </c>
      <c r="KG3" s="1">
        <v>0.21428571428571427</v>
      </c>
      <c r="KH3" s="148">
        <v>-0.98999999999999977</v>
      </c>
      <c r="KI3" s="1">
        <v>0.5</v>
      </c>
      <c r="KJ3" s="152">
        <v>-1.19</v>
      </c>
      <c r="KK3" s="1">
        <v>0.5714285714285714</v>
      </c>
      <c r="KL3" s="156">
        <v>-2.86</v>
      </c>
      <c r="KM3" s="1">
        <v>0.15384615384615385</v>
      </c>
      <c r="KN3" s="160">
        <v>-2.1500000000000004</v>
      </c>
      <c r="KO3" s="1">
        <v>0.5</v>
      </c>
      <c r="KP3" s="163"/>
      <c r="KQ3" s="1"/>
      <c r="KR3" s="165">
        <v>-6.0000000000000595E-2</v>
      </c>
      <c r="KS3" s="1">
        <v>0.23076923076923078</v>
      </c>
      <c r="KT3" s="168"/>
      <c r="KU3" s="1"/>
      <c r="KV3" s="171">
        <v>-3.73</v>
      </c>
      <c r="KW3" s="1">
        <v>0.21428571428571427</v>
      </c>
      <c r="KX3" s="174">
        <v>-2.67</v>
      </c>
      <c r="KY3" s="1">
        <v>0.35714285714285715</v>
      </c>
      <c r="KZ3" s="179">
        <v>2.2199999999999989</v>
      </c>
      <c r="LA3" s="1">
        <v>0.61538461538461542</v>
      </c>
      <c r="LB3" s="183">
        <v>-5.1999999999999993</v>
      </c>
      <c r="LC3" s="1">
        <v>0.35714285714285715</v>
      </c>
      <c r="LD3" s="187">
        <v>3.5900000000000003</v>
      </c>
      <c r="LE3" s="1">
        <v>0.61538461538461542</v>
      </c>
      <c r="LF3" s="189">
        <v>4.5</v>
      </c>
      <c r="LG3" s="1">
        <v>0.46153846153846156</v>
      </c>
      <c r="LH3" s="191">
        <v>8.740000000000002</v>
      </c>
      <c r="LI3" s="1">
        <v>0.6428571428571429</v>
      </c>
      <c r="LJ3" s="194"/>
      <c r="LK3" s="1"/>
      <c r="LL3" s="196"/>
      <c r="LM3" s="1"/>
      <c r="LN3" s="198">
        <v>-8.02</v>
      </c>
      <c r="LO3" s="1">
        <v>7.1428571428571425E-2</v>
      </c>
      <c r="LP3" s="200">
        <v>2.1900000000000004</v>
      </c>
      <c r="LQ3" s="1">
        <v>0.6428571428571429</v>
      </c>
      <c r="LR3" s="202">
        <v>1.0199999999999996</v>
      </c>
      <c r="LS3" s="1">
        <v>0.5714285714285714</v>
      </c>
      <c r="LT3" s="204">
        <v>-1.5099999999999993</v>
      </c>
      <c r="LU3" s="1">
        <v>0.2857142857142857</v>
      </c>
      <c r="LV3" s="206">
        <v>9.66</v>
      </c>
      <c r="LW3" s="1">
        <v>0.83333333333333337</v>
      </c>
      <c r="LX3" s="208">
        <v>-0.15999999999999959</v>
      </c>
      <c r="LY3" s="1">
        <v>0.38461538461538464</v>
      </c>
      <c r="LZ3" s="210">
        <v>-4.2500000000000009</v>
      </c>
      <c r="MA3" s="1">
        <v>0.58333333333333337</v>
      </c>
      <c r="MB3" s="212">
        <v>5.9300000000000015</v>
      </c>
      <c r="MC3" s="1">
        <v>0.6428571428571429</v>
      </c>
      <c r="MD3" s="214"/>
      <c r="ME3" s="1"/>
      <c r="MF3" s="216">
        <v>2.95</v>
      </c>
      <c r="MG3" s="1">
        <v>0.5</v>
      </c>
      <c r="MH3" s="218">
        <v>5.46</v>
      </c>
      <c r="MI3" s="1">
        <v>0.66666666666666663</v>
      </c>
      <c r="MJ3" s="220">
        <v>-6.0000000000000053E-2</v>
      </c>
      <c r="MK3" s="1">
        <v>0.5</v>
      </c>
      <c r="ML3" s="222">
        <v>-2.46</v>
      </c>
      <c r="MM3" s="1">
        <v>0.33333333333333331</v>
      </c>
      <c r="MN3" s="224">
        <v>2.0099999999999998</v>
      </c>
      <c r="MO3" s="1">
        <v>1</v>
      </c>
      <c r="MP3" s="226">
        <v>1.5</v>
      </c>
      <c r="MQ3" s="1">
        <v>1</v>
      </c>
      <c r="MR3" s="228">
        <v>1.68</v>
      </c>
      <c r="MS3" s="1">
        <v>0.5</v>
      </c>
      <c r="MT3" s="230">
        <v>3.7699999999999996</v>
      </c>
      <c r="MU3" s="1">
        <v>0.5</v>
      </c>
      <c r="MV3" s="232">
        <v>0.25999999999999984</v>
      </c>
      <c r="MW3" s="1">
        <v>0.6</v>
      </c>
      <c r="MX3" s="234">
        <v>-10.53</v>
      </c>
      <c r="MY3" s="1">
        <v>0</v>
      </c>
      <c r="MZ3" s="236">
        <v>-4.8200000000000012</v>
      </c>
      <c r="NA3" s="1">
        <v>0.42857142857142855</v>
      </c>
      <c r="NB3" s="238">
        <v>-3.1</v>
      </c>
      <c r="NC3" s="1">
        <v>0.41666666666666669</v>
      </c>
      <c r="ND3" s="240"/>
      <c r="NE3" s="1"/>
      <c r="NF3" s="242">
        <v>6.6300000000000008</v>
      </c>
      <c r="NG3" s="1">
        <v>0.63636363636363635</v>
      </c>
      <c r="NH3" s="244">
        <v>6.6300000000000008</v>
      </c>
      <c r="NI3" s="1">
        <v>0.63636363636363635</v>
      </c>
      <c r="NJ3" s="244">
        <v>0.73999999999999966</v>
      </c>
      <c r="NK3" s="1">
        <v>0.53846153846153844</v>
      </c>
      <c r="NL3" s="246"/>
      <c r="NM3" s="1"/>
      <c r="NN3" s="248"/>
      <c r="NO3" s="1"/>
      <c r="NP3" s="250">
        <v>2.4199999999999995</v>
      </c>
      <c r="NQ3" s="1">
        <v>0.55555555555555558</v>
      </c>
      <c r="NR3" s="252">
        <v>4.2000000000000011</v>
      </c>
      <c r="NS3" s="1">
        <v>0.55555555555555558</v>
      </c>
      <c r="NT3" s="254">
        <v>-1.2200000000000002</v>
      </c>
      <c r="NU3" s="1">
        <v>0.3</v>
      </c>
      <c r="NV3" s="256">
        <v>5.7299999999999986</v>
      </c>
      <c r="NW3" s="1">
        <v>0.8</v>
      </c>
      <c r="NX3" s="258">
        <v>-5.67</v>
      </c>
      <c r="NY3" s="1">
        <v>0.5</v>
      </c>
      <c r="NZ3" s="260">
        <v>4.2100000000000009</v>
      </c>
      <c r="OA3" s="1">
        <v>0.5</v>
      </c>
      <c r="OB3" s="262">
        <v>-1.2899999999999998</v>
      </c>
      <c r="OC3" s="1">
        <v>0.14285714285714285</v>
      </c>
      <c r="OD3" s="264">
        <v>-6.6000000000000014</v>
      </c>
      <c r="OE3" s="1">
        <v>0.22222222222222221</v>
      </c>
      <c r="OF3" s="266">
        <v>-2.3600000000000003</v>
      </c>
      <c r="OG3" s="1">
        <v>0.42857142857142855</v>
      </c>
      <c r="OH3" s="268">
        <v>-4.1599999999999993</v>
      </c>
      <c r="OI3" s="1">
        <v>0.33333333333333331</v>
      </c>
      <c r="OJ3" s="270"/>
      <c r="OK3" s="1"/>
      <c r="OL3" s="272">
        <v>-8.67</v>
      </c>
      <c r="OM3" s="1">
        <v>0.2857142857142857</v>
      </c>
      <c r="ON3" s="274">
        <v>9.1</v>
      </c>
      <c r="OO3" s="1">
        <v>0.5714285714285714</v>
      </c>
      <c r="OP3" s="276">
        <v>-0.73</v>
      </c>
      <c r="OQ3" s="1">
        <v>0.35714285714285715</v>
      </c>
      <c r="OR3" s="278">
        <v>-2.2100000000000004</v>
      </c>
      <c r="OS3" s="1">
        <v>0.42857142857142855</v>
      </c>
      <c r="OT3" s="280">
        <v>3.1300000000000003</v>
      </c>
      <c r="OU3" s="1">
        <v>0.73333333333333328</v>
      </c>
      <c r="OV3" s="282"/>
      <c r="OW3" s="1"/>
      <c r="OX3" s="285">
        <v>-6.11</v>
      </c>
      <c r="OY3" s="1">
        <v>0.14285714285714285</v>
      </c>
      <c r="OZ3" s="288">
        <v>-0.34999999999999976</v>
      </c>
      <c r="PA3" s="1">
        <v>0.53333333333333333</v>
      </c>
      <c r="PB3" s="292">
        <v>-0.37999999999999912</v>
      </c>
      <c r="PC3" s="1">
        <v>0.30769230769230771</v>
      </c>
      <c r="PD3" s="297">
        <v>-8.5</v>
      </c>
      <c r="PE3" s="1">
        <v>0.4</v>
      </c>
      <c r="PF3" s="298">
        <v>-4.7299999999999995</v>
      </c>
      <c r="PG3" s="1">
        <v>0.2857142857142857</v>
      </c>
      <c r="PH3" s="301">
        <v>-3.8599999999999994</v>
      </c>
      <c r="PI3" s="1">
        <v>0.35714285714285715</v>
      </c>
      <c r="PJ3" s="302"/>
      <c r="PK3" s="1"/>
      <c r="PL3" s="309"/>
      <c r="PM3" s="1"/>
      <c r="PN3" s="313"/>
      <c r="PO3" s="1"/>
      <c r="PP3" s="313">
        <v>-0.89</v>
      </c>
      <c r="PQ3" s="1">
        <v>0.42857142857142855</v>
      </c>
      <c r="PR3" s="315">
        <v>8.1700000000000017</v>
      </c>
      <c r="PS3" s="1">
        <v>0.5714285714285714</v>
      </c>
      <c r="PT3" s="318">
        <v>1.9199999999999997</v>
      </c>
      <c r="PU3" s="1">
        <v>0.5714285714285714</v>
      </c>
      <c r="PV3" s="321">
        <v>1.0199999999999996</v>
      </c>
      <c r="PW3" s="1">
        <v>0.42857142857142855</v>
      </c>
      <c r="PX3" s="323">
        <v>-6.9899999999999993</v>
      </c>
      <c r="PY3" s="1">
        <v>0.42857142857142855</v>
      </c>
      <c r="PZ3" s="325">
        <v>-11.850000000000001</v>
      </c>
      <c r="QA3" s="1">
        <v>0.21428571428571427</v>
      </c>
      <c r="QB3" s="327">
        <v>-4.0700000000000012</v>
      </c>
      <c r="QC3" s="1">
        <v>0.35714285714285715</v>
      </c>
      <c r="QD3" s="334">
        <v>-8.2999999999999989</v>
      </c>
      <c r="QE3" s="1">
        <v>0.2857142857142857</v>
      </c>
      <c r="QF3" s="339">
        <v>-4.1199999999999992</v>
      </c>
      <c r="QG3" s="1">
        <v>0.2857142857142857</v>
      </c>
      <c r="QH3" s="345">
        <v>1.2000000000000006</v>
      </c>
      <c r="QI3" s="1">
        <v>0.35714285714285715</v>
      </c>
      <c r="QJ3" s="352">
        <v>-2.3899999999999997</v>
      </c>
      <c r="QK3" s="1">
        <v>0.15384615384615385</v>
      </c>
      <c r="QL3" s="356">
        <v>-1.7599999999999991</v>
      </c>
      <c r="QM3" s="1">
        <v>0.42857142857142855</v>
      </c>
      <c r="QN3" s="360">
        <v>-3.8200000000000003</v>
      </c>
      <c r="QO3" s="1">
        <v>0.2857142857142857</v>
      </c>
      <c r="QP3" s="363">
        <v>-2.9800000000000004</v>
      </c>
      <c r="QQ3" s="1">
        <v>0.23076923076923078</v>
      </c>
      <c r="QR3" s="366">
        <v>-3.4</v>
      </c>
      <c r="QS3" s="1">
        <v>0.46153846153846156</v>
      </c>
      <c r="QT3" s="371">
        <v>4.0100000000000007</v>
      </c>
      <c r="QU3" s="1">
        <v>0.58333333333333337</v>
      </c>
      <c r="QV3" s="374">
        <v>-1.0799999999999996</v>
      </c>
      <c r="QW3" s="1">
        <v>0.42857142857142855</v>
      </c>
      <c r="QX3" s="378">
        <v>-5.33</v>
      </c>
      <c r="QY3" s="1">
        <v>7.1428571428571425E-2</v>
      </c>
      <c r="QZ3" s="386"/>
      <c r="RA3" s="1"/>
      <c r="RB3" s="395">
        <v>-1.3900000000000001</v>
      </c>
      <c r="RC3" s="1">
        <v>0.46153846153846156</v>
      </c>
      <c r="RD3" s="399">
        <v>0.24</v>
      </c>
      <c r="RE3" s="1">
        <v>0.6</v>
      </c>
      <c r="RF3" s="399">
        <v>-3.5100000000000002</v>
      </c>
      <c r="RG3" s="1">
        <v>0.35714285714285715</v>
      </c>
      <c r="RH3" s="403">
        <v>-2</v>
      </c>
      <c r="RI3" s="1">
        <v>0.2857142857142857</v>
      </c>
      <c r="RJ3" s="405">
        <v>-1.3300000000000005</v>
      </c>
      <c r="RK3" s="1">
        <v>0.53846153846153844</v>
      </c>
      <c r="RL3" s="407"/>
      <c r="RM3" s="1"/>
      <c r="RN3" s="410">
        <v>-0.71</v>
      </c>
      <c r="RO3" s="1">
        <v>0.35714285714285715</v>
      </c>
      <c r="RP3" s="412">
        <v>-5.15</v>
      </c>
      <c r="RQ3" s="1">
        <v>0.14285714285714285</v>
      </c>
      <c r="RR3" s="415">
        <v>-6.919999999999999</v>
      </c>
      <c r="RS3" s="1">
        <v>0.2857142857142857</v>
      </c>
      <c r="RT3" s="417">
        <v>-5.35</v>
      </c>
      <c r="RU3" s="1">
        <v>0.2857142857142857</v>
      </c>
      <c r="RV3" s="422">
        <v>1.010000000000002</v>
      </c>
      <c r="RW3" s="1">
        <v>0.5714285714285714</v>
      </c>
      <c r="RX3" s="427">
        <v>-5.8200000000000021</v>
      </c>
      <c r="RY3" s="1">
        <v>0.35714285714285715</v>
      </c>
      <c r="RZ3" s="433">
        <v>-1.069999999999999</v>
      </c>
      <c r="SA3" s="1">
        <v>0.35714285714285715</v>
      </c>
      <c r="SB3" s="436">
        <v>-6.3099999999999987</v>
      </c>
      <c r="SC3" s="1">
        <v>0.21428571428571427</v>
      </c>
      <c r="SD3" s="443">
        <v>5.6800000000000006</v>
      </c>
      <c r="SE3" s="1">
        <v>0.6428571428571429</v>
      </c>
      <c r="SF3" s="445"/>
      <c r="SG3" s="1"/>
      <c r="SH3" s="450">
        <v>-3.7999999999999994</v>
      </c>
      <c r="SI3" s="1">
        <v>0.23076923076923078</v>
      </c>
      <c r="SJ3" s="452">
        <v>-7.7700000000000005</v>
      </c>
      <c r="SK3" s="1">
        <v>0.21428571428571427</v>
      </c>
      <c r="SL3" s="457">
        <v>-6.8900000000000006</v>
      </c>
      <c r="SM3" s="1">
        <v>0.14285714285714285</v>
      </c>
      <c r="SN3" s="459">
        <v>-7.5200000000000005</v>
      </c>
      <c r="SO3" s="1">
        <v>0.14285714285714285</v>
      </c>
      <c r="SP3" s="461">
        <v>-6.82</v>
      </c>
      <c r="SQ3" s="1">
        <v>0</v>
      </c>
      <c r="SR3" s="463">
        <v>4.2499999999999991</v>
      </c>
      <c r="SS3" s="1">
        <v>0.53846153846153844</v>
      </c>
      <c r="ST3" s="464">
        <v>-9.3699999999999992</v>
      </c>
      <c r="SU3" s="1">
        <v>0.21428571428571427</v>
      </c>
      <c r="SV3" s="466">
        <v>-0.66999999999999982</v>
      </c>
      <c r="SW3" s="1">
        <v>0.35714285714285715</v>
      </c>
      <c r="SX3" s="467"/>
      <c r="SY3" s="1"/>
      <c r="SZ3" s="469">
        <v>-4.82</v>
      </c>
      <c r="TA3" s="1">
        <v>0.2857142857142857</v>
      </c>
      <c r="TB3" s="471">
        <v>-0.96000000000000008</v>
      </c>
      <c r="TC3" s="1">
        <v>0.53846153846153844</v>
      </c>
      <c r="TD3" s="472">
        <v>-5.5000000000000009</v>
      </c>
      <c r="TE3" s="1">
        <v>0.23076923076923078</v>
      </c>
      <c r="TF3" s="474">
        <v>-1.3000000000000003</v>
      </c>
      <c r="TG3" s="1">
        <v>0.23076923076923078</v>
      </c>
      <c r="TH3" s="488">
        <v>-2.64</v>
      </c>
      <c r="TI3" s="1">
        <v>0.42857142857142855</v>
      </c>
      <c r="TJ3" s="489">
        <v>-3.76</v>
      </c>
      <c r="TK3" s="1">
        <v>0.2857142857142857</v>
      </c>
      <c r="TL3" s="490">
        <v>-2.7</v>
      </c>
      <c r="TM3" s="1">
        <v>0.42857142857142855</v>
      </c>
      <c r="TN3" s="495"/>
      <c r="TO3" s="1"/>
      <c r="TP3" s="500">
        <v>-5.5800000000000018</v>
      </c>
      <c r="TQ3" s="1">
        <v>0.35714285714285715</v>
      </c>
      <c r="TR3" s="511">
        <v>-0.40999999999999959</v>
      </c>
      <c r="TS3" s="1">
        <v>0.2857142857142857</v>
      </c>
      <c r="TT3" s="515">
        <v>2.2899999999999996</v>
      </c>
      <c r="TU3" s="1">
        <v>0.35714285714285715</v>
      </c>
      <c r="TV3" s="518">
        <v>2.58</v>
      </c>
      <c r="TW3" s="1">
        <v>0.5</v>
      </c>
      <c r="TX3" s="521"/>
      <c r="TY3" s="1"/>
      <c r="TZ3" s="524">
        <v>-0.56000000000000005</v>
      </c>
      <c r="UA3" s="1">
        <v>0.42857142857142855</v>
      </c>
      <c r="UB3" s="527">
        <v>-5.01</v>
      </c>
      <c r="UC3" s="1">
        <v>0.26666666666666666</v>
      </c>
      <c r="UD3" s="530">
        <v>-7.3200000000000012</v>
      </c>
      <c r="UE3" s="1">
        <v>0.33333333333333331</v>
      </c>
      <c r="UF3" s="533">
        <v>-9.7200000000000006</v>
      </c>
      <c r="UG3" s="1">
        <v>0.33333333333333331</v>
      </c>
      <c r="UH3" s="536">
        <v>-2.6899999999999995</v>
      </c>
      <c r="UI3" s="1">
        <v>0.4</v>
      </c>
      <c r="UJ3" s="539">
        <v>-0.33</v>
      </c>
      <c r="UK3" s="1">
        <v>0.4</v>
      </c>
      <c r="UL3" s="540">
        <v>2.8100000000000005</v>
      </c>
      <c r="UM3" s="1">
        <v>0.66666666666666663</v>
      </c>
      <c r="UN3" s="543">
        <v>-3.87</v>
      </c>
      <c r="UO3" s="1">
        <v>0.21428571428571427</v>
      </c>
      <c r="UP3" s="544">
        <v>-9.5800000000000018</v>
      </c>
      <c r="UQ3" s="1">
        <v>0.2857142857142857</v>
      </c>
      <c r="UR3" s="551">
        <v>2.2500000000000004</v>
      </c>
      <c r="US3" s="1">
        <v>0.46666666666666667</v>
      </c>
      <c r="UT3" s="551">
        <v>-9.1899999999999977</v>
      </c>
      <c r="UU3" s="1">
        <v>0.2857142857142857</v>
      </c>
      <c r="UV3" s="562">
        <v>-7.15</v>
      </c>
      <c r="UW3" s="1">
        <v>0.2</v>
      </c>
      <c r="UX3" s="566">
        <v>-4.2200000000000006</v>
      </c>
      <c r="UY3" s="1">
        <v>0.2857142857142857</v>
      </c>
      <c r="UZ3" s="568"/>
      <c r="VA3" s="1"/>
      <c r="VB3" s="572">
        <v>-2.4600000000000004</v>
      </c>
      <c r="VC3" s="1">
        <v>0.6</v>
      </c>
      <c r="VD3" s="576">
        <v>-2.58</v>
      </c>
      <c r="VE3" s="1">
        <v>0.14285714285714285</v>
      </c>
      <c r="VF3" s="580">
        <v>-0.87000000000000033</v>
      </c>
      <c r="VG3" s="1">
        <v>0.21428571428571427</v>
      </c>
      <c r="VH3" s="584">
        <v>-6.9999999999999951E-2</v>
      </c>
      <c r="VI3" s="1">
        <v>0.33333333333333331</v>
      </c>
      <c r="VJ3" s="589">
        <v>-1.89</v>
      </c>
      <c r="VK3" s="1">
        <v>0.2857142857142857</v>
      </c>
      <c r="VL3" s="593">
        <v>-3.62</v>
      </c>
      <c r="VM3" s="1">
        <v>0.33333333333333331</v>
      </c>
      <c r="VN3" s="597">
        <v>-3.9699999999999998</v>
      </c>
      <c r="VO3" s="1">
        <v>0.2</v>
      </c>
      <c r="VP3" s="601">
        <v>-2.2400000000000007</v>
      </c>
      <c r="VQ3" s="1">
        <v>0.30769230769230771</v>
      </c>
      <c r="VR3" s="603"/>
      <c r="VS3" s="1"/>
      <c r="VT3" s="607">
        <v>-1.2799999999999994</v>
      </c>
      <c r="VU3" s="1">
        <v>0.33333333333333331</v>
      </c>
      <c r="VV3" s="609">
        <v>-0.4700000000000002</v>
      </c>
      <c r="VW3" s="1">
        <v>0.4</v>
      </c>
      <c r="VX3" s="613">
        <v>-8.2900000000000009</v>
      </c>
      <c r="VY3" s="1">
        <v>0.35714285714285715</v>
      </c>
      <c r="VZ3" s="617">
        <v>-1.0500000000000003</v>
      </c>
      <c r="WA3" s="1">
        <v>0.5</v>
      </c>
      <c r="WB3" s="619"/>
      <c r="WC3" s="1"/>
      <c r="WD3" s="624">
        <v>0.40999999999999981</v>
      </c>
      <c r="WE3" s="1">
        <v>0.4</v>
      </c>
      <c r="WF3" s="626">
        <v>1.96</v>
      </c>
      <c r="WG3" s="1">
        <v>0.61538461538461542</v>
      </c>
      <c r="WH3" s="630">
        <v>5.0400000000000009</v>
      </c>
      <c r="WI3" s="1">
        <v>0.6428571428571429</v>
      </c>
      <c r="WJ3" s="636">
        <v>0.12000000000000011</v>
      </c>
      <c r="WK3" s="1">
        <v>0.5</v>
      </c>
      <c r="WL3" s="638">
        <v>-3.1999999999999997</v>
      </c>
      <c r="WM3" s="1">
        <v>0.21428571428571427</v>
      </c>
      <c r="WN3" s="642">
        <v>-6.8899999999999988</v>
      </c>
      <c r="WO3" s="1">
        <v>0.2857142857142857</v>
      </c>
      <c r="WP3" s="646">
        <v>3.3099999999999996</v>
      </c>
      <c r="WQ3" s="1">
        <v>0.42857142857142855</v>
      </c>
      <c r="WR3" s="652">
        <v>-1.8999999999999997</v>
      </c>
      <c r="WS3" s="1">
        <v>0.42857142857142855</v>
      </c>
      <c r="WT3" s="659">
        <v>-7.04</v>
      </c>
      <c r="WU3" s="1">
        <v>7.6923076923076927E-2</v>
      </c>
      <c r="WV3" s="659">
        <v>-9.1200000000000028</v>
      </c>
      <c r="WW3" s="1">
        <v>0.35714285714285715</v>
      </c>
      <c r="WX3" s="672">
        <v>-1.7799999999999996</v>
      </c>
      <c r="WY3" s="1">
        <v>0.4</v>
      </c>
      <c r="WZ3" s="677"/>
      <c r="XA3" s="1"/>
      <c r="XB3" s="681">
        <v>-8.9999999999999969E-2</v>
      </c>
      <c r="XC3" s="1">
        <v>0.42857142857142855</v>
      </c>
      <c r="XD3" s="683"/>
      <c r="XE3" s="1"/>
      <c r="XF3" s="687">
        <v>-1.1899999999999995</v>
      </c>
      <c r="XG3" s="1">
        <v>0.5714285714285714</v>
      </c>
      <c r="XH3" s="689">
        <v>-5.82</v>
      </c>
      <c r="XI3" s="1">
        <v>0.35714285714285715</v>
      </c>
      <c r="XJ3" s="696">
        <v>-5.34</v>
      </c>
      <c r="XK3" s="1">
        <v>0.46666666666666667</v>
      </c>
      <c r="XL3" s="696">
        <v>-1.3599999999999999</v>
      </c>
      <c r="XM3" s="1">
        <v>0.5</v>
      </c>
      <c r="XN3" s="696">
        <v>-4.75</v>
      </c>
      <c r="XO3" s="1">
        <v>0.41379310344827586</v>
      </c>
      <c r="XP3" s="700">
        <v>-0.18999999999999997</v>
      </c>
      <c r="XQ3" s="1">
        <v>0.42857142857142855</v>
      </c>
      <c r="XR3" s="705">
        <v>-1.55</v>
      </c>
      <c r="XS3" s="1">
        <v>0.51724137931034486</v>
      </c>
      <c r="XT3" s="709">
        <v>-4.5599999999999996</v>
      </c>
      <c r="XU3" s="1">
        <v>0.33333333333333331</v>
      </c>
      <c r="XV3" s="715"/>
      <c r="XW3" s="1"/>
    </row>
    <row r="4" spans="2:647" x14ac:dyDescent="0.25">
      <c r="B4" s="755"/>
      <c r="C4" s="760"/>
      <c r="D4" s="757" t="s">
        <v>7</v>
      </c>
      <c r="E4" s="757"/>
      <c r="F4" s="57">
        <v>0.2</v>
      </c>
      <c r="G4" s="768"/>
      <c r="H4" s="3">
        <v>-1.2040000000000002</v>
      </c>
      <c r="I4" s="1">
        <v>0.25</v>
      </c>
      <c r="J4" s="3">
        <v>-1.5079999999999998</v>
      </c>
      <c r="K4" s="1">
        <v>0.14285714285714285</v>
      </c>
      <c r="L4" s="3">
        <v>-2.3160000000000003</v>
      </c>
      <c r="M4" s="1">
        <v>0.4</v>
      </c>
      <c r="N4" s="3">
        <v>-2.6439999999999997</v>
      </c>
      <c r="O4" s="1">
        <v>0</v>
      </c>
      <c r="P4" s="3">
        <v>1.6000000000000014E-2</v>
      </c>
      <c r="Q4" s="1">
        <v>0.66666666666666663</v>
      </c>
      <c r="R4" s="3">
        <v>-1.1700000000000002</v>
      </c>
      <c r="S4" s="1">
        <v>0.2</v>
      </c>
      <c r="T4" s="3"/>
      <c r="U4" s="1"/>
      <c r="V4" s="3">
        <v>-1.2000000000000011E-2</v>
      </c>
      <c r="W4" s="1">
        <v>0.25</v>
      </c>
      <c r="X4" s="3"/>
      <c r="Y4" s="1"/>
      <c r="Z4" s="3">
        <v>-1.8960000000000001</v>
      </c>
      <c r="AA4" s="1">
        <v>0.33333333333333331</v>
      </c>
      <c r="AB4" s="3"/>
      <c r="AC4" s="1"/>
      <c r="AD4" s="3">
        <v>0.29800000000000004</v>
      </c>
      <c r="AE4" s="1">
        <v>0.5</v>
      </c>
      <c r="AF4" s="3"/>
      <c r="AG4" s="1"/>
      <c r="AH4" s="3">
        <v>0.21999999999999992</v>
      </c>
      <c r="AI4" s="1">
        <v>0.66666666666666663</v>
      </c>
      <c r="AJ4" s="3">
        <v>-1.19</v>
      </c>
      <c r="AK4" s="1">
        <v>0.375</v>
      </c>
      <c r="AL4" s="3">
        <v>-0.65400000000000003</v>
      </c>
      <c r="AM4" s="1">
        <v>0.25</v>
      </c>
      <c r="AN4" s="3"/>
      <c r="AO4" s="1"/>
      <c r="AP4" s="3">
        <v>0.47599999999999998</v>
      </c>
      <c r="AQ4" s="1">
        <v>0.33333333333333331</v>
      </c>
      <c r="AR4" s="3">
        <v>0.80599999999999983</v>
      </c>
      <c r="AS4" s="1">
        <v>1</v>
      </c>
      <c r="AT4" s="3"/>
      <c r="AU4" s="1"/>
      <c r="AV4" s="3">
        <v>-1.02</v>
      </c>
      <c r="AW4" s="1">
        <v>0.5</v>
      </c>
      <c r="AX4" s="3">
        <v>0.82800000000000007</v>
      </c>
      <c r="AY4" s="1">
        <v>0.66666666666666663</v>
      </c>
      <c r="AZ4" s="3">
        <v>0.53800000000000003</v>
      </c>
      <c r="BA4" s="1">
        <v>0.75</v>
      </c>
      <c r="BB4" s="3">
        <v>-1.6859999999999999</v>
      </c>
      <c r="BC4" s="1">
        <v>0</v>
      </c>
      <c r="BD4" s="3">
        <v>0.64200000000000002</v>
      </c>
      <c r="BE4" s="1">
        <v>0.75</v>
      </c>
      <c r="BF4" s="3">
        <v>-0.81799999999999995</v>
      </c>
      <c r="BG4" s="1">
        <v>0.5</v>
      </c>
      <c r="BH4" s="3"/>
      <c r="BI4" s="1"/>
      <c r="BJ4" s="3">
        <v>-4.226</v>
      </c>
      <c r="BK4" s="1">
        <v>0.2857142857142857</v>
      </c>
      <c r="BL4" s="3">
        <v>6.2000000000000013E-2</v>
      </c>
      <c r="BM4" s="1">
        <v>0.5</v>
      </c>
      <c r="BN4" s="3"/>
      <c r="BO4" s="1"/>
      <c r="BP4" s="3">
        <v>-0.26799999999999996</v>
      </c>
      <c r="BQ4" s="1">
        <v>0.5</v>
      </c>
      <c r="BR4" s="3">
        <v>0.40799999999999992</v>
      </c>
      <c r="BS4" s="1">
        <v>0.5714285714285714</v>
      </c>
      <c r="BT4" s="3"/>
      <c r="BU4" s="1"/>
      <c r="BV4" s="3">
        <v>-2.73</v>
      </c>
      <c r="BW4" s="1">
        <v>0.33333333333333331</v>
      </c>
      <c r="BX4" s="3">
        <v>0.36599999999999999</v>
      </c>
      <c r="BY4" s="1">
        <v>0.33333333333333331</v>
      </c>
      <c r="BZ4" s="3">
        <v>-2.4780000000000006</v>
      </c>
      <c r="CA4" s="1">
        <v>0.22222222222222221</v>
      </c>
      <c r="CB4" s="3">
        <v>-1.53</v>
      </c>
      <c r="CC4" s="1">
        <v>0.4</v>
      </c>
      <c r="CD4" s="3">
        <v>1.4139999999999999</v>
      </c>
      <c r="CE4" s="1">
        <v>0.83333333333333337</v>
      </c>
      <c r="CF4" s="3"/>
      <c r="CG4" s="1"/>
      <c r="CH4" s="3"/>
      <c r="CI4" s="1"/>
      <c r="CJ4" s="3">
        <v>0.80999999999999994</v>
      </c>
      <c r="CK4" s="1">
        <v>1</v>
      </c>
      <c r="CL4" s="3">
        <v>0.41200000000000003</v>
      </c>
      <c r="CM4" s="1">
        <v>0.5</v>
      </c>
      <c r="CN4" s="3">
        <v>-1.0660000000000001</v>
      </c>
      <c r="CO4" s="1">
        <v>0</v>
      </c>
      <c r="CP4" s="3">
        <v>-1.1819999999999999</v>
      </c>
      <c r="CQ4" s="1">
        <v>0.33333333333333331</v>
      </c>
      <c r="CR4" s="3">
        <v>-1.3379999999999999</v>
      </c>
      <c r="CS4" s="1">
        <v>0.16666666666666666</v>
      </c>
      <c r="CT4" s="3">
        <v>-0.58200000000000018</v>
      </c>
      <c r="CU4" s="1">
        <v>0.2</v>
      </c>
      <c r="CV4" s="3">
        <v>0.83000000000000007</v>
      </c>
      <c r="CW4" s="1">
        <v>0.75</v>
      </c>
      <c r="CX4" s="3">
        <v>-1.3620000000000001</v>
      </c>
      <c r="CY4" s="1">
        <v>0.5</v>
      </c>
      <c r="CZ4" s="3"/>
      <c r="DA4" s="1"/>
      <c r="DB4" s="3">
        <v>-0.13000000000000006</v>
      </c>
      <c r="DC4" s="1">
        <v>0.4</v>
      </c>
      <c r="DD4" s="3">
        <v>-0.95799999999999996</v>
      </c>
      <c r="DE4" s="1">
        <v>0.33333333333333331</v>
      </c>
      <c r="DF4" s="3">
        <v>0.57200000000000006</v>
      </c>
      <c r="DG4" s="1">
        <v>0.66666666666666663</v>
      </c>
      <c r="DH4" s="3">
        <v>-1.716</v>
      </c>
      <c r="DI4" s="1">
        <v>0</v>
      </c>
      <c r="DJ4" s="3">
        <v>-1.3740000000000001</v>
      </c>
      <c r="DK4" s="1">
        <v>0</v>
      </c>
      <c r="DL4" s="3">
        <v>-0.68200000000000005</v>
      </c>
      <c r="DM4" s="1">
        <v>0.25</v>
      </c>
      <c r="DN4" s="3">
        <v>-0.34</v>
      </c>
      <c r="DO4" s="1">
        <v>0.5</v>
      </c>
      <c r="DP4" s="3"/>
      <c r="DQ4" s="1"/>
      <c r="DR4" s="3"/>
      <c r="DS4" s="1"/>
      <c r="DT4" s="3">
        <v>1.494</v>
      </c>
      <c r="DU4" s="1">
        <v>0.7142857142857143</v>
      </c>
      <c r="DV4" s="3">
        <v>0.83800000000000008</v>
      </c>
      <c r="DW4" s="1">
        <v>0.42857142857142855</v>
      </c>
      <c r="DX4" s="3">
        <v>0.83800000000000008</v>
      </c>
      <c r="DY4" s="1">
        <v>0.42857142857142855</v>
      </c>
      <c r="DZ4" s="3">
        <v>0.55600000000000005</v>
      </c>
      <c r="EA4" s="1">
        <v>0.5</v>
      </c>
      <c r="EB4" s="3">
        <v>-2.3460000000000001</v>
      </c>
      <c r="EC4" s="1">
        <v>0.2857142857142857</v>
      </c>
      <c r="ED4" s="3">
        <v>-0.82600000000000018</v>
      </c>
      <c r="EE4" s="1">
        <v>0.25</v>
      </c>
      <c r="EF4" s="3">
        <v>-5.59</v>
      </c>
      <c r="EG4" s="1">
        <v>0</v>
      </c>
      <c r="EH4" s="3">
        <v>-0.33799999999999997</v>
      </c>
      <c r="EI4" s="1">
        <v>0</v>
      </c>
      <c r="EJ4" s="3"/>
      <c r="EK4" s="1"/>
      <c r="EL4" s="3"/>
      <c r="EM4" s="1"/>
      <c r="EN4" s="3">
        <v>-2.698</v>
      </c>
      <c r="EO4" s="1">
        <v>0.16666666666666666</v>
      </c>
      <c r="EP4" s="3"/>
      <c r="EQ4" s="1"/>
      <c r="ER4" s="3">
        <v>1.3679999999999999</v>
      </c>
      <c r="ES4" s="1">
        <v>0.75</v>
      </c>
      <c r="ET4" s="3">
        <v>-1.246</v>
      </c>
      <c r="EU4" s="1">
        <v>0.2857142857142857</v>
      </c>
      <c r="EV4" s="3">
        <v>-1.5920000000000001</v>
      </c>
      <c r="EW4" s="1">
        <v>0</v>
      </c>
      <c r="EX4" s="3">
        <v>1.3660000000000001</v>
      </c>
      <c r="EY4" s="1">
        <v>0.66666666666666663</v>
      </c>
      <c r="EZ4" s="3"/>
      <c r="FA4" s="1"/>
      <c r="FB4" s="3">
        <v>-5.29</v>
      </c>
      <c r="FC4" s="1">
        <v>0</v>
      </c>
      <c r="FD4" s="3">
        <v>1.2799999999999998</v>
      </c>
      <c r="FE4" s="1">
        <v>0.66666666666666663</v>
      </c>
      <c r="FF4" s="3">
        <v>7.999999999999996E-2</v>
      </c>
      <c r="FG4" s="1">
        <v>0.66666666666666663</v>
      </c>
      <c r="FH4" s="3">
        <v>-1.08</v>
      </c>
      <c r="FI4" s="1">
        <v>0</v>
      </c>
      <c r="FJ4" s="3">
        <v>2.0399999999999996</v>
      </c>
      <c r="FK4" s="1">
        <v>0.6</v>
      </c>
      <c r="FL4" s="3">
        <v>-1.38</v>
      </c>
      <c r="FM4" s="1">
        <v>0.5</v>
      </c>
      <c r="FN4" s="3">
        <v>-0.47</v>
      </c>
      <c r="FO4" s="1">
        <v>0.33333333333333331</v>
      </c>
      <c r="FP4" s="3">
        <v>1.0899999999999999</v>
      </c>
      <c r="FQ4" s="1">
        <v>0.4</v>
      </c>
      <c r="FR4" s="3">
        <v>-3.2399999999999998</v>
      </c>
      <c r="FS4" s="1">
        <v>0.2857142857142857</v>
      </c>
      <c r="FT4" s="3">
        <v>-5.8400000000000007</v>
      </c>
      <c r="FU4" s="1">
        <v>0</v>
      </c>
      <c r="FV4" s="3">
        <v>-2.9499999999999997</v>
      </c>
      <c r="FW4" s="1">
        <v>0.25</v>
      </c>
      <c r="FX4" s="3">
        <v>-2.5700000000000003</v>
      </c>
      <c r="FY4" s="1">
        <v>0</v>
      </c>
      <c r="FZ4" s="3">
        <v>-1.71</v>
      </c>
      <c r="GA4" s="1">
        <v>0.25</v>
      </c>
      <c r="GB4" s="3">
        <v>-3.8599999999999994</v>
      </c>
      <c r="GC4" s="1">
        <v>0.14285714285714285</v>
      </c>
      <c r="GD4" s="3">
        <v>-1.9300000000000002</v>
      </c>
      <c r="GE4" s="1">
        <v>0.25</v>
      </c>
      <c r="GF4" s="3">
        <v>-2.6</v>
      </c>
      <c r="GG4" s="1">
        <v>0.6</v>
      </c>
      <c r="GH4" s="3">
        <v>-0.65000000000000013</v>
      </c>
      <c r="GI4" s="1">
        <v>0.4</v>
      </c>
      <c r="GJ4" s="3">
        <v>-2.5</v>
      </c>
      <c r="GK4" s="1">
        <v>0.14285714285714285</v>
      </c>
      <c r="GL4" s="3">
        <v>-2.92</v>
      </c>
      <c r="GM4" s="1">
        <v>0.25</v>
      </c>
      <c r="GN4" s="3"/>
      <c r="GO4" s="1"/>
      <c r="GP4" s="3">
        <v>-6.0000000000000053E-2</v>
      </c>
      <c r="GQ4" s="1">
        <v>0.25</v>
      </c>
      <c r="GR4" s="3">
        <v>-8.379999999999999</v>
      </c>
      <c r="GS4" s="1">
        <v>0.14285714285714285</v>
      </c>
      <c r="GT4" s="3">
        <v>-0.42999999999999994</v>
      </c>
      <c r="GU4" s="1">
        <v>0.66666666666666663</v>
      </c>
      <c r="GV4" s="3">
        <v>-2.11</v>
      </c>
      <c r="GW4" s="1">
        <v>0.5</v>
      </c>
      <c r="GX4" s="3">
        <v>-0.90000000000000013</v>
      </c>
      <c r="GY4" s="1">
        <v>0.33333333333333331</v>
      </c>
      <c r="GZ4" s="3"/>
      <c r="HA4" s="1"/>
      <c r="HB4" s="3">
        <v>1.75</v>
      </c>
      <c r="HC4" s="1">
        <v>1</v>
      </c>
      <c r="HD4" s="76">
        <v>-3.0199999999999996</v>
      </c>
      <c r="HE4" s="1">
        <v>0</v>
      </c>
      <c r="HF4" s="78">
        <v>-1.7900000000000005</v>
      </c>
      <c r="HG4" s="1">
        <v>0.25</v>
      </c>
      <c r="HH4" s="79">
        <v>1.3299999999999998</v>
      </c>
      <c r="HI4" s="1">
        <v>0.5</v>
      </c>
      <c r="HJ4" s="80">
        <v>0.47</v>
      </c>
      <c r="HK4" s="1">
        <v>1</v>
      </c>
      <c r="HL4" s="81">
        <v>-1.3</v>
      </c>
      <c r="HM4" s="1">
        <v>0.33333333333333331</v>
      </c>
      <c r="HN4" s="82">
        <v>0.69</v>
      </c>
      <c r="HO4" s="1">
        <v>1</v>
      </c>
      <c r="HP4" s="83">
        <v>-4.8400000000000007</v>
      </c>
      <c r="HQ4" s="1">
        <v>0.14285714285714285</v>
      </c>
      <c r="HR4" s="84">
        <v>-1.97</v>
      </c>
      <c r="HS4" s="1">
        <v>0.25</v>
      </c>
      <c r="HT4" s="85">
        <v>-0.77</v>
      </c>
      <c r="HU4" s="1">
        <v>0</v>
      </c>
      <c r="HV4" s="88">
        <v>-0.74</v>
      </c>
      <c r="HW4" s="1">
        <v>0.25</v>
      </c>
      <c r="HX4" s="89"/>
      <c r="HY4" s="1"/>
      <c r="HZ4" s="91"/>
      <c r="IA4" s="1"/>
      <c r="IB4" s="92">
        <v>1.49</v>
      </c>
      <c r="IC4" s="1">
        <v>1</v>
      </c>
      <c r="ID4" s="93">
        <v>-0.96000000000000008</v>
      </c>
      <c r="IE4" s="1">
        <v>0</v>
      </c>
      <c r="IF4" s="94"/>
      <c r="IG4" s="1"/>
      <c r="IH4" s="97"/>
      <c r="II4" s="1"/>
      <c r="IJ4" s="98">
        <v>-2.8899999999999997</v>
      </c>
      <c r="IK4" s="1">
        <v>0.5</v>
      </c>
      <c r="IL4" s="99">
        <v>-1.71</v>
      </c>
      <c r="IM4" s="1">
        <v>0</v>
      </c>
      <c r="IN4" s="100">
        <v>-2.12</v>
      </c>
      <c r="IO4" s="1">
        <v>0</v>
      </c>
      <c r="IP4" s="101">
        <v>0.44</v>
      </c>
      <c r="IQ4" s="1">
        <v>1</v>
      </c>
      <c r="IR4" s="102"/>
      <c r="IS4" s="1"/>
      <c r="IT4" s="103"/>
      <c r="IU4" s="1"/>
      <c r="IV4" s="104"/>
      <c r="IW4" s="1"/>
      <c r="IX4" s="104">
        <v>1.46</v>
      </c>
      <c r="IY4" s="1">
        <v>1</v>
      </c>
      <c r="IZ4" s="105"/>
      <c r="JA4" s="1"/>
      <c r="JB4" s="112"/>
      <c r="JC4" s="1"/>
      <c r="JD4" s="113"/>
      <c r="JE4" s="1"/>
      <c r="JF4" s="114">
        <v>-1.0400000000000003</v>
      </c>
      <c r="JG4" s="1">
        <v>0.25</v>
      </c>
      <c r="JH4" s="115">
        <v>-1.61</v>
      </c>
      <c r="JI4" s="1">
        <v>0</v>
      </c>
      <c r="JJ4" s="116">
        <v>-1.83</v>
      </c>
      <c r="JK4" s="1">
        <v>0</v>
      </c>
      <c r="JL4" s="117">
        <v>-4.92</v>
      </c>
      <c r="JM4" s="1">
        <v>0</v>
      </c>
      <c r="JN4" s="118">
        <v>-1.6799999999999997</v>
      </c>
      <c r="JO4" s="1">
        <v>0.2</v>
      </c>
      <c r="JP4" s="119">
        <v>-0.53999999999999992</v>
      </c>
      <c r="JQ4" s="1">
        <v>0.33333333333333331</v>
      </c>
      <c r="JR4" s="120">
        <v>0.03</v>
      </c>
      <c r="JS4" s="1">
        <v>1</v>
      </c>
      <c r="JT4" s="122"/>
      <c r="JU4" s="1"/>
      <c r="JV4" s="126"/>
      <c r="JW4" s="1"/>
      <c r="JX4" s="132"/>
      <c r="JY4" s="1"/>
      <c r="JZ4" s="133">
        <v>-0.17000000000000015</v>
      </c>
      <c r="KA4" s="1">
        <v>0.66666666666666663</v>
      </c>
      <c r="KB4" s="138"/>
      <c r="KC4" s="1"/>
      <c r="KD4" s="140">
        <v>-4.46</v>
      </c>
      <c r="KE4" s="1">
        <v>0</v>
      </c>
      <c r="KF4" s="144">
        <v>-1.01</v>
      </c>
      <c r="KG4" s="1">
        <v>0</v>
      </c>
      <c r="KH4" s="148">
        <v>0.14000000000000001</v>
      </c>
      <c r="KI4" s="1">
        <v>0.5</v>
      </c>
      <c r="KJ4" s="152">
        <v>-0.11</v>
      </c>
      <c r="KK4" s="1">
        <v>0.66666666666666663</v>
      </c>
      <c r="KL4" s="156">
        <v>-1.54</v>
      </c>
      <c r="KM4" s="1">
        <v>0</v>
      </c>
      <c r="KN4" s="160"/>
      <c r="KO4" s="1"/>
      <c r="KP4" s="163"/>
      <c r="KQ4" s="1"/>
      <c r="KR4" s="165">
        <v>0.17000000000000004</v>
      </c>
      <c r="KS4" s="1">
        <v>0.33333333333333331</v>
      </c>
      <c r="KT4" s="168"/>
      <c r="KU4" s="1"/>
      <c r="KV4" s="171">
        <v>-0.27</v>
      </c>
      <c r="KW4" s="1">
        <v>0</v>
      </c>
      <c r="KX4" s="174">
        <v>-0.53</v>
      </c>
      <c r="KY4" s="1">
        <v>0</v>
      </c>
      <c r="KZ4" s="179">
        <v>0.74</v>
      </c>
      <c r="LA4" s="1">
        <v>1</v>
      </c>
      <c r="LB4" s="183"/>
      <c r="LC4" s="1"/>
      <c r="LD4" s="187">
        <v>-0.81</v>
      </c>
      <c r="LE4" s="1">
        <v>0</v>
      </c>
      <c r="LF4" s="189">
        <v>1.43</v>
      </c>
      <c r="LG4" s="1">
        <v>1</v>
      </c>
      <c r="LH4" s="191">
        <v>1.39</v>
      </c>
      <c r="LI4" s="1">
        <v>1</v>
      </c>
      <c r="LJ4" s="194"/>
      <c r="LK4" s="1"/>
      <c r="LL4" s="196"/>
      <c r="LM4" s="1"/>
      <c r="LN4" s="198">
        <v>-3.5</v>
      </c>
      <c r="LO4" s="1">
        <v>0</v>
      </c>
      <c r="LP4" s="200">
        <v>-2.34</v>
      </c>
      <c r="LQ4" s="1">
        <v>0.6</v>
      </c>
      <c r="LR4" s="202"/>
      <c r="LS4" s="1"/>
      <c r="LT4" s="204">
        <v>-3.83</v>
      </c>
      <c r="LU4" s="1">
        <v>0</v>
      </c>
      <c r="LV4" s="206">
        <v>5.85</v>
      </c>
      <c r="LW4" s="1">
        <v>0.8571428571428571</v>
      </c>
      <c r="LX4" s="208">
        <v>0.77999999999999958</v>
      </c>
      <c r="LY4" s="1">
        <v>0.5714285714285714</v>
      </c>
      <c r="LZ4" s="210">
        <v>1.0499999999999998</v>
      </c>
      <c r="MA4" s="1">
        <v>0.75</v>
      </c>
      <c r="MB4" s="212">
        <v>4.38</v>
      </c>
      <c r="MC4" s="1">
        <v>1</v>
      </c>
      <c r="MD4" s="214"/>
      <c r="ME4" s="1"/>
      <c r="MF4" s="216">
        <v>-5.88</v>
      </c>
      <c r="MG4" s="1">
        <v>0</v>
      </c>
      <c r="MH4" s="218">
        <v>-2.96</v>
      </c>
      <c r="MI4" s="1">
        <v>0</v>
      </c>
      <c r="MJ4" s="220"/>
      <c r="MK4" s="1"/>
      <c r="ML4" s="222">
        <v>0.85</v>
      </c>
      <c r="MM4" s="1">
        <v>1</v>
      </c>
      <c r="MN4" s="224"/>
      <c r="MO4" s="1"/>
      <c r="MP4" s="226"/>
      <c r="MQ4" s="1"/>
      <c r="MR4" s="228">
        <v>1.3</v>
      </c>
      <c r="MS4" s="1">
        <v>1</v>
      </c>
      <c r="MT4" s="230"/>
      <c r="MU4" s="1"/>
      <c r="MV4" s="232">
        <v>-3</v>
      </c>
      <c r="MW4" s="1">
        <v>0</v>
      </c>
      <c r="MX4" s="234">
        <v>-7.6</v>
      </c>
      <c r="MY4" s="1">
        <v>0.25</v>
      </c>
      <c r="MZ4" s="236">
        <v>-0.52</v>
      </c>
      <c r="NA4" s="1">
        <v>0.5</v>
      </c>
      <c r="NB4" s="238">
        <v>-0.1</v>
      </c>
      <c r="NC4" s="1">
        <v>0</v>
      </c>
      <c r="ND4" s="240"/>
      <c r="NE4" s="1"/>
      <c r="NF4" s="242">
        <v>1.4</v>
      </c>
      <c r="NG4" s="1">
        <v>0.66666666666666663</v>
      </c>
      <c r="NH4" s="244">
        <v>1.4</v>
      </c>
      <c r="NI4" s="1">
        <v>0.66666666666666663</v>
      </c>
      <c r="NJ4" s="244">
        <v>0</v>
      </c>
      <c r="NK4" s="1" t="e">
        <v>#DIV/0!</v>
      </c>
      <c r="NL4" s="246"/>
      <c r="NM4" s="1"/>
      <c r="NN4" s="248"/>
      <c r="NO4" s="1"/>
      <c r="NP4" s="250">
        <v>-1.63</v>
      </c>
      <c r="NQ4" s="1">
        <v>0.5</v>
      </c>
      <c r="NR4" s="252">
        <v>0.72999999999999987</v>
      </c>
      <c r="NS4" s="1">
        <v>0.5</v>
      </c>
      <c r="NT4" s="254">
        <v>-0.99</v>
      </c>
      <c r="NU4" s="1">
        <v>0</v>
      </c>
      <c r="NV4" s="256">
        <v>0.11999999999999988</v>
      </c>
      <c r="NW4" s="1">
        <v>0.6</v>
      </c>
      <c r="NX4" s="258">
        <v>-1.74</v>
      </c>
      <c r="NY4" s="1">
        <v>0.5</v>
      </c>
      <c r="NZ4" s="260"/>
      <c r="OA4" s="1"/>
      <c r="OB4" s="262">
        <v>-1.8900000000000001</v>
      </c>
      <c r="OC4" s="1">
        <v>0.5</v>
      </c>
      <c r="OD4" s="264">
        <v>-3</v>
      </c>
      <c r="OE4" s="1">
        <v>0</v>
      </c>
      <c r="OF4" s="266">
        <v>-1.9500000000000002</v>
      </c>
      <c r="OG4" s="1">
        <v>0.5</v>
      </c>
      <c r="OH4" s="268">
        <v>-0.53</v>
      </c>
      <c r="OI4" s="1">
        <v>0.33333333333333331</v>
      </c>
      <c r="OJ4" s="270"/>
      <c r="OK4" s="1"/>
      <c r="OL4" s="272">
        <v>-4.13</v>
      </c>
      <c r="OM4" s="1">
        <v>0</v>
      </c>
      <c r="ON4" s="274">
        <v>-2.1</v>
      </c>
      <c r="OO4" s="1">
        <v>0.4</v>
      </c>
      <c r="OP4" s="276">
        <v>-2.46</v>
      </c>
      <c r="OQ4" s="1">
        <v>0</v>
      </c>
      <c r="OR4" s="278">
        <v>-3.6399999999999997</v>
      </c>
      <c r="OS4" s="1">
        <v>0</v>
      </c>
      <c r="OT4" s="280">
        <v>3.63</v>
      </c>
      <c r="OU4" s="1">
        <v>1</v>
      </c>
      <c r="OV4" s="282"/>
      <c r="OW4" s="1"/>
      <c r="OX4" s="285">
        <v>-6.68</v>
      </c>
      <c r="OY4" s="1">
        <v>0</v>
      </c>
      <c r="OZ4" s="288">
        <v>-4.42</v>
      </c>
      <c r="PA4" s="1">
        <v>0</v>
      </c>
      <c r="PB4" s="292">
        <v>-4.82</v>
      </c>
      <c r="PC4" s="1">
        <v>0.33333333333333331</v>
      </c>
      <c r="PD4" s="297">
        <v>-3.22</v>
      </c>
      <c r="PE4" s="1">
        <v>0.42857142857142855</v>
      </c>
      <c r="PF4" s="298">
        <v>-0.10000000000000003</v>
      </c>
      <c r="PG4" s="1">
        <v>0.5</v>
      </c>
      <c r="PH4" s="301">
        <v>2.83</v>
      </c>
      <c r="PI4" s="1">
        <v>0.75</v>
      </c>
      <c r="PJ4" s="302"/>
      <c r="PK4" s="1"/>
      <c r="PL4" s="309"/>
      <c r="PM4" s="1"/>
      <c r="PN4" s="313"/>
      <c r="PO4" s="1"/>
      <c r="PP4" s="313">
        <v>-1.59</v>
      </c>
      <c r="PQ4" s="1">
        <v>0.5</v>
      </c>
      <c r="PR4" s="315">
        <v>2.2399999999999993</v>
      </c>
      <c r="PS4" s="1">
        <v>0.66666666666666663</v>
      </c>
      <c r="PT4" s="318">
        <v>-3.03</v>
      </c>
      <c r="PU4" s="1">
        <v>0</v>
      </c>
      <c r="PV4" s="321">
        <v>3.17</v>
      </c>
      <c r="PW4" s="1">
        <v>0.5</v>
      </c>
      <c r="PX4" s="323">
        <v>-5.6400000000000006</v>
      </c>
      <c r="PY4" s="1">
        <v>0.375</v>
      </c>
      <c r="PZ4" s="325">
        <v>-6.35</v>
      </c>
      <c r="QA4" s="1">
        <v>0.25</v>
      </c>
      <c r="QB4" s="327">
        <v>0.36999999999999944</v>
      </c>
      <c r="QC4" s="1">
        <v>0.5</v>
      </c>
      <c r="QD4" s="334">
        <v>2.96</v>
      </c>
      <c r="QE4" s="1">
        <v>1</v>
      </c>
      <c r="QF4" s="339">
        <v>-2.38</v>
      </c>
      <c r="QG4" s="1">
        <v>0</v>
      </c>
      <c r="QH4" s="345">
        <v>-3.6000000000000005</v>
      </c>
      <c r="QI4" s="1">
        <v>0.2</v>
      </c>
      <c r="QJ4" s="352">
        <v>1.74</v>
      </c>
      <c r="QK4" s="1">
        <v>0.66666666666666663</v>
      </c>
      <c r="QL4" s="356">
        <v>-1.5800000000000003</v>
      </c>
      <c r="QM4" s="1">
        <v>0.6</v>
      </c>
      <c r="QN4" s="360">
        <v>-0.45000000000000007</v>
      </c>
      <c r="QO4" s="1">
        <v>0.5</v>
      </c>
      <c r="QP4" s="363">
        <v>-0.73</v>
      </c>
      <c r="QQ4" s="1">
        <v>0.5</v>
      </c>
      <c r="QR4" s="366">
        <v>0.42</v>
      </c>
      <c r="QS4" s="1">
        <v>1</v>
      </c>
      <c r="QT4" s="371">
        <v>1.4</v>
      </c>
      <c r="QU4" s="1">
        <v>1</v>
      </c>
      <c r="QV4" s="374">
        <v>1.6199999999999999</v>
      </c>
      <c r="QW4" s="1">
        <v>0.75</v>
      </c>
      <c r="QX4" s="378">
        <v>-2.9699999999999998</v>
      </c>
      <c r="QY4" s="1">
        <v>0</v>
      </c>
      <c r="QZ4" s="386"/>
      <c r="RA4" s="1"/>
      <c r="RB4" s="395">
        <v>-1.5</v>
      </c>
      <c r="RC4" s="1">
        <v>0.25</v>
      </c>
      <c r="RD4" s="399">
        <v>3.0000000000000027E-2</v>
      </c>
      <c r="RE4" s="1">
        <v>0.5</v>
      </c>
      <c r="RF4" s="399">
        <v>1.21</v>
      </c>
      <c r="RG4" s="1">
        <v>0.66666666666666663</v>
      </c>
      <c r="RH4" s="403"/>
      <c r="RI4" s="1"/>
      <c r="RJ4" s="405">
        <v>-2.2800000000000002</v>
      </c>
      <c r="RK4" s="1">
        <v>0.33333333333333331</v>
      </c>
      <c r="RL4" s="407"/>
      <c r="RM4" s="1"/>
      <c r="RN4" s="410">
        <v>-2.2800000000000002</v>
      </c>
      <c r="RO4" s="1">
        <v>0</v>
      </c>
      <c r="RP4" s="412">
        <v>-2.5299999999999998</v>
      </c>
      <c r="RQ4" s="1">
        <v>0</v>
      </c>
      <c r="RR4" s="415">
        <v>-6.04</v>
      </c>
      <c r="RS4" s="1">
        <v>0</v>
      </c>
      <c r="RT4" s="417">
        <v>-1.0000000000000009E-2</v>
      </c>
      <c r="RU4" s="1">
        <v>0.5</v>
      </c>
      <c r="RV4" s="422">
        <v>-5.49</v>
      </c>
      <c r="RW4" s="1">
        <v>0.33333333333333331</v>
      </c>
      <c r="RX4" s="427">
        <v>1.4899999999999998</v>
      </c>
      <c r="RY4" s="1">
        <v>0.5</v>
      </c>
      <c r="RZ4" s="433"/>
      <c r="SA4" s="1"/>
      <c r="SB4" s="436">
        <v>1.8699999999999999</v>
      </c>
      <c r="SC4" s="1">
        <v>1</v>
      </c>
      <c r="SD4" s="443">
        <v>-3.35</v>
      </c>
      <c r="SE4" s="1">
        <v>0</v>
      </c>
      <c r="SF4" s="445"/>
      <c r="SG4" s="1"/>
      <c r="SH4" s="450">
        <v>-3.6500000000000004</v>
      </c>
      <c r="SI4" s="1">
        <v>0</v>
      </c>
      <c r="SJ4" s="452">
        <v>-6.81</v>
      </c>
      <c r="SK4" s="1">
        <v>0.25</v>
      </c>
      <c r="SL4" s="457">
        <v>-2.5499999999999998</v>
      </c>
      <c r="SM4" s="1">
        <v>0</v>
      </c>
      <c r="SN4" s="459">
        <v>-1.4100000000000001</v>
      </c>
      <c r="SO4" s="1">
        <v>0.25</v>
      </c>
      <c r="SP4" s="461">
        <v>-2.77</v>
      </c>
      <c r="SQ4" s="1">
        <v>0</v>
      </c>
      <c r="SR4" s="463">
        <v>1.5899999999999999</v>
      </c>
      <c r="SS4" s="1">
        <v>0.66666666666666663</v>
      </c>
      <c r="ST4" s="464"/>
      <c r="SU4" s="1"/>
      <c r="SV4" s="466">
        <v>-0.67</v>
      </c>
      <c r="SW4" s="1">
        <v>0</v>
      </c>
      <c r="SX4" s="467"/>
      <c r="SY4" s="1"/>
      <c r="SZ4" s="469">
        <v>-2.48</v>
      </c>
      <c r="TA4" s="1">
        <v>0</v>
      </c>
      <c r="TB4" s="471">
        <v>0.52</v>
      </c>
      <c r="TC4" s="1">
        <v>0.66666666666666663</v>
      </c>
      <c r="TD4" s="472">
        <v>-1.0099999999999998</v>
      </c>
      <c r="TE4" s="1">
        <v>0.33333333333333331</v>
      </c>
      <c r="TF4" s="474">
        <v>-0.26</v>
      </c>
      <c r="TG4" s="1">
        <v>0</v>
      </c>
      <c r="TH4" s="488">
        <v>0.44</v>
      </c>
      <c r="TI4" s="1">
        <v>1</v>
      </c>
      <c r="TJ4" s="489">
        <v>-6.2799999999999994</v>
      </c>
      <c r="TK4" s="1">
        <v>0.25</v>
      </c>
      <c r="TL4" s="490">
        <v>-2.76</v>
      </c>
      <c r="TM4" s="1">
        <v>0.25</v>
      </c>
      <c r="TN4" s="495"/>
      <c r="TO4" s="1"/>
      <c r="TP4" s="500">
        <v>2.39</v>
      </c>
      <c r="TQ4" s="1">
        <v>0.5</v>
      </c>
      <c r="TR4" s="511">
        <v>-0.92</v>
      </c>
      <c r="TS4" s="1">
        <v>0</v>
      </c>
      <c r="TT4" s="515">
        <v>-2.64</v>
      </c>
      <c r="TU4" s="1">
        <v>0.25</v>
      </c>
      <c r="TV4" s="518">
        <v>2.2999999999999998</v>
      </c>
      <c r="TW4" s="1">
        <v>0.6</v>
      </c>
      <c r="TX4" s="521"/>
      <c r="TY4" s="1"/>
      <c r="TZ4" s="524">
        <v>0.7</v>
      </c>
      <c r="UA4" s="1">
        <v>0.33333333333333331</v>
      </c>
      <c r="UB4" s="527"/>
      <c r="UC4" s="1"/>
      <c r="UD4" s="530">
        <v>0.24</v>
      </c>
      <c r="UE4" s="1">
        <v>0.33333333333333331</v>
      </c>
      <c r="UF4" s="533">
        <v>-2.36</v>
      </c>
      <c r="UG4" s="1">
        <v>0.5</v>
      </c>
      <c r="UH4" s="536">
        <v>-1.35</v>
      </c>
      <c r="UI4" s="1">
        <v>0.33333333333333331</v>
      </c>
      <c r="UJ4" s="539">
        <v>-0.93</v>
      </c>
      <c r="UK4" s="1">
        <v>0</v>
      </c>
      <c r="UL4" s="540">
        <v>-2.06</v>
      </c>
      <c r="UM4" s="1">
        <v>0.33333333333333331</v>
      </c>
      <c r="UN4" s="543">
        <v>-2.9</v>
      </c>
      <c r="UO4" s="1">
        <v>0.33333333333333331</v>
      </c>
      <c r="UP4" s="544">
        <v>-6.13</v>
      </c>
      <c r="UQ4" s="1">
        <v>0.25</v>
      </c>
      <c r="UR4" s="551">
        <v>1.1599999999999999</v>
      </c>
      <c r="US4" s="1">
        <v>0.6</v>
      </c>
      <c r="UT4" s="551">
        <v>-2.33</v>
      </c>
      <c r="UU4" s="1">
        <v>0</v>
      </c>
      <c r="UV4" s="562">
        <v>-2.0699999999999998</v>
      </c>
      <c r="UW4" s="1">
        <v>0</v>
      </c>
      <c r="UX4" s="566">
        <v>-3.6399999999999997</v>
      </c>
      <c r="UY4" s="1">
        <v>0.4</v>
      </c>
      <c r="UZ4" s="568"/>
      <c r="VA4" s="1"/>
      <c r="VB4" s="572">
        <v>1.1399999999999999</v>
      </c>
      <c r="VC4" s="1">
        <v>1</v>
      </c>
      <c r="VD4" s="576">
        <v>-1.5199999999999998</v>
      </c>
      <c r="VE4" s="1">
        <v>0</v>
      </c>
      <c r="VF4" s="580">
        <v>-0.76</v>
      </c>
      <c r="VG4" s="1">
        <v>0</v>
      </c>
      <c r="VH4" s="584">
        <v>-0.54</v>
      </c>
      <c r="VI4" s="1">
        <v>0.33333333333333331</v>
      </c>
      <c r="VJ4" s="589">
        <v>0.18000000000000002</v>
      </c>
      <c r="VK4" s="1">
        <v>0.33333333333333331</v>
      </c>
      <c r="VL4" s="593">
        <v>-0.31</v>
      </c>
      <c r="VM4" s="1">
        <v>0</v>
      </c>
      <c r="VN4" s="597">
        <v>0.84</v>
      </c>
      <c r="VO4" s="1">
        <v>1</v>
      </c>
      <c r="VP4" s="601">
        <v>-0.76</v>
      </c>
      <c r="VQ4" s="1">
        <v>0</v>
      </c>
      <c r="VR4" s="603"/>
      <c r="VS4" s="1"/>
      <c r="VT4" s="607">
        <v>-0.9900000000000001</v>
      </c>
      <c r="VU4" s="1">
        <v>0.33333333333333331</v>
      </c>
      <c r="VV4" s="609">
        <v>-2.4200000000000004</v>
      </c>
      <c r="VW4" s="1">
        <v>0.2</v>
      </c>
      <c r="VX4" s="613">
        <v>-0.94000000000000006</v>
      </c>
      <c r="VY4" s="1">
        <v>0.33333333333333331</v>
      </c>
      <c r="VZ4" s="617">
        <v>1.4100000000000001</v>
      </c>
      <c r="WA4" s="1">
        <v>1</v>
      </c>
      <c r="WB4" s="619"/>
      <c r="WC4" s="1"/>
      <c r="WD4" s="624">
        <v>-1.04</v>
      </c>
      <c r="WE4" s="1">
        <v>0</v>
      </c>
      <c r="WF4" s="626">
        <v>1.5999999999999999</v>
      </c>
      <c r="WG4" s="1">
        <v>0.66666666666666663</v>
      </c>
      <c r="WH4" s="630">
        <v>2.82</v>
      </c>
      <c r="WI4" s="1">
        <v>0.66666666666666663</v>
      </c>
      <c r="WJ4" s="636">
        <v>-0.81</v>
      </c>
      <c r="WK4" s="1">
        <v>0.5</v>
      </c>
      <c r="WL4" s="638"/>
      <c r="WM4" s="1"/>
      <c r="WN4" s="642">
        <v>-4.59</v>
      </c>
      <c r="WO4" s="1">
        <v>0.2</v>
      </c>
      <c r="WP4" s="646">
        <v>-2.4500000000000002</v>
      </c>
      <c r="WQ4" s="1">
        <v>0.33333333333333331</v>
      </c>
      <c r="WR4" s="652">
        <v>-3.67</v>
      </c>
      <c r="WS4" s="1">
        <v>0.33333333333333331</v>
      </c>
      <c r="WT4" s="659">
        <v>-2.67</v>
      </c>
      <c r="WU4" s="1">
        <v>0.33333333333333331</v>
      </c>
      <c r="WV4" s="659">
        <v>-0.17</v>
      </c>
      <c r="WW4" s="1">
        <v>0</v>
      </c>
      <c r="WX4" s="672">
        <v>0.95999999999999985</v>
      </c>
      <c r="WY4" s="1">
        <v>0.5</v>
      </c>
      <c r="WZ4" s="677"/>
      <c r="XA4" s="1"/>
      <c r="XB4" s="681">
        <v>1.9</v>
      </c>
      <c r="XC4" s="1">
        <v>0.5</v>
      </c>
      <c r="XD4" s="683"/>
      <c r="XE4" s="1"/>
      <c r="XF4" s="687">
        <v>-3</v>
      </c>
      <c r="XG4" s="1">
        <v>0</v>
      </c>
      <c r="XH4" s="689">
        <v>0.7</v>
      </c>
      <c r="XI4" s="1">
        <v>1</v>
      </c>
      <c r="XJ4" s="696">
        <v>-3.49</v>
      </c>
      <c r="XK4" s="1">
        <v>0.5</v>
      </c>
      <c r="XL4" s="696">
        <v>1.8699999999999999</v>
      </c>
      <c r="XM4" s="1">
        <v>0.66666666666666663</v>
      </c>
      <c r="XN4" s="696">
        <v>-1.9699999999999998</v>
      </c>
      <c r="XO4" s="1">
        <v>0.42857142857142855</v>
      </c>
      <c r="XP4" s="700">
        <v>-1.8800000000000001</v>
      </c>
      <c r="XQ4" s="1">
        <v>0</v>
      </c>
      <c r="XR4" s="705">
        <v>0.53999999999999981</v>
      </c>
      <c r="XS4" s="1">
        <v>0.5</v>
      </c>
      <c r="XT4" s="709">
        <v>-0.76</v>
      </c>
      <c r="XU4" s="1">
        <v>0</v>
      </c>
      <c r="XV4" s="715"/>
      <c r="XW4" s="1"/>
    </row>
    <row r="5" spans="2:647" x14ac:dyDescent="0.25">
      <c r="B5" s="755"/>
      <c r="C5" s="760"/>
      <c r="D5" s="757" t="s">
        <v>16</v>
      </c>
      <c r="E5" s="757"/>
      <c r="F5" s="57">
        <v>0.3</v>
      </c>
      <c r="G5" s="768"/>
      <c r="H5" s="3">
        <v>4.7716666666666674</v>
      </c>
      <c r="I5" s="1">
        <v>0.7857142857142857</v>
      </c>
      <c r="J5" s="3">
        <v>-4.1533333333333333</v>
      </c>
      <c r="K5" s="1">
        <v>0.23076923076923078</v>
      </c>
      <c r="L5" s="3">
        <v>-5.8249999999999984</v>
      </c>
      <c r="M5" s="1">
        <v>0.46153846153846156</v>
      </c>
      <c r="N5" s="3">
        <v>-10.335000000000001</v>
      </c>
      <c r="O5" s="1">
        <v>0.35714285714285715</v>
      </c>
      <c r="P5" s="3">
        <v>5.0450000000000008</v>
      </c>
      <c r="Q5" s="1">
        <v>0.7142857142857143</v>
      </c>
      <c r="R5" s="3">
        <v>-6.3233333333333333</v>
      </c>
      <c r="S5" s="1">
        <v>0.35714285714285715</v>
      </c>
      <c r="T5" s="3"/>
      <c r="U5" s="1"/>
      <c r="V5" s="3">
        <v>-5.4616666666666669</v>
      </c>
      <c r="W5" s="1">
        <v>0.35714285714285715</v>
      </c>
      <c r="X5" s="3"/>
      <c r="Y5" s="1"/>
      <c r="Z5" s="3">
        <v>0.36999999999999994</v>
      </c>
      <c r="AA5" s="1">
        <v>0.5714285714285714</v>
      </c>
      <c r="AB5" s="3"/>
      <c r="AC5" s="1"/>
      <c r="AD5" s="3">
        <v>3.4849999999999999</v>
      </c>
      <c r="AE5" s="1">
        <v>0.6428571428571429</v>
      </c>
      <c r="AF5" s="3"/>
      <c r="AG5" s="1"/>
      <c r="AH5" s="3">
        <v>-9.6316666666666659</v>
      </c>
      <c r="AI5" s="1">
        <v>0.14285714285714285</v>
      </c>
      <c r="AJ5" s="3">
        <v>7.1350000000000007</v>
      </c>
      <c r="AK5" s="1">
        <v>0.8571428571428571</v>
      </c>
      <c r="AL5" s="3">
        <v>3.8700000000000006</v>
      </c>
      <c r="AM5" s="1">
        <v>0.69230769230769229</v>
      </c>
      <c r="AN5" s="3"/>
      <c r="AO5" s="1"/>
      <c r="AP5" s="3">
        <v>7.5200000000000005</v>
      </c>
      <c r="AQ5" s="1">
        <v>0.9285714285714286</v>
      </c>
      <c r="AR5" s="3">
        <v>-0.59333333333333316</v>
      </c>
      <c r="AS5" s="1">
        <v>0.5714285714285714</v>
      </c>
      <c r="AT5" s="3"/>
      <c r="AU5" s="1"/>
      <c r="AV5" s="3">
        <v>-4.6449999999999996</v>
      </c>
      <c r="AW5" s="1">
        <v>0.5714285714285714</v>
      </c>
      <c r="AX5" s="3">
        <v>-6.7199999999999989</v>
      </c>
      <c r="AY5" s="1">
        <v>0.42857142857142855</v>
      </c>
      <c r="AZ5" s="3">
        <v>-8.7050000000000001</v>
      </c>
      <c r="BA5" s="1">
        <v>0.35714285714285715</v>
      </c>
      <c r="BB5" s="3">
        <v>-5.1183333333333332</v>
      </c>
      <c r="BC5" s="1">
        <v>7.1428571428571425E-2</v>
      </c>
      <c r="BD5" s="3">
        <v>-0.2150000000000003</v>
      </c>
      <c r="BE5" s="1">
        <v>0.7142857142857143</v>
      </c>
      <c r="BF5" s="3">
        <v>-16.086666666666666</v>
      </c>
      <c r="BG5" s="1">
        <v>0.2857142857142857</v>
      </c>
      <c r="BH5" s="3"/>
      <c r="BI5" s="1"/>
      <c r="BJ5" s="3">
        <v>-9.9483333333333324</v>
      </c>
      <c r="BK5" s="1">
        <v>0.38461538461538464</v>
      </c>
      <c r="BL5" s="3">
        <v>-11.243333333333334</v>
      </c>
      <c r="BM5" s="1">
        <v>0.15384615384615385</v>
      </c>
      <c r="BN5" s="3"/>
      <c r="BO5" s="1"/>
      <c r="BP5" s="3">
        <v>-0.25833333333333353</v>
      </c>
      <c r="BQ5" s="1">
        <v>0.5</v>
      </c>
      <c r="BR5" s="3">
        <v>-2.4233333333333342</v>
      </c>
      <c r="BS5" s="1">
        <v>0.5</v>
      </c>
      <c r="BT5" s="3"/>
      <c r="BU5" s="1"/>
      <c r="BV5" s="3">
        <v>-14.691666666666663</v>
      </c>
      <c r="BW5" s="1">
        <v>0.2857142857142857</v>
      </c>
      <c r="BX5" s="3">
        <v>1.2433333333333334</v>
      </c>
      <c r="BY5" s="1">
        <v>0.69230769230769229</v>
      </c>
      <c r="BZ5" s="3">
        <v>-14.458333333333334</v>
      </c>
      <c r="CA5" s="1">
        <v>0.23076923076923078</v>
      </c>
      <c r="CB5" s="3">
        <v>-4.7666666666666648</v>
      </c>
      <c r="CC5" s="1">
        <v>0.5</v>
      </c>
      <c r="CD5" s="3">
        <v>-1.6933333333333327</v>
      </c>
      <c r="CE5" s="1">
        <v>0.35714285714285715</v>
      </c>
      <c r="CF5" s="3"/>
      <c r="CG5" s="1"/>
      <c r="CH5" s="3"/>
      <c r="CI5" s="1"/>
      <c r="CJ5" s="3">
        <v>-2.0549999999999997</v>
      </c>
      <c r="CK5" s="1">
        <v>0.42857142857142855</v>
      </c>
      <c r="CL5" s="3">
        <v>3.0066666666666664</v>
      </c>
      <c r="CM5" s="1">
        <v>0.76923076923076927</v>
      </c>
      <c r="CN5" s="3">
        <v>0.89</v>
      </c>
      <c r="CO5" s="1">
        <v>0.35714285714285715</v>
      </c>
      <c r="CP5" s="3">
        <v>-16.084999999999997</v>
      </c>
      <c r="CQ5" s="1">
        <v>0.21428571428571427</v>
      </c>
      <c r="CR5" s="3">
        <v>-6.5966666666666667</v>
      </c>
      <c r="CS5" s="1">
        <v>0.35714285714285715</v>
      </c>
      <c r="CT5" s="3">
        <v>4.7983333333333329</v>
      </c>
      <c r="CU5" s="1">
        <v>0.84615384615384615</v>
      </c>
      <c r="CV5" s="3">
        <v>-3.605</v>
      </c>
      <c r="CW5" s="1">
        <v>0.53846153846153844</v>
      </c>
      <c r="CX5" s="3">
        <v>-14.943333333333333</v>
      </c>
      <c r="CY5" s="1">
        <v>0.14285714285714285</v>
      </c>
      <c r="CZ5" s="3"/>
      <c r="DA5" s="1"/>
      <c r="DB5" s="3">
        <v>-7.0949999999999989</v>
      </c>
      <c r="DC5" s="1">
        <v>0.53846153846153844</v>
      </c>
      <c r="DD5" s="3">
        <v>-0.77333333333333287</v>
      </c>
      <c r="DE5" s="1">
        <v>0.7142857142857143</v>
      </c>
      <c r="DF5" s="3">
        <v>0.42833333333333296</v>
      </c>
      <c r="DG5" s="1">
        <v>0.5714285714285714</v>
      </c>
      <c r="DH5" s="3">
        <v>-7.8183333333333342</v>
      </c>
      <c r="DI5" s="1">
        <v>0.42857142857142855</v>
      </c>
      <c r="DJ5" s="3">
        <v>-7.6083333333333316</v>
      </c>
      <c r="DK5" s="1">
        <v>0.5</v>
      </c>
      <c r="DL5" s="3">
        <v>-7.1966666666666654</v>
      </c>
      <c r="DM5" s="1">
        <v>0.5</v>
      </c>
      <c r="DN5" s="3">
        <v>-2.3833333333333337</v>
      </c>
      <c r="DO5" s="1">
        <v>0.5714285714285714</v>
      </c>
      <c r="DP5" s="3"/>
      <c r="DQ5" s="1"/>
      <c r="DR5" s="3"/>
      <c r="DS5" s="1"/>
      <c r="DT5" s="3">
        <v>-0.74499999999999977</v>
      </c>
      <c r="DU5" s="1">
        <v>0.42857142857142855</v>
      </c>
      <c r="DV5" s="3">
        <v>10.775</v>
      </c>
      <c r="DW5" s="1">
        <v>1</v>
      </c>
      <c r="DX5" s="3">
        <v>10.775</v>
      </c>
      <c r="DY5" s="1">
        <v>1</v>
      </c>
      <c r="DZ5" s="3">
        <v>6.5033333333333339</v>
      </c>
      <c r="EA5" s="1">
        <v>0.8571428571428571</v>
      </c>
      <c r="EB5" s="3">
        <v>-7.7083333333333357</v>
      </c>
      <c r="EC5" s="1">
        <v>0.2857142857142857</v>
      </c>
      <c r="ED5" s="3">
        <v>-2.7016666666666667</v>
      </c>
      <c r="EE5" s="1">
        <v>0.5714285714285714</v>
      </c>
      <c r="EF5" s="3">
        <v>-4.1916666666666673</v>
      </c>
      <c r="EG5" s="1">
        <v>0.5714285714285714</v>
      </c>
      <c r="EH5" s="3">
        <v>-2.33</v>
      </c>
      <c r="EI5" s="1">
        <v>0.5</v>
      </c>
      <c r="EJ5" s="3"/>
      <c r="EK5" s="1"/>
      <c r="EL5" s="3"/>
      <c r="EM5" s="1"/>
      <c r="EN5" s="3">
        <v>-8.2216666666666658</v>
      </c>
      <c r="EO5" s="1">
        <v>0.38461538461538464</v>
      </c>
      <c r="EP5" s="3"/>
      <c r="EQ5" s="1"/>
      <c r="ER5" s="3">
        <v>5.4816666666666682</v>
      </c>
      <c r="ES5" s="1">
        <v>0.7142857142857143</v>
      </c>
      <c r="ET5" s="3">
        <v>1.9200000000000002</v>
      </c>
      <c r="EU5" s="1">
        <v>0.7857142857142857</v>
      </c>
      <c r="EV5" s="3">
        <v>-7.6583333333333323</v>
      </c>
      <c r="EW5" s="1">
        <v>0.5714285714285714</v>
      </c>
      <c r="EX5" s="3">
        <v>8.8233333333333324</v>
      </c>
      <c r="EY5" s="1">
        <v>1</v>
      </c>
      <c r="EZ5" s="3"/>
      <c r="FA5" s="1"/>
      <c r="FB5" s="3">
        <v>2.2400000000000015</v>
      </c>
      <c r="FC5" s="1">
        <v>0.69230769230769229</v>
      </c>
      <c r="FD5" s="3">
        <v>-22.629999999999995</v>
      </c>
      <c r="FE5" s="1">
        <v>0.5</v>
      </c>
      <c r="FF5" s="3">
        <v>-18.52</v>
      </c>
      <c r="FG5" s="1">
        <v>0.35714285714285715</v>
      </c>
      <c r="FH5" s="3">
        <v>6.4799999999999995</v>
      </c>
      <c r="FI5" s="1">
        <v>0.66666666666666663</v>
      </c>
      <c r="FJ5" s="3">
        <v>-14.690000000000001</v>
      </c>
      <c r="FK5" s="1">
        <v>0.5</v>
      </c>
      <c r="FL5" s="3">
        <v>-5.910000000000001</v>
      </c>
      <c r="FM5" s="1">
        <v>0.5714285714285714</v>
      </c>
      <c r="FN5" s="3">
        <v>2.6500000000000021</v>
      </c>
      <c r="FO5" s="1">
        <v>0.7857142857142857</v>
      </c>
      <c r="FP5" s="3">
        <v>-17.979999999999997</v>
      </c>
      <c r="FQ5" s="1">
        <v>0.5</v>
      </c>
      <c r="FR5" s="3">
        <v>-7.129999999999999</v>
      </c>
      <c r="FS5" s="1">
        <v>0.5714285714285714</v>
      </c>
      <c r="FT5" s="3">
        <v>-24.979999999999997</v>
      </c>
      <c r="FU5" s="1">
        <v>0.35714285714285715</v>
      </c>
      <c r="FV5" s="3">
        <v>-11.349999999999998</v>
      </c>
      <c r="FW5" s="1">
        <v>0.35714285714285715</v>
      </c>
      <c r="FX5" s="3">
        <v>-35.159999999999997</v>
      </c>
      <c r="FY5" s="1">
        <v>0.2857142857142857</v>
      </c>
      <c r="FZ5" s="3">
        <v>2.7700000000000005</v>
      </c>
      <c r="GA5" s="1">
        <v>0.7142857142857143</v>
      </c>
      <c r="GB5" s="3">
        <v>-10.74</v>
      </c>
      <c r="GC5" s="1">
        <v>0.35714285714285715</v>
      </c>
      <c r="GD5" s="3">
        <v>2.3100000000000023</v>
      </c>
      <c r="GE5" s="1">
        <v>0.6428571428571429</v>
      </c>
      <c r="GF5" s="3">
        <v>-25.409999999999997</v>
      </c>
      <c r="GG5" s="1">
        <v>0.2857142857142857</v>
      </c>
      <c r="GH5" s="3">
        <v>-7.6900000000000039</v>
      </c>
      <c r="GI5" s="1">
        <v>0.6428571428571429</v>
      </c>
      <c r="GJ5" s="3">
        <v>-38.330000000000005</v>
      </c>
      <c r="GK5" s="1">
        <v>0.15384615384615385</v>
      </c>
      <c r="GL5" s="3">
        <v>-28.119999999999997</v>
      </c>
      <c r="GM5" s="1">
        <v>0.42857142857142855</v>
      </c>
      <c r="GN5" s="3"/>
      <c r="GO5" s="1"/>
      <c r="GP5" s="3">
        <v>12.66</v>
      </c>
      <c r="GQ5" s="1">
        <v>0.7857142857142857</v>
      </c>
      <c r="GR5" s="3">
        <v>-10.760000000000003</v>
      </c>
      <c r="GS5" s="1">
        <v>0.6428571428571429</v>
      </c>
      <c r="GT5" s="3">
        <v>21.099999999999998</v>
      </c>
      <c r="GU5" s="1">
        <v>0.8571428571428571</v>
      </c>
      <c r="GV5" s="3">
        <v>-18.39</v>
      </c>
      <c r="GW5" s="1">
        <v>0.5</v>
      </c>
      <c r="GX5" s="3">
        <v>2.3099999999999996</v>
      </c>
      <c r="GY5" s="1">
        <v>0.61538461538461542</v>
      </c>
      <c r="GZ5" s="3"/>
      <c r="HA5" s="1"/>
      <c r="HB5" s="3">
        <v>-0.3000000000000001</v>
      </c>
      <c r="HC5" s="1">
        <v>0.61538461538461542</v>
      </c>
      <c r="HD5" s="76">
        <v>-5.2899999999999991</v>
      </c>
      <c r="HE5" s="1">
        <v>0.5</v>
      </c>
      <c r="HF5" s="78">
        <v>13.429999999999998</v>
      </c>
      <c r="HG5" s="1">
        <v>0.8571428571428571</v>
      </c>
      <c r="HH5" s="79">
        <v>2.8400000000000016</v>
      </c>
      <c r="HI5" s="1">
        <v>0.6428571428571429</v>
      </c>
      <c r="HJ5" s="80">
        <v>11.49</v>
      </c>
      <c r="HK5" s="1">
        <v>0.76923076923076927</v>
      </c>
      <c r="HL5" s="81">
        <v>-15.87</v>
      </c>
      <c r="HM5" s="1">
        <v>0.42857142857142855</v>
      </c>
      <c r="HN5" s="82">
        <v>4.450000000000002</v>
      </c>
      <c r="HO5" s="1">
        <v>0.66666666666666663</v>
      </c>
      <c r="HP5" s="83">
        <v>-1.4</v>
      </c>
      <c r="HQ5" s="1">
        <v>0.35714285714285715</v>
      </c>
      <c r="HR5" s="84">
        <v>-4.1199999999999992</v>
      </c>
      <c r="HS5" s="1">
        <v>0.42857142857142855</v>
      </c>
      <c r="HT5" s="85">
        <v>-17.720000000000002</v>
      </c>
      <c r="HU5" s="1">
        <v>0.5</v>
      </c>
      <c r="HV5" s="88">
        <v>9.51</v>
      </c>
      <c r="HW5" s="1">
        <v>0.7142857142857143</v>
      </c>
      <c r="HX5" s="89"/>
      <c r="HY5" s="1"/>
      <c r="HZ5" s="91"/>
      <c r="IA5" s="1"/>
      <c r="IB5" s="92">
        <v>4.33</v>
      </c>
      <c r="IC5" s="1">
        <v>0.7142857142857143</v>
      </c>
      <c r="ID5" s="93">
        <v>-37.579999999999991</v>
      </c>
      <c r="IE5" s="1">
        <v>0.30769230769230771</v>
      </c>
      <c r="IF5" s="94">
        <v>-37.26</v>
      </c>
      <c r="IG5" s="1">
        <v>7.1428571428571425E-2</v>
      </c>
      <c r="IH5" s="97">
        <v>-31.760000000000005</v>
      </c>
      <c r="II5" s="1">
        <v>0.42857142857142855</v>
      </c>
      <c r="IJ5" s="98">
        <v>-60.789999999999992</v>
      </c>
      <c r="IK5" s="1">
        <v>0.14285714285714285</v>
      </c>
      <c r="IL5" s="99">
        <v>-14.329999999999998</v>
      </c>
      <c r="IM5" s="1">
        <v>0.5714285714285714</v>
      </c>
      <c r="IN5" s="100">
        <v>-9.2800000000000029</v>
      </c>
      <c r="IO5" s="1">
        <v>0.5</v>
      </c>
      <c r="IP5" s="101">
        <v>-53.239999999999988</v>
      </c>
      <c r="IQ5" s="1">
        <v>0.14285714285714285</v>
      </c>
      <c r="IR5" s="102"/>
      <c r="IS5" s="1"/>
      <c r="IT5" s="103"/>
      <c r="IU5" s="1"/>
      <c r="IV5" s="104">
        <v>-30.890000000000004</v>
      </c>
      <c r="IW5" s="1">
        <v>0.35714285714285715</v>
      </c>
      <c r="IX5" s="104">
        <v>-4.7600000000000025</v>
      </c>
      <c r="IY5" s="1">
        <v>0.6428571428571429</v>
      </c>
      <c r="IZ5" s="105"/>
      <c r="JA5" s="1"/>
      <c r="JB5" s="112"/>
      <c r="JC5" s="1"/>
      <c r="JD5" s="113"/>
      <c r="JE5" s="1"/>
      <c r="JF5" s="114">
        <v>-1.3700000000000014</v>
      </c>
      <c r="JG5" s="1">
        <v>0.5</v>
      </c>
      <c r="JH5" s="115">
        <v>8.36</v>
      </c>
      <c r="JI5" s="1">
        <v>0.6428571428571429</v>
      </c>
      <c r="JJ5" s="116">
        <v>2.0599999999999996</v>
      </c>
      <c r="JK5" s="1">
        <v>0.42857142857142855</v>
      </c>
      <c r="JL5" s="117">
        <v>-13.849999999999998</v>
      </c>
      <c r="JM5" s="1">
        <v>0.6428571428571429</v>
      </c>
      <c r="JN5" s="118">
        <v>-7.0100000000000007</v>
      </c>
      <c r="JO5" s="1">
        <v>0.5</v>
      </c>
      <c r="JP5" s="119">
        <v>-12.299999999999997</v>
      </c>
      <c r="JQ5" s="1">
        <v>0.35714285714285715</v>
      </c>
      <c r="JR5" s="120">
        <v>15.059999999999999</v>
      </c>
      <c r="JS5" s="1">
        <v>0.7857142857142857</v>
      </c>
      <c r="JT5" s="122"/>
      <c r="JU5" s="1"/>
      <c r="JV5" s="126"/>
      <c r="JW5" s="1"/>
      <c r="JX5" s="132"/>
      <c r="JY5" s="1"/>
      <c r="JZ5" s="133">
        <v>-8.25</v>
      </c>
      <c r="KA5" s="1">
        <v>0.5</v>
      </c>
      <c r="KB5" s="138">
        <v>-45.790000000000013</v>
      </c>
      <c r="KC5" s="1">
        <v>0.2857142857142857</v>
      </c>
      <c r="KD5" s="140">
        <v>4.8500000000000014</v>
      </c>
      <c r="KE5" s="1">
        <v>0.7142857142857143</v>
      </c>
      <c r="KF5" s="144">
        <v>-33.479999999999997</v>
      </c>
      <c r="KG5" s="1">
        <v>0.35714285714285715</v>
      </c>
      <c r="KH5" s="148">
        <v>6.0200000000000014</v>
      </c>
      <c r="KI5" s="1">
        <v>0.5714285714285714</v>
      </c>
      <c r="KJ5" s="152">
        <v>11.25</v>
      </c>
      <c r="KK5" s="1">
        <v>0.7142857142857143</v>
      </c>
      <c r="KL5" s="156">
        <v>-16.149999999999999</v>
      </c>
      <c r="KM5" s="1">
        <v>0.46153846153846156</v>
      </c>
      <c r="KN5" s="160">
        <v>-19.389999999999997</v>
      </c>
      <c r="KO5" s="1">
        <v>0.35714285714285715</v>
      </c>
      <c r="KP5" s="163"/>
      <c r="KQ5" s="1"/>
      <c r="KR5" s="165">
        <v>-7.9700000000000015</v>
      </c>
      <c r="KS5" s="1">
        <v>0.53846153846153844</v>
      </c>
      <c r="KT5" s="168"/>
      <c r="KU5" s="1"/>
      <c r="KV5" s="171">
        <v>10.210000000000001</v>
      </c>
      <c r="KW5" s="1">
        <v>0.7142857142857143</v>
      </c>
      <c r="KX5" s="174">
        <v>6.11</v>
      </c>
      <c r="KY5" s="1">
        <v>0.6428571428571429</v>
      </c>
      <c r="KZ5" s="179">
        <v>-31.769999999999996</v>
      </c>
      <c r="LA5" s="1">
        <v>0.30769230769230771</v>
      </c>
      <c r="LB5" s="183">
        <v>-23.989999999999995</v>
      </c>
      <c r="LC5" s="1">
        <v>0.35714285714285715</v>
      </c>
      <c r="LD5" s="187">
        <v>21.27</v>
      </c>
      <c r="LE5" s="1">
        <v>0.92307692307692313</v>
      </c>
      <c r="LF5" s="189">
        <v>-6.4499999999999966</v>
      </c>
      <c r="LG5" s="1">
        <v>0.66666666666666663</v>
      </c>
      <c r="LH5" s="191">
        <v>13.319999999999997</v>
      </c>
      <c r="LI5" s="1">
        <v>0.8571428571428571</v>
      </c>
      <c r="LJ5" s="194"/>
      <c r="LK5" s="1"/>
      <c r="LL5" s="196"/>
      <c r="LM5" s="1"/>
      <c r="LN5" s="198">
        <v>-17.160000000000004</v>
      </c>
      <c r="LO5" s="1">
        <v>0.5714285714285714</v>
      </c>
      <c r="LP5" s="200">
        <v>4.7200000000000006</v>
      </c>
      <c r="LQ5" s="1">
        <v>0.7857142857142857</v>
      </c>
      <c r="LR5" s="202">
        <v>30.21</v>
      </c>
      <c r="LS5" s="1">
        <v>1</v>
      </c>
      <c r="LT5" s="204">
        <v>-26.479999999999997</v>
      </c>
      <c r="LU5" s="1">
        <v>0.5</v>
      </c>
      <c r="LV5" s="206">
        <v>9.3699999999999992</v>
      </c>
      <c r="LW5" s="1">
        <v>0.83333333333333337</v>
      </c>
      <c r="LX5" s="208">
        <v>-7.74</v>
      </c>
      <c r="LY5" s="1">
        <v>0.61538461538461542</v>
      </c>
      <c r="LZ5" s="210">
        <v>7.9</v>
      </c>
      <c r="MA5" s="1">
        <v>0.75</v>
      </c>
      <c r="MB5" s="212">
        <v>7.5899999999999972</v>
      </c>
      <c r="MC5" s="1">
        <v>0.7857142857142857</v>
      </c>
      <c r="MD5" s="214"/>
      <c r="ME5" s="1"/>
      <c r="MF5" s="216">
        <v>-24.3</v>
      </c>
      <c r="MG5" s="1">
        <v>0.25</v>
      </c>
      <c r="MH5" s="218">
        <v>5.98</v>
      </c>
      <c r="MI5" s="1">
        <v>1</v>
      </c>
      <c r="MJ5" s="220">
        <v>-4.5199999999999996</v>
      </c>
      <c r="MK5" s="1">
        <v>0.5</v>
      </c>
      <c r="ML5" s="222">
        <v>-2.8800000000000008</v>
      </c>
      <c r="MM5" s="1">
        <v>0.6</v>
      </c>
      <c r="MN5" s="224">
        <v>2.27</v>
      </c>
      <c r="MO5" s="1">
        <v>1</v>
      </c>
      <c r="MP5" s="226">
        <v>2.09</v>
      </c>
      <c r="MQ5" s="1">
        <v>1</v>
      </c>
      <c r="MR5" s="228">
        <v>-3.6999999999999997</v>
      </c>
      <c r="MS5" s="1">
        <v>0.5</v>
      </c>
      <c r="MT5" s="230">
        <v>-6.25</v>
      </c>
      <c r="MU5" s="1">
        <v>0.5</v>
      </c>
      <c r="MV5" s="232">
        <v>0.30999999999999961</v>
      </c>
      <c r="MW5" s="1">
        <v>0.75</v>
      </c>
      <c r="MX5" s="234">
        <v>-2.4400000000000013</v>
      </c>
      <c r="MY5" s="1">
        <v>0.66666666666666663</v>
      </c>
      <c r="MZ5" s="236">
        <v>-15.89</v>
      </c>
      <c r="NA5" s="1">
        <v>0.2857142857142857</v>
      </c>
      <c r="NB5" s="238">
        <v>1.0999999999999988</v>
      </c>
      <c r="NC5" s="1">
        <v>0.66666666666666663</v>
      </c>
      <c r="ND5" s="240"/>
      <c r="NE5" s="1"/>
      <c r="NF5" s="242">
        <v>-1.2999999999999998</v>
      </c>
      <c r="NG5" s="1">
        <v>0.72727272727272729</v>
      </c>
      <c r="NH5" s="244">
        <v>-1.2999999999999998</v>
      </c>
      <c r="NI5" s="1">
        <v>0.72727272727272729</v>
      </c>
      <c r="NJ5" s="244">
        <v>-10.219999999999999</v>
      </c>
      <c r="NK5" s="1">
        <v>0.61538461538461542</v>
      </c>
      <c r="NL5" s="246"/>
      <c r="NM5" s="1"/>
      <c r="NN5" s="248"/>
      <c r="NO5" s="1"/>
      <c r="NP5" s="250">
        <v>7.19</v>
      </c>
      <c r="NQ5" s="1">
        <v>0.75</v>
      </c>
      <c r="NR5" s="252">
        <v>-1.0999999999999992</v>
      </c>
      <c r="NS5" s="1">
        <v>0.7142857142857143</v>
      </c>
      <c r="NT5" s="254">
        <v>-11.900000000000002</v>
      </c>
      <c r="NU5" s="1">
        <v>0.58333333333333337</v>
      </c>
      <c r="NV5" s="256">
        <v>-3.379999999999999</v>
      </c>
      <c r="NW5" s="1">
        <v>0.66666666666666663</v>
      </c>
      <c r="NX5" s="258">
        <v>-0.19</v>
      </c>
      <c r="NY5" s="1">
        <v>0.625</v>
      </c>
      <c r="NZ5" s="260">
        <v>22.98</v>
      </c>
      <c r="OA5" s="1">
        <v>0.91666666666666663</v>
      </c>
      <c r="OB5" s="262">
        <v>-3.67</v>
      </c>
      <c r="OC5" s="1">
        <v>0.5</v>
      </c>
      <c r="OD5" s="264">
        <v>-15.73</v>
      </c>
      <c r="OE5" s="1">
        <v>0</v>
      </c>
      <c r="OF5" s="266">
        <v>-24.03</v>
      </c>
      <c r="OG5" s="1">
        <v>0.5</v>
      </c>
      <c r="OH5" s="268">
        <v>-6.8800000000000017</v>
      </c>
      <c r="OI5" s="1">
        <v>0.5</v>
      </c>
      <c r="OJ5" s="270"/>
      <c r="OK5" s="1"/>
      <c r="OL5" s="272">
        <v>-16.98</v>
      </c>
      <c r="OM5" s="1">
        <v>0.5714285714285714</v>
      </c>
      <c r="ON5" s="274">
        <v>-33.43</v>
      </c>
      <c r="OO5" s="1">
        <v>0.42857142857142855</v>
      </c>
      <c r="OP5" s="276">
        <v>-24.110000000000003</v>
      </c>
      <c r="OQ5" s="1">
        <v>0.42857142857142855</v>
      </c>
      <c r="OR5" s="278">
        <v>-7.73</v>
      </c>
      <c r="OS5" s="1">
        <v>0.6428571428571429</v>
      </c>
      <c r="OT5" s="280">
        <v>4.2699999999999996</v>
      </c>
      <c r="OU5" s="1">
        <v>0.66666666666666663</v>
      </c>
      <c r="OV5" s="282"/>
      <c r="OW5" s="1"/>
      <c r="OX5" s="285">
        <v>6.6599999999999993</v>
      </c>
      <c r="OY5" s="1">
        <v>0.7857142857142857</v>
      </c>
      <c r="OZ5" s="288">
        <v>-13.2</v>
      </c>
      <c r="PA5" s="1">
        <v>0.53333333333333333</v>
      </c>
      <c r="PB5" s="292">
        <v>-18.930000000000003</v>
      </c>
      <c r="PC5" s="1">
        <v>0.53846153846153844</v>
      </c>
      <c r="PD5" s="297">
        <v>-0.51999999999999869</v>
      </c>
      <c r="PE5" s="1">
        <v>0.73333333333333328</v>
      </c>
      <c r="PF5" s="298">
        <v>30.970000000000002</v>
      </c>
      <c r="PG5" s="1">
        <v>1</v>
      </c>
      <c r="PH5" s="301">
        <v>4.7300000000000013</v>
      </c>
      <c r="PI5" s="1">
        <v>0.6428571428571429</v>
      </c>
      <c r="PJ5" s="302"/>
      <c r="PK5" s="1"/>
      <c r="PL5" s="309"/>
      <c r="PM5" s="1"/>
      <c r="PN5" s="313"/>
      <c r="PO5" s="1"/>
      <c r="PP5" s="313">
        <v>-2.92</v>
      </c>
      <c r="PQ5" s="1">
        <v>0.7142857142857143</v>
      </c>
      <c r="PR5" s="315">
        <v>-14.6</v>
      </c>
      <c r="PS5" s="1">
        <v>0.5714285714285714</v>
      </c>
      <c r="PT5" s="318">
        <v>-29.52</v>
      </c>
      <c r="PU5" s="1">
        <v>0.5</v>
      </c>
      <c r="PV5" s="321">
        <v>-18.669999999999998</v>
      </c>
      <c r="PW5" s="1">
        <v>0.5714285714285714</v>
      </c>
      <c r="PX5" s="323">
        <v>5.9100000000000019</v>
      </c>
      <c r="PY5" s="1">
        <v>0.7857142857142857</v>
      </c>
      <c r="PZ5" s="325">
        <v>-35.849999999999994</v>
      </c>
      <c r="QA5" s="1">
        <v>0.42857142857142855</v>
      </c>
      <c r="QB5" s="327">
        <v>-9.3099999999999987</v>
      </c>
      <c r="QC5" s="1">
        <v>0.6428571428571429</v>
      </c>
      <c r="QD5" s="334">
        <v>20.240000000000006</v>
      </c>
      <c r="QE5" s="1">
        <v>0.7857142857142857</v>
      </c>
      <c r="QF5" s="339">
        <v>-13.4</v>
      </c>
      <c r="QG5" s="1">
        <v>0.5714285714285714</v>
      </c>
      <c r="QH5" s="345">
        <v>-14.35</v>
      </c>
      <c r="QI5" s="1">
        <v>0.42857142857142855</v>
      </c>
      <c r="QJ5" s="352">
        <v>-39.510000000000005</v>
      </c>
      <c r="QK5" s="1">
        <v>0.30769230769230771</v>
      </c>
      <c r="QL5" s="356">
        <v>8.0499999999999972</v>
      </c>
      <c r="QM5" s="1">
        <v>0.7857142857142857</v>
      </c>
      <c r="QN5" s="360">
        <v>-12.129999999999999</v>
      </c>
      <c r="QO5" s="1">
        <v>0.5</v>
      </c>
      <c r="QP5" s="363">
        <v>-33.86</v>
      </c>
      <c r="QQ5" s="1">
        <v>7.6923076923076927E-2</v>
      </c>
      <c r="QR5" s="366">
        <v>18.730000000000004</v>
      </c>
      <c r="QS5" s="1">
        <v>0.84615384615384615</v>
      </c>
      <c r="QT5" s="371">
        <v>19.38</v>
      </c>
      <c r="QU5" s="1">
        <v>0.83333333333333337</v>
      </c>
      <c r="QV5" s="374">
        <v>3.8599999999999994</v>
      </c>
      <c r="QW5" s="1">
        <v>0.6428571428571429</v>
      </c>
      <c r="QX5" s="378">
        <v>-7.5499999999999989</v>
      </c>
      <c r="QY5" s="1">
        <v>0.42857142857142855</v>
      </c>
      <c r="QZ5" s="386"/>
      <c r="RA5" s="1"/>
      <c r="RB5" s="395">
        <v>-5.0100000000000016</v>
      </c>
      <c r="RC5" s="1">
        <v>0.53846153846153844</v>
      </c>
      <c r="RD5" s="399">
        <v>6.5899999999999981</v>
      </c>
      <c r="RE5" s="1">
        <v>0.73333333333333328</v>
      </c>
      <c r="RF5" s="399">
        <v>16.95</v>
      </c>
      <c r="RG5" s="1">
        <v>0.8571428571428571</v>
      </c>
      <c r="RH5" s="403">
        <v>5.3500000000000032</v>
      </c>
      <c r="RI5" s="1">
        <v>0.7857142857142857</v>
      </c>
      <c r="RJ5" s="405">
        <v>4.669999999999999</v>
      </c>
      <c r="RK5" s="1">
        <v>0.69230769230769229</v>
      </c>
      <c r="RL5" s="407"/>
      <c r="RM5" s="1"/>
      <c r="RN5" s="410">
        <v>10.810000000000002</v>
      </c>
      <c r="RO5" s="1">
        <v>0.7857142857142857</v>
      </c>
      <c r="RP5" s="412">
        <v>12.02</v>
      </c>
      <c r="RQ5" s="1">
        <v>0.8571428571428571</v>
      </c>
      <c r="RR5" s="415">
        <v>-15.190000000000005</v>
      </c>
      <c r="RS5" s="1">
        <v>0.5714285714285714</v>
      </c>
      <c r="RT5" s="417">
        <v>-6.54</v>
      </c>
      <c r="RU5" s="1">
        <v>0.6428571428571429</v>
      </c>
      <c r="RV5" s="422">
        <v>-41.02</v>
      </c>
      <c r="RW5" s="1">
        <v>0.2857142857142857</v>
      </c>
      <c r="RX5" s="427">
        <v>16.850000000000001</v>
      </c>
      <c r="RY5" s="1">
        <v>0.7857142857142857</v>
      </c>
      <c r="RZ5" s="433">
        <v>13.29</v>
      </c>
      <c r="SA5" s="1">
        <v>0.8571428571428571</v>
      </c>
      <c r="SB5" s="436">
        <v>-43.68</v>
      </c>
      <c r="SC5" s="1">
        <v>0.35714285714285715</v>
      </c>
      <c r="SD5" s="443">
        <v>-29.590000000000003</v>
      </c>
      <c r="SE5" s="1">
        <v>0.42857142857142855</v>
      </c>
      <c r="SF5" s="445"/>
      <c r="SG5" s="1"/>
      <c r="SH5" s="450">
        <v>-11.98</v>
      </c>
      <c r="SI5" s="1">
        <v>0.61538461538461542</v>
      </c>
      <c r="SJ5" s="452">
        <v>-31.86</v>
      </c>
      <c r="SK5" s="1">
        <v>0.42857142857142855</v>
      </c>
      <c r="SL5" s="457">
        <v>-18.029999999999998</v>
      </c>
      <c r="SM5" s="1">
        <v>0.5</v>
      </c>
      <c r="SN5" s="459">
        <v>-19.889999999999997</v>
      </c>
      <c r="SO5" s="1">
        <v>0.5714285714285714</v>
      </c>
      <c r="SP5" s="461">
        <v>8.34</v>
      </c>
      <c r="SQ5" s="1">
        <v>0.69230769230769229</v>
      </c>
      <c r="SR5" s="463">
        <v>-29.450000000000003</v>
      </c>
      <c r="SS5" s="1">
        <v>0.46153846153846156</v>
      </c>
      <c r="ST5" s="464">
        <v>28.54</v>
      </c>
      <c r="SU5" s="1">
        <v>1</v>
      </c>
      <c r="SV5" s="466">
        <v>20.539999999999996</v>
      </c>
      <c r="SW5" s="1">
        <v>0.8571428571428571</v>
      </c>
      <c r="SX5" s="467"/>
      <c r="SY5" s="1"/>
      <c r="SZ5" s="469">
        <v>-45.47</v>
      </c>
      <c r="TA5" s="1">
        <v>0.35714285714285715</v>
      </c>
      <c r="TB5" s="471">
        <v>-1.5199999999999996</v>
      </c>
      <c r="TC5" s="1">
        <v>0.69230769230769229</v>
      </c>
      <c r="TD5" s="472">
        <v>-4.6499999999999986</v>
      </c>
      <c r="TE5" s="1">
        <v>0.53846153846153844</v>
      </c>
      <c r="TF5" s="474">
        <v>6.3999999999999986</v>
      </c>
      <c r="TG5" s="1">
        <v>0.76923076923076927</v>
      </c>
      <c r="TH5" s="488">
        <v>-4.9999999999999822E-2</v>
      </c>
      <c r="TI5" s="1">
        <v>0.6428571428571429</v>
      </c>
      <c r="TJ5" s="489">
        <v>-8.16</v>
      </c>
      <c r="TK5" s="1">
        <v>0.6428571428571429</v>
      </c>
      <c r="TL5" s="490">
        <v>-10.790000000000001</v>
      </c>
      <c r="TM5" s="1">
        <v>0.5</v>
      </c>
      <c r="TN5" s="495"/>
      <c r="TO5" s="1"/>
      <c r="TP5" s="500">
        <v>-21.95</v>
      </c>
      <c r="TQ5" s="1">
        <v>0.5</v>
      </c>
      <c r="TR5" s="511">
        <v>-0.5500000000000016</v>
      </c>
      <c r="TS5" s="1">
        <v>0.6428571428571429</v>
      </c>
      <c r="TT5" s="515">
        <v>-27.01</v>
      </c>
      <c r="TU5" s="1">
        <v>0.42857142857142855</v>
      </c>
      <c r="TV5" s="518">
        <v>-2.84</v>
      </c>
      <c r="TW5" s="1">
        <v>0.6428571428571429</v>
      </c>
      <c r="TX5" s="521"/>
      <c r="TY5" s="1"/>
      <c r="TZ5" s="524">
        <v>-3.1999999999999975</v>
      </c>
      <c r="UA5" s="1">
        <v>0.6428571428571429</v>
      </c>
      <c r="UB5" s="527">
        <v>-23.379999999999995</v>
      </c>
      <c r="UC5" s="1">
        <v>0.46666666666666667</v>
      </c>
      <c r="UD5" s="530">
        <v>-41</v>
      </c>
      <c r="UE5" s="1">
        <v>0.4</v>
      </c>
      <c r="UF5" s="533">
        <v>-14.560000000000002</v>
      </c>
      <c r="UG5" s="1">
        <v>0.46666666666666667</v>
      </c>
      <c r="UH5" s="536">
        <v>-50.66</v>
      </c>
      <c r="UI5" s="1">
        <v>0.26666666666666666</v>
      </c>
      <c r="UJ5" s="539">
        <v>-3.4699999999999989</v>
      </c>
      <c r="UK5" s="1">
        <v>0.53333333333333333</v>
      </c>
      <c r="UL5" s="540">
        <v>-14.330000000000002</v>
      </c>
      <c r="UM5" s="1">
        <v>0.46666666666666667</v>
      </c>
      <c r="UN5" s="543">
        <v>1.6799999999999973</v>
      </c>
      <c r="UO5" s="1">
        <v>0.7142857142857143</v>
      </c>
      <c r="UP5" s="544">
        <v>-3.4899999999999984</v>
      </c>
      <c r="UQ5" s="1">
        <v>0.6428571428571429</v>
      </c>
      <c r="UR5" s="551">
        <v>20.89</v>
      </c>
      <c r="US5" s="1">
        <v>0.8666666666666667</v>
      </c>
      <c r="UT5" s="551">
        <v>-14.749999999999996</v>
      </c>
      <c r="UU5" s="1">
        <v>0.35714285714285715</v>
      </c>
      <c r="UV5" s="562">
        <v>12.77</v>
      </c>
      <c r="UW5" s="1">
        <v>0.9</v>
      </c>
      <c r="UX5" s="566">
        <v>-12.56</v>
      </c>
      <c r="UY5" s="1">
        <v>0.35714285714285715</v>
      </c>
      <c r="UZ5" s="568"/>
      <c r="VA5" s="1"/>
      <c r="VB5" s="572">
        <v>-13.760000000000007</v>
      </c>
      <c r="VC5" s="1">
        <v>0.6</v>
      </c>
      <c r="VD5" s="576">
        <v>-15.72</v>
      </c>
      <c r="VE5" s="1">
        <v>0.42857142857142855</v>
      </c>
      <c r="VF5" s="580">
        <v>-1.8699999999999999</v>
      </c>
      <c r="VG5" s="1">
        <v>0.6428571428571429</v>
      </c>
      <c r="VH5" s="584">
        <v>-24.269999999999996</v>
      </c>
      <c r="VI5" s="1">
        <v>0.46666666666666667</v>
      </c>
      <c r="VJ5" s="589">
        <v>2.5399999999999978</v>
      </c>
      <c r="VK5" s="1">
        <v>0.6428571428571429</v>
      </c>
      <c r="VL5" s="593">
        <v>-13.739999999999998</v>
      </c>
      <c r="VM5" s="1">
        <v>0.46666666666666667</v>
      </c>
      <c r="VN5" s="597">
        <v>-38.889999999999993</v>
      </c>
      <c r="VO5" s="1">
        <v>0.2</v>
      </c>
      <c r="VP5" s="601">
        <v>-19.8</v>
      </c>
      <c r="VQ5" s="1">
        <v>0.38461538461538464</v>
      </c>
      <c r="VR5" s="603"/>
      <c r="VS5" s="1"/>
      <c r="VT5" s="607">
        <v>-19.790000000000006</v>
      </c>
      <c r="VU5" s="1">
        <v>0.46666666666666667</v>
      </c>
      <c r="VV5" s="609">
        <v>3.72</v>
      </c>
      <c r="VW5" s="1">
        <v>0.66666666666666663</v>
      </c>
      <c r="VX5" s="613">
        <v>4.1600000000000019</v>
      </c>
      <c r="VY5" s="1">
        <v>0.7857142857142857</v>
      </c>
      <c r="VZ5" s="617">
        <v>-6</v>
      </c>
      <c r="WA5" s="1">
        <v>0.2857142857142857</v>
      </c>
      <c r="WB5" s="619"/>
      <c r="WC5" s="1"/>
      <c r="WD5" s="624">
        <v>-19.39</v>
      </c>
      <c r="WE5" s="1">
        <v>0.46666666666666667</v>
      </c>
      <c r="WF5" s="626">
        <v>13.910000000000004</v>
      </c>
      <c r="WG5" s="1">
        <v>0.84615384615384615</v>
      </c>
      <c r="WH5" s="630">
        <v>16.379999999999995</v>
      </c>
      <c r="WI5" s="1">
        <v>0.8571428571428571</v>
      </c>
      <c r="WJ5" s="636">
        <v>3.4599999999999982</v>
      </c>
      <c r="WK5" s="1">
        <v>0.7142857142857143</v>
      </c>
      <c r="WL5" s="638">
        <v>-53.569999999999993</v>
      </c>
      <c r="WM5" s="1">
        <v>0.2857142857142857</v>
      </c>
      <c r="WN5" s="642">
        <v>-21.7</v>
      </c>
      <c r="WO5" s="1">
        <v>0.5</v>
      </c>
      <c r="WP5" s="646">
        <v>-31.25</v>
      </c>
      <c r="WQ5" s="1">
        <v>0.2857142857142857</v>
      </c>
      <c r="WR5" s="652">
        <v>29.420000000000009</v>
      </c>
      <c r="WS5" s="1">
        <v>1</v>
      </c>
      <c r="WT5" s="659">
        <v>-12.599999999999998</v>
      </c>
      <c r="WU5" s="1">
        <v>0.53846153846153844</v>
      </c>
      <c r="WV5" s="659">
        <v>-65.260000000000005</v>
      </c>
      <c r="WW5" s="1">
        <v>7.1428571428571425E-2</v>
      </c>
      <c r="WX5" s="672">
        <v>-4.6700000000000035</v>
      </c>
      <c r="WY5" s="1">
        <v>0.66666666666666663</v>
      </c>
      <c r="WZ5" s="677"/>
      <c r="XA5" s="1"/>
      <c r="XB5" s="681">
        <v>24.43</v>
      </c>
      <c r="XC5" s="1">
        <v>0.9285714285714286</v>
      </c>
      <c r="XD5" s="683"/>
      <c r="XE5" s="1"/>
      <c r="XF5" s="687">
        <v>-6.84</v>
      </c>
      <c r="XG5" s="1">
        <v>0.6428571428571429</v>
      </c>
      <c r="XH5" s="689">
        <v>5.2799999999999994</v>
      </c>
      <c r="XI5" s="1">
        <v>0.7857142857142857</v>
      </c>
      <c r="XJ5" s="696">
        <v>-15.33</v>
      </c>
      <c r="XK5" s="1">
        <v>0.53333333333333333</v>
      </c>
      <c r="XL5" s="696">
        <v>0.84999999999999698</v>
      </c>
      <c r="XM5" s="1">
        <v>0.7142857142857143</v>
      </c>
      <c r="XN5" s="696">
        <v>-15.379999999999999</v>
      </c>
      <c r="XO5" s="1">
        <v>0.58620689655172409</v>
      </c>
      <c r="XP5" s="700">
        <v>-26.25</v>
      </c>
      <c r="XQ5" s="1">
        <v>0.42857142857142855</v>
      </c>
      <c r="XR5" s="705">
        <v>-4.72</v>
      </c>
      <c r="XS5" s="1">
        <v>0.62068965517241381</v>
      </c>
      <c r="XT5" s="709">
        <v>10.719999999999997</v>
      </c>
      <c r="XU5" s="1">
        <v>0.66666666666666663</v>
      </c>
      <c r="XV5" s="715"/>
      <c r="XW5" s="1"/>
    </row>
    <row r="6" spans="2:647" x14ac:dyDescent="0.25">
      <c r="B6" s="755"/>
      <c r="C6" s="736"/>
      <c r="D6" s="725" t="s">
        <v>17</v>
      </c>
      <c r="E6" s="725"/>
      <c r="F6" s="55">
        <v>0.4</v>
      </c>
      <c r="G6" s="769"/>
      <c r="H6" s="4">
        <v>-0.85571428571428576</v>
      </c>
      <c r="I6" s="5">
        <v>0.375</v>
      </c>
      <c r="J6" s="4">
        <v>-1.082857142857143</v>
      </c>
      <c r="K6" s="5">
        <v>0.14285714285714285</v>
      </c>
      <c r="L6" s="4">
        <v>-1.995714285714286</v>
      </c>
      <c r="M6" s="5">
        <v>0.4</v>
      </c>
      <c r="N6" s="4">
        <v>-2.6828571428571428</v>
      </c>
      <c r="O6" s="5">
        <v>0</v>
      </c>
      <c r="P6" s="4">
        <v>-8.4285714285714269E-2</v>
      </c>
      <c r="Q6" s="5">
        <v>0.42857142857142855</v>
      </c>
      <c r="R6" s="4">
        <v>-2.1785714285714284</v>
      </c>
      <c r="S6" s="5">
        <v>0.125</v>
      </c>
      <c r="T6" s="4"/>
      <c r="U6" s="5"/>
      <c r="V6" s="4">
        <v>-1.2585714285714287</v>
      </c>
      <c r="W6" s="5">
        <v>0.2857142857142857</v>
      </c>
      <c r="X6" s="4"/>
      <c r="Y6" s="5"/>
      <c r="Z6" s="4">
        <v>-1.8571428571428572</v>
      </c>
      <c r="AA6" s="5">
        <v>0.25</v>
      </c>
      <c r="AB6" s="4"/>
      <c r="AC6" s="5"/>
      <c r="AD6" s="4">
        <v>-0.35285714285714309</v>
      </c>
      <c r="AE6" s="5">
        <v>0.5</v>
      </c>
      <c r="AF6" s="4"/>
      <c r="AG6" s="5"/>
      <c r="AH6" s="4">
        <v>0.27142857142857157</v>
      </c>
      <c r="AI6" s="5">
        <v>0.75</v>
      </c>
      <c r="AJ6" s="4">
        <v>-1.7342857142857142</v>
      </c>
      <c r="AK6" s="5">
        <v>0.33333333333333331</v>
      </c>
      <c r="AL6" s="4">
        <v>-3.8571428571428604E-2</v>
      </c>
      <c r="AM6" s="5">
        <v>0.5</v>
      </c>
      <c r="AN6" s="4"/>
      <c r="AO6" s="5"/>
      <c r="AP6" s="4">
        <v>0.28999999999999998</v>
      </c>
      <c r="AQ6" s="5">
        <v>0.2857142857142857</v>
      </c>
      <c r="AR6" s="4">
        <v>-0.88142857142857145</v>
      </c>
      <c r="AS6" s="5">
        <v>0.25</v>
      </c>
      <c r="AT6" s="4"/>
      <c r="AU6" s="5"/>
      <c r="AV6" s="4">
        <v>-0.20428571428571435</v>
      </c>
      <c r="AW6" s="5">
        <v>0.75</v>
      </c>
      <c r="AX6" s="4">
        <v>0.72857142857142854</v>
      </c>
      <c r="AY6" s="5">
        <v>0.5714285714285714</v>
      </c>
      <c r="AZ6" s="4">
        <v>-0.39857142857142858</v>
      </c>
      <c r="BA6" s="5">
        <v>0.8</v>
      </c>
      <c r="BB6" s="4">
        <v>-1.5828571428571425</v>
      </c>
      <c r="BC6" s="5">
        <v>0.14285714285714285</v>
      </c>
      <c r="BD6" s="4">
        <v>-1.9442857142857142</v>
      </c>
      <c r="BE6" s="5">
        <v>0.25</v>
      </c>
      <c r="BF6" s="4">
        <v>-3.4314285714285711</v>
      </c>
      <c r="BG6" s="5">
        <v>0.27272727272727271</v>
      </c>
      <c r="BH6" s="4"/>
      <c r="BI6" s="5"/>
      <c r="BJ6" s="4">
        <v>-3.8671428571428565</v>
      </c>
      <c r="BK6" s="5">
        <v>0.33333333333333331</v>
      </c>
      <c r="BL6" s="4">
        <v>-0.6914285714285715</v>
      </c>
      <c r="BM6" s="5">
        <v>0.4</v>
      </c>
      <c r="BN6" s="4"/>
      <c r="BO6" s="5"/>
      <c r="BP6" s="4">
        <v>-1.0228571428571429</v>
      </c>
      <c r="BQ6" s="5">
        <v>0.5</v>
      </c>
      <c r="BR6" s="4">
        <v>1.0357142857142858</v>
      </c>
      <c r="BS6" s="5">
        <v>0.66666666666666663</v>
      </c>
      <c r="BT6" s="4"/>
      <c r="BU6" s="5"/>
      <c r="BV6" s="4">
        <v>-1.1171428571428572</v>
      </c>
      <c r="BW6" s="5">
        <v>0.33333333333333331</v>
      </c>
      <c r="BX6" s="4">
        <v>0.42428571428571421</v>
      </c>
      <c r="BY6" s="5">
        <v>0.5</v>
      </c>
      <c r="BZ6" s="4">
        <v>-1.5757142857142856</v>
      </c>
      <c r="CA6" s="5">
        <v>0.2857142857142857</v>
      </c>
      <c r="CB6" s="4">
        <v>-1.6242857142857143</v>
      </c>
      <c r="CC6" s="5">
        <v>0.44444444444444442</v>
      </c>
      <c r="CD6" s="4">
        <v>-0.1842857142857143</v>
      </c>
      <c r="CE6" s="5">
        <v>0.33333333333333331</v>
      </c>
      <c r="CF6" s="4"/>
      <c r="CG6" s="5"/>
      <c r="CH6" s="4"/>
      <c r="CI6" s="5"/>
      <c r="CJ6" s="4">
        <v>0.62428571428571433</v>
      </c>
      <c r="CK6" s="5">
        <v>0.625</v>
      </c>
      <c r="CL6" s="4">
        <v>0.88285714285714278</v>
      </c>
      <c r="CM6" s="5">
        <v>0.5</v>
      </c>
      <c r="CN6" s="4">
        <v>-0.7857142857142857</v>
      </c>
      <c r="CO6" s="5">
        <v>0</v>
      </c>
      <c r="CP6" s="4">
        <v>-1.7542857142857144</v>
      </c>
      <c r="CQ6" s="5">
        <v>0.2857142857142857</v>
      </c>
      <c r="CR6" s="4">
        <v>-1.9371428571428571</v>
      </c>
      <c r="CS6" s="5">
        <v>0.125</v>
      </c>
      <c r="CT6" s="4">
        <v>-1.907142857142857</v>
      </c>
      <c r="CU6" s="5">
        <v>0.5</v>
      </c>
      <c r="CV6" s="4">
        <v>0.18142857142857136</v>
      </c>
      <c r="CW6" s="5">
        <v>0.5</v>
      </c>
      <c r="CX6" s="4">
        <v>-1.3014285714285714</v>
      </c>
      <c r="CY6" s="5">
        <v>0.5714285714285714</v>
      </c>
      <c r="CZ6" s="4"/>
      <c r="DA6" s="5"/>
      <c r="DB6" s="4">
        <v>0.11571428571428578</v>
      </c>
      <c r="DC6" s="5">
        <v>0.4</v>
      </c>
      <c r="DD6" s="4">
        <v>-1.0885714285714285</v>
      </c>
      <c r="DE6" s="5">
        <v>0.5714285714285714</v>
      </c>
      <c r="DF6" s="4">
        <v>0.57428571428571451</v>
      </c>
      <c r="DG6" s="5">
        <v>0.5</v>
      </c>
      <c r="DH6" s="4">
        <v>-2.4828571428571427</v>
      </c>
      <c r="DI6" s="5">
        <v>0.33333333333333331</v>
      </c>
      <c r="DJ6" s="4">
        <v>-2.1285714285714286</v>
      </c>
      <c r="DK6" s="5">
        <v>0.42857142857142855</v>
      </c>
      <c r="DL6" s="4">
        <v>-0.30571428571428577</v>
      </c>
      <c r="DM6" s="5">
        <v>0.5</v>
      </c>
      <c r="DN6" s="4">
        <v>1.2814285714285716</v>
      </c>
      <c r="DO6" s="5">
        <v>0.75</v>
      </c>
      <c r="DP6" s="4"/>
      <c r="DQ6" s="5"/>
      <c r="DR6" s="4"/>
      <c r="DS6" s="5"/>
      <c r="DT6" s="4">
        <v>2.7557142857142858</v>
      </c>
      <c r="DU6" s="5">
        <v>0.875</v>
      </c>
      <c r="DV6" s="4">
        <v>0.63857142857142857</v>
      </c>
      <c r="DW6" s="5">
        <v>0.44444444444444442</v>
      </c>
      <c r="DX6" s="4">
        <v>0.63857142857142857</v>
      </c>
      <c r="DY6" s="5">
        <v>0.44444444444444442</v>
      </c>
      <c r="DZ6" s="4">
        <v>0.5071428571428569</v>
      </c>
      <c r="EA6" s="5">
        <v>0.44444444444444442</v>
      </c>
      <c r="EB6" s="4">
        <v>-2.3857142857142857</v>
      </c>
      <c r="EC6" s="5">
        <v>0.22222222222222221</v>
      </c>
      <c r="ED6" s="4">
        <v>-1.7585714285714287</v>
      </c>
      <c r="EE6" s="5">
        <v>0.14285714285714285</v>
      </c>
      <c r="EF6" s="4">
        <v>-3.4271428571428575</v>
      </c>
      <c r="EG6" s="5">
        <v>0.33333333333333331</v>
      </c>
      <c r="EH6" s="4">
        <v>0.11857142857142862</v>
      </c>
      <c r="EI6" s="5">
        <v>0.42857142857142855</v>
      </c>
      <c r="EJ6" s="4"/>
      <c r="EK6" s="5"/>
      <c r="EL6" s="4"/>
      <c r="EM6" s="5"/>
      <c r="EN6" s="4">
        <v>-2.2028571428571433</v>
      </c>
      <c r="EO6" s="5">
        <v>0.33333333333333331</v>
      </c>
      <c r="EP6" s="4"/>
      <c r="EQ6" s="5"/>
      <c r="ER6" s="4">
        <v>0.6785714285714286</v>
      </c>
      <c r="ES6" s="5">
        <v>0.63636363636363635</v>
      </c>
      <c r="ET6" s="4">
        <v>-1.6357142857142859</v>
      </c>
      <c r="EU6" s="5">
        <v>0.16666666666666666</v>
      </c>
      <c r="EV6" s="4">
        <v>-1.8485714285714288</v>
      </c>
      <c r="EW6" s="5">
        <v>0.375</v>
      </c>
      <c r="EX6" s="4">
        <v>-1.1071428571428572</v>
      </c>
      <c r="EY6" s="5">
        <v>0.44444444444444442</v>
      </c>
      <c r="EZ6" s="4"/>
      <c r="FA6" s="5"/>
      <c r="FB6" s="4">
        <v>-13.28</v>
      </c>
      <c r="FC6" s="5">
        <v>0.25</v>
      </c>
      <c r="FD6" s="4">
        <v>-5.5500000000000007</v>
      </c>
      <c r="FE6" s="5">
        <v>0.42857142857142855</v>
      </c>
      <c r="FF6" s="4">
        <v>-4.38</v>
      </c>
      <c r="FG6" s="5">
        <v>0.16666666666666666</v>
      </c>
      <c r="FH6" s="4">
        <v>-11.62</v>
      </c>
      <c r="FI6" s="5">
        <v>0</v>
      </c>
      <c r="FJ6" s="4">
        <v>9.1800000000000015</v>
      </c>
      <c r="FK6" s="5">
        <v>0.8571428571428571</v>
      </c>
      <c r="FL6" s="4">
        <v>-11.810000000000002</v>
      </c>
      <c r="FM6" s="5">
        <v>0.625</v>
      </c>
      <c r="FN6" s="4">
        <v>-4.29</v>
      </c>
      <c r="FO6" s="5">
        <v>0.42857142857142855</v>
      </c>
      <c r="FP6" s="4">
        <v>-9.75</v>
      </c>
      <c r="FQ6" s="5">
        <v>0.22222222222222221</v>
      </c>
      <c r="FR6" s="4">
        <v>-8.1000000000000014</v>
      </c>
      <c r="FS6" s="5">
        <v>0.33333333333333331</v>
      </c>
      <c r="FT6" s="4">
        <v>-13.270000000000001</v>
      </c>
      <c r="FU6" s="5">
        <v>0</v>
      </c>
      <c r="FV6" s="4">
        <v>-9.879999999999999</v>
      </c>
      <c r="FW6" s="5">
        <v>0.1</v>
      </c>
      <c r="FX6" s="4">
        <v>-2.5999999999999996</v>
      </c>
      <c r="FY6" s="5">
        <v>0.2</v>
      </c>
      <c r="FZ6" s="4">
        <v>-10.6</v>
      </c>
      <c r="GA6" s="5">
        <v>0</v>
      </c>
      <c r="GB6" s="4">
        <v>-5.81</v>
      </c>
      <c r="GC6" s="5">
        <v>0.2857142857142857</v>
      </c>
      <c r="GD6" s="4">
        <v>-9.3500000000000014</v>
      </c>
      <c r="GE6" s="5">
        <v>0.125</v>
      </c>
      <c r="GF6" s="4">
        <v>-11.69</v>
      </c>
      <c r="GG6" s="5">
        <v>0.22222222222222221</v>
      </c>
      <c r="GH6" s="4">
        <v>4.4799999999999995</v>
      </c>
      <c r="GI6" s="5">
        <v>0.55555555555555558</v>
      </c>
      <c r="GJ6" s="4">
        <v>-4.32</v>
      </c>
      <c r="GK6" s="5">
        <v>0.25</v>
      </c>
      <c r="GL6" s="4">
        <v>0.56000000000000005</v>
      </c>
      <c r="GM6" s="5">
        <v>0.7142857142857143</v>
      </c>
      <c r="GN6" s="4"/>
      <c r="GO6" s="5"/>
      <c r="GP6" s="4">
        <v>2.2699999999999996</v>
      </c>
      <c r="GQ6" s="5">
        <v>0.375</v>
      </c>
      <c r="GR6" s="4">
        <v>3.09</v>
      </c>
      <c r="GS6" s="5">
        <v>0.5</v>
      </c>
      <c r="GT6" s="4">
        <v>-7.7</v>
      </c>
      <c r="GU6" s="5">
        <v>0.44444444444444442</v>
      </c>
      <c r="GV6" s="4">
        <v>4.17</v>
      </c>
      <c r="GW6" s="5">
        <v>0.83333333333333337</v>
      </c>
      <c r="GX6" s="4">
        <v>-2.3200000000000003</v>
      </c>
      <c r="GY6" s="5">
        <v>0.33333333333333331</v>
      </c>
      <c r="GZ6" s="4"/>
      <c r="HA6" s="5"/>
      <c r="HB6" s="4">
        <v>0.39999999999999958</v>
      </c>
      <c r="HC6" s="5">
        <v>0.2857142857142857</v>
      </c>
      <c r="HD6" s="4">
        <v>-12.76</v>
      </c>
      <c r="HE6" s="5">
        <v>8.3333333333333329E-2</v>
      </c>
      <c r="HF6" s="4">
        <v>-1.38</v>
      </c>
      <c r="HG6" s="5">
        <v>0.25</v>
      </c>
      <c r="HH6" s="4">
        <v>-3.2400000000000007</v>
      </c>
      <c r="HI6" s="5">
        <v>0.42857142857142855</v>
      </c>
      <c r="HJ6" s="4">
        <v>0.46000000000000019</v>
      </c>
      <c r="HK6" s="5">
        <v>0.5</v>
      </c>
      <c r="HL6" s="4">
        <v>-4.4799999999999995</v>
      </c>
      <c r="HM6" s="5">
        <v>0.375</v>
      </c>
      <c r="HN6" s="4">
        <v>-1.6500000000000001</v>
      </c>
      <c r="HO6" s="5">
        <v>0.25</v>
      </c>
      <c r="HP6" s="4">
        <v>-7.93</v>
      </c>
      <c r="HQ6" s="5">
        <v>0.25</v>
      </c>
      <c r="HR6" s="4">
        <v>-4.25</v>
      </c>
      <c r="HS6" s="5">
        <v>0.33333333333333331</v>
      </c>
      <c r="HT6" s="4">
        <v>1.4200000000000004</v>
      </c>
      <c r="HU6" s="5">
        <v>0.2857142857142857</v>
      </c>
      <c r="HV6" s="4">
        <v>3.41</v>
      </c>
      <c r="HW6" s="5">
        <v>0.33333333333333331</v>
      </c>
      <c r="HX6" s="4"/>
      <c r="HY6" s="5"/>
      <c r="HZ6" s="4"/>
      <c r="IA6" s="5"/>
      <c r="IB6" s="4">
        <v>-12.66</v>
      </c>
      <c r="IC6" s="5">
        <v>0.33333333333333331</v>
      </c>
      <c r="ID6" s="4">
        <v>-1.3900000000000001</v>
      </c>
      <c r="IE6" s="5">
        <v>0.42857142857142855</v>
      </c>
      <c r="IF6" s="4">
        <v>-3.58</v>
      </c>
      <c r="IG6" s="5">
        <v>0.1111111111111111</v>
      </c>
      <c r="IH6" s="4">
        <v>-1.1999999999999997</v>
      </c>
      <c r="II6" s="5">
        <v>0.66666666666666663</v>
      </c>
      <c r="IJ6" s="4">
        <v>-3.6399999999999997</v>
      </c>
      <c r="IK6" s="5">
        <v>0.4</v>
      </c>
      <c r="IL6" s="4">
        <v>-10.74</v>
      </c>
      <c r="IM6" s="5">
        <v>0.2857142857142857</v>
      </c>
      <c r="IN6" s="4">
        <v>-6.56</v>
      </c>
      <c r="IO6" s="5">
        <v>0.14285714285714285</v>
      </c>
      <c r="IP6" s="4">
        <v>-2.17</v>
      </c>
      <c r="IQ6" s="5">
        <v>0.33333333333333331</v>
      </c>
      <c r="IR6" s="4"/>
      <c r="IS6" s="5"/>
      <c r="IT6" s="4"/>
      <c r="IU6" s="5"/>
      <c r="IV6" s="4">
        <v>-3.0300000000000002</v>
      </c>
      <c r="IW6" s="5">
        <v>0.2</v>
      </c>
      <c r="IX6" s="4">
        <v>-0.26999999999999913</v>
      </c>
      <c r="IY6" s="5">
        <v>0.5</v>
      </c>
      <c r="IZ6" s="4"/>
      <c r="JA6" s="5"/>
      <c r="JB6" s="4"/>
      <c r="JC6" s="5"/>
      <c r="JD6" s="4"/>
      <c r="JE6" s="5"/>
      <c r="JF6" s="4">
        <v>-8.1100000000000012</v>
      </c>
      <c r="JG6" s="5">
        <v>0.22222222222222221</v>
      </c>
      <c r="JH6" s="4">
        <v>-2.65</v>
      </c>
      <c r="JI6" s="5">
        <v>0.6</v>
      </c>
      <c r="JJ6" s="4">
        <v>-3.28</v>
      </c>
      <c r="JK6" s="5">
        <v>0.33333333333333331</v>
      </c>
      <c r="JL6" s="4">
        <v>-10.210000000000001</v>
      </c>
      <c r="JM6" s="5">
        <v>0.2</v>
      </c>
      <c r="JN6" s="4">
        <v>-3.9099999999999993</v>
      </c>
      <c r="JO6" s="5">
        <v>0.3</v>
      </c>
      <c r="JP6" s="4">
        <v>-14.34</v>
      </c>
      <c r="JQ6" s="5">
        <v>0</v>
      </c>
      <c r="JR6" s="4">
        <v>-8.11</v>
      </c>
      <c r="JS6" s="5">
        <v>0.36363636363636365</v>
      </c>
      <c r="JT6" s="4"/>
      <c r="JU6" s="5"/>
      <c r="JV6" s="4"/>
      <c r="JW6" s="5"/>
      <c r="JX6" s="4"/>
      <c r="JY6" s="5"/>
      <c r="JZ6" s="4">
        <v>-6.28</v>
      </c>
      <c r="KA6" s="5">
        <v>0.25</v>
      </c>
      <c r="KB6" s="4">
        <v>1.8700000000000003</v>
      </c>
      <c r="KC6" s="5">
        <v>0.5</v>
      </c>
      <c r="KD6" s="4">
        <v>-9.42</v>
      </c>
      <c r="KE6" s="5">
        <v>0.33333333333333331</v>
      </c>
      <c r="KF6" s="4">
        <v>-7.8900000000000006</v>
      </c>
      <c r="KG6" s="5">
        <v>0.2857142857142857</v>
      </c>
      <c r="KH6" s="4">
        <v>2.64</v>
      </c>
      <c r="KI6" s="5">
        <v>0.5714285714285714</v>
      </c>
      <c r="KJ6" s="4">
        <v>-0.81000000000000028</v>
      </c>
      <c r="KK6" s="5">
        <v>0.625</v>
      </c>
      <c r="KL6" s="4">
        <v>-0.73999999999999977</v>
      </c>
      <c r="KM6" s="5">
        <v>0.33333333333333331</v>
      </c>
      <c r="KN6" s="4">
        <v>4.0000000000000036E-2</v>
      </c>
      <c r="KO6" s="5">
        <v>0.5</v>
      </c>
      <c r="KP6" s="4"/>
      <c r="KQ6" s="5"/>
      <c r="KR6" s="4">
        <v>-8.27</v>
      </c>
      <c r="KS6" s="5">
        <v>0.33333333333333331</v>
      </c>
      <c r="KT6" s="4"/>
      <c r="KU6" s="5"/>
      <c r="KV6" s="4">
        <v>-9.3099999999999987</v>
      </c>
      <c r="KW6" s="5">
        <v>0.16666666666666666</v>
      </c>
      <c r="KX6" s="4">
        <v>-8.52</v>
      </c>
      <c r="KY6" s="5">
        <v>0</v>
      </c>
      <c r="KZ6" s="4">
        <v>-1.18</v>
      </c>
      <c r="LA6" s="5">
        <v>0.5</v>
      </c>
      <c r="LB6" s="4">
        <v>-0.3600000000000001</v>
      </c>
      <c r="LC6" s="5">
        <v>0.4</v>
      </c>
      <c r="LD6" s="4">
        <v>9.9999999999993427E-3</v>
      </c>
      <c r="LE6" s="5">
        <v>0.5</v>
      </c>
      <c r="LF6" s="4">
        <v>1.7100000000000006</v>
      </c>
      <c r="LG6" s="5">
        <v>0.5714285714285714</v>
      </c>
      <c r="LH6" s="4">
        <v>7.4</v>
      </c>
      <c r="LI6" s="5">
        <v>0.8571428571428571</v>
      </c>
      <c r="LJ6" s="4"/>
      <c r="LK6" s="5"/>
      <c r="LL6" s="4"/>
      <c r="LM6" s="5"/>
      <c r="LN6" s="4">
        <v>-13.910000000000002</v>
      </c>
      <c r="LO6" s="5">
        <v>0.16666666666666666</v>
      </c>
      <c r="LP6" s="4">
        <v>-6.080000000000001</v>
      </c>
      <c r="LQ6" s="5">
        <v>0.55555555555555558</v>
      </c>
      <c r="LR6" s="4">
        <v>4.5399999999999991</v>
      </c>
      <c r="LS6" s="5">
        <v>0.66666666666666663</v>
      </c>
      <c r="LT6" s="4">
        <v>-3.95</v>
      </c>
      <c r="LU6" s="5">
        <v>0.4</v>
      </c>
      <c r="LV6" s="4">
        <v>-3.0700000000000012</v>
      </c>
      <c r="LW6" s="5">
        <v>0.625</v>
      </c>
      <c r="LX6" s="4">
        <v>-4.34</v>
      </c>
      <c r="LY6" s="5">
        <v>0.4</v>
      </c>
      <c r="LZ6" s="4">
        <v>3.1100000000000003</v>
      </c>
      <c r="MA6" s="5">
        <v>0.8</v>
      </c>
      <c r="MB6" s="4">
        <v>-11.959999999999999</v>
      </c>
      <c r="MC6" s="5">
        <v>0.5</v>
      </c>
      <c r="MD6" s="4"/>
      <c r="ME6" s="5"/>
      <c r="MF6" s="4">
        <v>1.06</v>
      </c>
      <c r="MG6" s="5">
        <v>0.75</v>
      </c>
      <c r="MH6" s="4">
        <v>4.82</v>
      </c>
      <c r="MI6" s="5">
        <v>1</v>
      </c>
      <c r="MJ6" s="4">
        <v>2.81</v>
      </c>
      <c r="MK6" s="5">
        <v>1</v>
      </c>
      <c r="ML6" s="4">
        <v>-9.120000000000001</v>
      </c>
      <c r="MM6" s="5">
        <v>0.33333333333333331</v>
      </c>
      <c r="MN6" s="4"/>
      <c r="MO6" s="5"/>
      <c r="MP6" s="4">
        <v>-6.01</v>
      </c>
      <c r="MQ6" s="5">
        <v>0</v>
      </c>
      <c r="MR6" s="4">
        <v>-3.31</v>
      </c>
      <c r="MS6" s="5">
        <v>0.5</v>
      </c>
      <c r="MT6" s="4">
        <v>-1.7200000000000002</v>
      </c>
      <c r="MU6" s="5">
        <v>0.33333333333333331</v>
      </c>
      <c r="MV6" s="4">
        <v>-0.19999999999999973</v>
      </c>
      <c r="MW6" s="5">
        <v>0.66666666666666663</v>
      </c>
      <c r="MX6" s="4">
        <v>-0.13999999999999968</v>
      </c>
      <c r="MY6" s="5">
        <v>0.66666666666666663</v>
      </c>
      <c r="MZ6" s="4">
        <v>-1.19</v>
      </c>
      <c r="NA6" s="5">
        <v>0.5</v>
      </c>
      <c r="NB6" s="4">
        <v>-6.9700000000000006</v>
      </c>
      <c r="NC6" s="5">
        <v>0.25</v>
      </c>
      <c r="ND6" s="4"/>
      <c r="NE6" s="5"/>
      <c r="NF6" s="4">
        <v>4.41</v>
      </c>
      <c r="NG6" s="5">
        <v>0.5714285714285714</v>
      </c>
      <c r="NH6" s="4">
        <v>4.41</v>
      </c>
      <c r="NI6" s="5">
        <v>0.5714285714285714</v>
      </c>
      <c r="NJ6" s="4">
        <v>-6.13</v>
      </c>
      <c r="NK6" s="5">
        <v>0.6</v>
      </c>
      <c r="NL6" s="4"/>
      <c r="NM6" s="5"/>
      <c r="NN6" s="4"/>
      <c r="NO6" s="5"/>
      <c r="NP6" s="4">
        <v>-2.5199999999999996</v>
      </c>
      <c r="NQ6" s="5">
        <v>0.6</v>
      </c>
      <c r="NR6" s="4">
        <v>0.83000000000000096</v>
      </c>
      <c r="NS6" s="5">
        <v>0.5</v>
      </c>
      <c r="NT6" s="4">
        <v>-1.2100000000000006</v>
      </c>
      <c r="NU6" s="5">
        <v>0.33333333333333331</v>
      </c>
      <c r="NV6" s="4">
        <v>6.7799999999999994</v>
      </c>
      <c r="NW6" s="5">
        <v>0.8</v>
      </c>
      <c r="NX6" s="4">
        <v>4.0600000000000005</v>
      </c>
      <c r="NY6" s="5">
        <v>0.83333333333333337</v>
      </c>
      <c r="NZ6" s="4">
        <v>-2.72</v>
      </c>
      <c r="OA6" s="5">
        <v>0.2857142857142857</v>
      </c>
      <c r="OB6" s="4">
        <v>-7.91</v>
      </c>
      <c r="OC6" s="5">
        <v>0</v>
      </c>
      <c r="OD6" s="4">
        <v>-13.65</v>
      </c>
      <c r="OE6" s="5">
        <v>0.2857142857142857</v>
      </c>
      <c r="OF6" s="4">
        <v>-5.85</v>
      </c>
      <c r="OG6" s="5">
        <v>0.6</v>
      </c>
      <c r="OH6" s="4">
        <v>-5.5</v>
      </c>
      <c r="OI6" s="5">
        <v>0.4</v>
      </c>
      <c r="OJ6" s="4"/>
      <c r="OK6" s="5"/>
      <c r="OL6" s="4">
        <v>-10.4</v>
      </c>
      <c r="OM6" s="5">
        <v>0.33333333333333331</v>
      </c>
      <c r="ON6" s="4">
        <v>-2.11</v>
      </c>
      <c r="OO6" s="5">
        <v>0.42857142857142855</v>
      </c>
      <c r="OP6" s="4">
        <v>-8.7899999999999991</v>
      </c>
      <c r="OQ6" s="5">
        <v>0.2857142857142857</v>
      </c>
      <c r="OR6" s="4">
        <v>6.72</v>
      </c>
      <c r="OS6" s="5">
        <v>0.8</v>
      </c>
      <c r="OT6" s="4">
        <v>10.57</v>
      </c>
      <c r="OU6" s="5">
        <v>0.8</v>
      </c>
      <c r="OV6" s="4"/>
      <c r="OW6" s="5"/>
      <c r="OX6" s="4">
        <v>-24.13</v>
      </c>
      <c r="OY6" s="5">
        <v>0.1111111111111111</v>
      </c>
      <c r="OZ6" s="4">
        <v>5.78</v>
      </c>
      <c r="PA6" s="5">
        <v>0.75</v>
      </c>
      <c r="PB6" s="4">
        <v>-1.34</v>
      </c>
      <c r="PC6" s="5">
        <v>0.5714285714285714</v>
      </c>
      <c r="PD6" s="4">
        <v>-26.999999999999996</v>
      </c>
      <c r="PE6" s="5">
        <v>0.22222222222222221</v>
      </c>
      <c r="PF6" s="4">
        <v>2.85</v>
      </c>
      <c r="PG6" s="5">
        <v>1</v>
      </c>
      <c r="PH6" s="4">
        <v>-6.5499999999999989</v>
      </c>
      <c r="PI6" s="5">
        <v>0.33333333333333331</v>
      </c>
      <c r="PJ6" s="4"/>
      <c r="PK6" s="5"/>
      <c r="PL6" s="4"/>
      <c r="PM6" s="5"/>
      <c r="PN6" s="4"/>
      <c r="PO6" s="5"/>
      <c r="PP6" s="4">
        <v>3.2500000000000004</v>
      </c>
      <c r="PQ6" s="5">
        <v>0.75</v>
      </c>
      <c r="PR6" s="4">
        <v>5.8599999999999994</v>
      </c>
      <c r="PS6" s="5">
        <v>0.66666666666666663</v>
      </c>
      <c r="PT6" s="4">
        <v>-1.0099999999999996</v>
      </c>
      <c r="PU6" s="5">
        <v>0.5714285714285714</v>
      </c>
      <c r="PV6" s="4">
        <v>9.68</v>
      </c>
      <c r="PW6" s="5">
        <v>0.7</v>
      </c>
      <c r="PX6" s="4">
        <v>-2.919999999999999</v>
      </c>
      <c r="PY6" s="5">
        <v>0.58333333333333337</v>
      </c>
      <c r="PZ6" s="4">
        <v>-29.77</v>
      </c>
      <c r="QA6" s="5">
        <v>0.125</v>
      </c>
      <c r="QB6" s="4">
        <v>-9.7200000000000006</v>
      </c>
      <c r="QC6" s="5">
        <v>0.2857142857142857</v>
      </c>
      <c r="QD6" s="4">
        <v>-17.88</v>
      </c>
      <c r="QE6" s="5">
        <v>0.14285714285714285</v>
      </c>
      <c r="QF6" s="4">
        <v>-9.1</v>
      </c>
      <c r="QG6" s="5">
        <v>0.2857142857142857</v>
      </c>
      <c r="QH6" s="4">
        <v>-12.2</v>
      </c>
      <c r="QI6" s="5">
        <v>0</v>
      </c>
      <c r="QJ6" s="4">
        <v>-8.4599999999999991</v>
      </c>
      <c r="QK6" s="5">
        <v>0.2857142857142857</v>
      </c>
      <c r="QL6" s="4">
        <v>-0.38999999999999979</v>
      </c>
      <c r="QM6" s="5">
        <v>0.5714285714285714</v>
      </c>
      <c r="QN6" s="4">
        <v>-14.69</v>
      </c>
      <c r="QO6" s="5">
        <v>0.125</v>
      </c>
      <c r="QP6" s="4">
        <v>-1.1600000000000004</v>
      </c>
      <c r="QQ6" s="5">
        <v>0.33333333333333331</v>
      </c>
      <c r="QR6" s="4">
        <v>-6.24</v>
      </c>
      <c r="QS6" s="5">
        <v>0.55555555555555558</v>
      </c>
      <c r="QT6" s="4">
        <v>5.12</v>
      </c>
      <c r="QU6" s="5">
        <v>0.83333333333333337</v>
      </c>
      <c r="QV6" s="4">
        <v>-4.2199999999999989</v>
      </c>
      <c r="QW6" s="5">
        <v>0.5</v>
      </c>
      <c r="QX6" s="4">
        <v>-10.27</v>
      </c>
      <c r="QY6" s="5">
        <v>0.14285714285714285</v>
      </c>
      <c r="QZ6" s="4"/>
      <c r="RA6" s="5"/>
      <c r="RB6" s="4">
        <v>-3.6000000000000005</v>
      </c>
      <c r="RC6" s="5">
        <v>0.375</v>
      </c>
      <c r="RD6" s="4">
        <v>-0.50999999999999979</v>
      </c>
      <c r="RE6" s="5">
        <v>0.66666666666666663</v>
      </c>
      <c r="RF6" s="4">
        <v>-4.0500000000000007</v>
      </c>
      <c r="RG6" s="5">
        <v>0.4</v>
      </c>
      <c r="RH6" s="4">
        <v>-8.19</v>
      </c>
      <c r="RI6" s="5">
        <v>0.14285714285714285</v>
      </c>
      <c r="RJ6" s="4">
        <v>5.31</v>
      </c>
      <c r="RK6" s="5">
        <v>0.5714285714285714</v>
      </c>
      <c r="RL6" s="4"/>
      <c r="RM6" s="5"/>
      <c r="RN6" s="4">
        <v>-5.0000000000000266E-2</v>
      </c>
      <c r="RO6" s="5">
        <v>0.42857142857142855</v>
      </c>
      <c r="RP6" s="4">
        <v>-4.43</v>
      </c>
      <c r="RQ6" s="5">
        <v>0</v>
      </c>
      <c r="RR6" s="4">
        <v>-19.189999999999998</v>
      </c>
      <c r="RS6" s="5">
        <v>0.33333333333333331</v>
      </c>
      <c r="RT6" s="4">
        <v>-16.54</v>
      </c>
      <c r="RU6" s="5">
        <v>0.125</v>
      </c>
      <c r="RV6" s="4">
        <v>-9.0400000000000009</v>
      </c>
      <c r="RW6" s="5">
        <v>0.55555555555555558</v>
      </c>
      <c r="RX6" s="4">
        <v>1.5399999999999996</v>
      </c>
      <c r="RY6" s="5">
        <v>0.55555555555555558</v>
      </c>
      <c r="RZ6" s="4">
        <v>-5.25</v>
      </c>
      <c r="SA6" s="5">
        <v>0.2857142857142857</v>
      </c>
      <c r="SB6" s="4">
        <v>-7.1</v>
      </c>
      <c r="SC6" s="5">
        <v>0.33333333333333331</v>
      </c>
      <c r="SD6" s="4">
        <v>0.71000000000000041</v>
      </c>
      <c r="SE6" s="5">
        <v>0.5</v>
      </c>
      <c r="SF6" s="4"/>
      <c r="SG6" s="5"/>
      <c r="SH6" s="4">
        <v>-4.05</v>
      </c>
      <c r="SI6" s="5">
        <v>0</v>
      </c>
      <c r="SJ6" s="4">
        <v>-12.71</v>
      </c>
      <c r="SK6" s="5">
        <v>0.22222222222222221</v>
      </c>
      <c r="SL6" s="4">
        <v>-13.700000000000003</v>
      </c>
      <c r="SM6" s="5">
        <v>0.1111111111111111</v>
      </c>
      <c r="SN6" s="4">
        <v>-17.330000000000002</v>
      </c>
      <c r="SO6" s="5">
        <v>0.1111111111111111</v>
      </c>
      <c r="SP6" s="4">
        <v>-9.32</v>
      </c>
      <c r="SQ6" s="5">
        <v>0.14285714285714285</v>
      </c>
      <c r="SR6" s="4">
        <v>2.63</v>
      </c>
      <c r="SS6" s="5">
        <v>0.5</v>
      </c>
      <c r="ST6" s="4">
        <v>-11.31</v>
      </c>
      <c r="SU6" s="5">
        <v>0.2</v>
      </c>
      <c r="SV6" s="4">
        <v>-7.3900000000000006</v>
      </c>
      <c r="SW6" s="5">
        <v>0.14285714285714285</v>
      </c>
      <c r="SX6" s="4"/>
      <c r="SY6" s="5"/>
      <c r="SZ6" s="4">
        <v>-18.95</v>
      </c>
      <c r="TA6" s="5">
        <v>0.125</v>
      </c>
      <c r="TB6" s="4">
        <v>-3.5700000000000003</v>
      </c>
      <c r="TC6" s="5">
        <v>0.5</v>
      </c>
      <c r="TD6" s="4">
        <v>-2.46</v>
      </c>
      <c r="TE6" s="5">
        <v>0.25</v>
      </c>
      <c r="TF6" s="4">
        <v>-1.79</v>
      </c>
      <c r="TG6" s="5">
        <v>0</v>
      </c>
      <c r="TH6" s="4">
        <v>-11.54</v>
      </c>
      <c r="TI6" s="5">
        <v>0.42857142857142855</v>
      </c>
      <c r="TJ6" s="4">
        <v>-7.7799999999999994</v>
      </c>
      <c r="TK6" s="5">
        <v>0.25</v>
      </c>
      <c r="TL6" s="4">
        <v>-7.57</v>
      </c>
      <c r="TM6" s="5">
        <v>0.16666666666666666</v>
      </c>
      <c r="TN6" s="4"/>
      <c r="TO6" s="5"/>
      <c r="TP6" s="4">
        <v>2.6899999999999995</v>
      </c>
      <c r="TQ6" s="5">
        <v>0.5</v>
      </c>
      <c r="TR6" s="4">
        <v>-12.620000000000001</v>
      </c>
      <c r="TS6" s="5">
        <v>0</v>
      </c>
      <c r="TT6" s="4">
        <v>-2.41</v>
      </c>
      <c r="TU6" s="5">
        <v>0.2857142857142857</v>
      </c>
      <c r="TV6" s="4">
        <v>-1.1000000000000001</v>
      </c>
      <c r="TW6" s="5">
        <v>0.42857142857142855</v>
      </c>
      <c r="TX6" s="4"/>
      <c r="TY6" s="5"/>
      <c r="TZ6" s="4">
        <v>-4.21</v>
      </c>
      <c r="UA6" s="5">
        <v>0.2</v>
      </c>
      <c r="UB6" s="4">
        <v>-15.87</v>
      </c>
      <c r="UC6" s="5">
        <v>0.25</v>
      </c>
      <c r="UD6" s="4">
        <v>-6.9299999999999979</v>
      </c>
      <c r="UE6" s="5">
        <v>0.4</v>
      </c>
      <c r="UF6" s="4">
        <v>-17.299999999999997</v>
      </c>
      <c r="UG6" s="5">
        <v>0.25</v>
      </c>
      <c r="UH6" s="4">
        <v>-19.25</v>
      </c>
      <c r="UI6" s="5">
        <v>0.22222222222222221</v>
      </c>
      <c r="UJ6" s="4">
        <v>-2.1800000000000006</v>
      </c>
      <c r="UK6" s="5">
        <v>0.375</v>
      </c>
      <c r="UL6" s="4">
        <v>0.61999999999999922</v>
      </c>
      <c r="UM6" s="5">
        <v>0.4</v>
      </c>
      <c r="UN6" s="4">
        <v>-2.15</v>
      </c>
      <c r="UO6" s="5">
        <v>0.2</v>
      </c>
      <c r="UP6" s="4">
        <v>-13.38</v>
      </c>
      <c r="UQ6" s="5">
        <v>0.2</v>
      </c>
      <c r="UR6" s="4">
        <v>4.47</v>
      </c>
      <c r="US6" s="5">
        <v>0.5</v>
      </c>
      <c r="UT6" s="4">
        <v>-36.64</v>
      </c>
      <c r="UU6" s="5">
        <v>0.1111111111111111</v>
      </c>
      <c r="UV6" s="4">
        <v>-7.3</v>
      </c>
      <c r="UW6" s="5">
        <v>0.25</v>
      </c>
      <c r="UX6" s="4">
        <v>-16.989999999999998</v>
      </c>
      <c r="UY6" s="5">
        <v>0.18181818181818182</v>
      </c>
      <c r="UZ6" s="4"/>
      <c r="VA6" s="5"/>
      <c r="VB6" s="4">
        <v>-4.25</v>
      </c>
      <c r="VC6" s="5">
        <v>0.33333333333333331</v>
      </c>
      <c r="VD6" s="4">
        <v>-5.6899999999999995</v>
      </c>
      <c r="VE6" s="5">
        <v>0.16666666666666666</v>
      </c>
      <c r="VF6" s="4">
        <v>-4.0600000000000005</v>
      </c>
      <c r="VG6" s="5">
        <v>0.16666666666666666</v>
      </c>
      <c r="VH6" s="4">
        <v>1.6399999999999992</v>
      </c>
      <c r="VI6" s="5">
        <v>0.5</v>
      </c>
      <c r="VJ6" s="4">
        <v>-0.74000000000000021</v>
      </c>
      <c r="VK6" s="5">
        <v>0.33333333333333331</v>
      </c>
      <c r="VL6" s="4">
        <v>-10.050000000000001</v>
      </c>
      <c r="VM6" s="5">
        <v>0.22222222222222221</v>
      </c>
      <c r="VN6" s="4">
        <v>-2.5399999999999996</v>
      </c>
      <c r="VO6" s="5">
        <v>0.3</v>
      </c>
      <c r="VP6" s="4">
        <v>-3.1900000000000004</v>
      </c>
      <c r="VQ6" s="5">
        <v>0.33333333333333331</v>
      </c>
      <c r="VR6" s="4"/>
      <c r="VS6" s="5"/>
      <c r="VT6" s="4">
        <v>-7.7700000000000005</v>
      </c>
      <c r="VU6" s="5">
        <v>0.33333333333333331</v>
      </c>
      <c r="VV6" s="4">
        <v>8.49</v>
      </c>
      <c r="VW6" s="5">
        <v>0.625</v>
      </c>
      <c r="VX6" s="4">
        <v>-25.97</v>
      </c>
      <c r="VY6" s="5">
        <v>0.27272727272727271</v>
      </c>
      <c r="VZ6" s="4">
        <v>-4.1500000000000004</v>
      </c>
      <c r="WA6" s="5">
        <v>0.42857142857142855</v>
      </c>
      <c r="WB6" s="4"/>
      <c r="WC6" s="5"/>
      <c r="WD6" s="4">
        <v>-1.6199999999999997</v>
      </c>
      <c r="WE6" s="5">
        <v>0.4</v>
      </c>
      <c r="WF6" s="4">
        <v>3.12</v>
      </c>
      <c r="WG6" s="5">
        <v>0.66666666666666663</v>
      </c>
      <c r="WH6" s="4">
        <v>7.22</v>
      </c>
      <c r="WI6" s="5">
        <v>0.75</v>
      </c>
      <c r="WJ6" s="4">
        <v>-1.8199999999999998</v>
      </c>
      <c r="WK6" s="5">
        <v>0.5</v>
      </c>
      <c r="WL6" s="4">
        <v>-6.5599999999999987</v>
      </c>
      <c r="WM6" s="5">
        <v>0.3</v>
      </c>
      <c r="WN6" s="4">
        <v>-2.4099999999999993</v>
      </c>
      <c r="WO6" s="5">
        <v>0.33333333333333331</v>
      </c>
      <c r="WP6" s="4">
        <v>2.5700000000000007</v>
      </c>
      <c r="WQ6" s="5">
        <v>0.5</v>
      </c>
      <c r="WR6" s="4">
        <v>-15.259999999999998</v>
      </c>
      <c r="WS6" s="5">
        <v>0.25</v>
      </c>
      <c r="WT6" s="4">
        <v>-17.509999999999998</v>
      </c>
      <c r="WU6" s="5">
        <v>0.14285714285714285</v>
      </c>
      <c r="WV6" s="4">
        <v>-16.73</v>
      </c>
      <c r="WW6" s="5">
        <v>0.25</v>
      </c>
      <c r="WX6" s="4">
        <v>-3.7299999999999986</v>
      </c>
      <c r="WY6" s="5">
        <v>0.375</v>
      </c>
      <c r="WZ6" s="4"/>
      <c r="XA6" s="5"/>
      <c r="XB6" s="4">
        <v>-0.80000000000000027</v>
      </c>
      <c r="XC6" s="5">
        <v>0.4</v>
      </c>
      <c r="XD6" s="4"/>
      <c r="XE6" s="5"/>
      <c r="XF6" s="4">
        <v>-8.4499999999999993</v>
      </c>
      <c r="XG6" s="5">
        <v>0.6</v>
      </c>
      <c r="XH6" s="4">
        <v>-2.98</v>
      </c>
      <c r="XI6" s="5">
        <v>0.66666666666666663</v>
      </c>
      <c r="XJ6" s="4">
        <v>-5.5200000000000005</v>
      </c>
      <c r="XK6" s="5">
        <v>0.375</v>
      </c>
      <c r="XL6" s="4">
        <v>4.7900000000000009</v>
      </c>
      <c r="XM6" s="5">
        <v>0.7</v>
      </c>
      <c r="XN6" s="4">
        <v>-21.9</v>
      </c>
      <c r="XO6" s="5">
        <v>0.33333333333333331</v>
      </c>
      <c r="XP6" s="4">
        <v>-8.82</v>
      </c>
      <c r="XQ6" s="5">
        <v>0.22222222222222221</v>
      </c>
      <c r="XR6" s="4">
        <v>-7.6699999999999982</v>
      </c>
      <c r="XS6" s="5">
        <v>0.4</v>
      </c>
      <c r="XT6" s="4">
        <v>-8.31</v>
      </c>
      <c r="XU6" s="5">
        <v>0.14285714285714285</v>
      </c>
      <c r="XV6" s="4"/>
      <c r="XW6" s="5"/>
    </row>
    <row r="7" spans="2:647" x14ac:dyDescent="0.25">
      <c r="B7" s="755"/>
      <c r="C7" s="726" t="s">
        <v>18</v>
      </c>
      <c r="D7" s="757" t="s">
        <v>14</v>
      </c>
      <c r="E7" s="757"/>
      <c r="F7" s="57">
        <v>0.1</v>
      </c>
      <c r="G7" s="767" t="s">
        <v>5</v>
      </c>
      <c r="H7" s="11">
        <v>-4.8716666666666661</v>
      </c>
      <c r="I7" s="12">
        <v>0.44444444444444442</v>
      </c>
      <c r="J7" s="11">
        <v>-2.3066666666666666</v>
      </c>
      <c r="K7" s="12">
        <v>0.55555555555555558</v>
      </c>
      <c r="L7" s="11">
        <v>-2.2233333333333323</v>
      </c>
      <c r="M7" s="12">
        <v>0.44444444444444442</v>
      </c>
      <c r="N7" s="11">
        <v>1.9349999999999998</v>
      </c>
      <c r="O7" s="12">
        <v>0.61111111111111116</v>
      </c>
      <c r="P7" s="11">
        <v>-1.1449999999999998</v>
      </c>
      <c r="Q7" s="12">
        <v>0.33333333333333331</v>
      </c>
      <c r="R7" s="11">
        <v>2.1216666666666661</v>
      </c>
      <c r="S7" s="12">
        <v>0.66666666666666663</v>
      </c>
      <c r="T7" s="11">
        <v>1.36</v>
      </c>
      <c r="U7" s="12">
        <v>0.55555555555555558</v>
      </c>
      <c r="V7" s="11">
        <v>-0.79833333333333334</v>
      </c>
      <c r="W7" s="12">
        <v>0.44444444444444442</v>
      </c>
      <c r="X7" s="11">
        <v>0.82</v>
      </c>
      <c r="Y7" s="12">
        <v>0.55555555555555558</v>
      </c>
      <c r="Z7" s="11">
        <v>-0.22000000000000028</v>
      </c>
      <c r="AA7" s="12">
        <v>0.5</v>
      </c>
      <c r="AB7" s="11">
        <v>-4.6050000000000004</v>
      </c>
      <c r="AC7" s="12">
        <v>0.44444444444444442</v>
      </c>
      <c r="AD7" s="11">
        <v>-0.22166666666666668</v>
      </c>
      <c r="AE7" s="12">
        <v>0.5</v>
      </c>
      <c r="AF7" s="11">
        <v>-1.9466666666666665</v>
      </c>
      <c r="AG7" s="12">
        <v>0.1875</v>
      </c>
      <c r="AH7" s="11">
        <v>-0.58666666666666656</v>
      </c>
      <c r="AI7" s="12">
        <v>0.44444444444444442</v>
      </c>
      <c r="AJ7" s="11">
        <v>-2.1116666666666668</v>
      </c>
      <c r="AK7" s="12">
        <v>0.44444444444444442</v>
      </c>
      <c r="AL7" s="11">
        <v>-2.8233333333333337</v>
      </c>
      <c r="AM7" s="12">
        <v>0.5</v>
      </c>
      <c r="AN7" s="11">
        <v>-0.84500000000000008</v>
      </c>
      <c r="AO7" s="12">
        <v>0.25</v>
      </c>
      <c r="AP7" s="11">
        <v>-5.0549999999999997</v>
      </c>
      <c r="AQ7" s="12">
        <v>0.29411764705882354</v>
      </c>
      <c r="AR7" s="11">
        <v>-0.20666666666666669</v>
      </c>
      <c r="AS7" s="12">
        <v>0.52941176470588236</v>
      </c>
      <c r="AT7" s="11">
        <v>-0.94999999999999984</v>
      </c>
      <c r="AU7" s="12">
        <v>0.44444444444444442</v>
      </c>
      <c r="AV7" s="11">
        <v>-2.6566666666666667</v>
      </c>
      <c r="AW7" s="12">
        <v>0.44444444444444442</v>
      </c>
      <c r="AX7" s="11">
        <v>-5.4616666666666687</v>
      </c>
      <c r="AY7" s="12">
        <v>0.44444444444444442</v>
      </c>
      <c r="AZ7" s="11">
        <v>-1.4449999999999996</v>
      </c>
      <c r="BA7" s="12">
        <v>0.5</v>
      </c>
      <c r="BB7" s="11">
        <v>-4.7583333333333329</v>
      </c>
      <c r="BC7" s="12">
        <v>0.27777777777777779</v>
      </c>
      <c r="BD7" s="11">
        <v>-3.2566666666666664</v>
      </c>
      <c r="BE7" s="12">
        <v>0.3888888888888889</v>
      </c>
      <c r="BF7" s="11">
        <v>1.9350000000000003</v>
      </c>
      <c r="BG7" s="12">
        <v>0.47058823529411764</v>
      </c>
      <c r="BH7" s="11">
        <v>-0.32833333333333314</v>
      </c>
      <c r="BI7" s="12">
        <v>0.55555555555555558</v>
      </c>
      <c r="BJ7" s="11">
        <v>1.0750000000000004</v>
      </c>
      <c r="BK7" s="12">
        <v>0.55555555555555558</v>
      </c>
      <c r="BL7" s="11">
        <v>0.27833333333333332</v>
      </c>
      <c r="BM7" s="12">
        <v>0.5</v>
      </c>
      <c r="BN7" s="11">
        <v>-2.5433333333333334</v>
      </c>
      <c r="BO7" s="12">
        <v>0.3125</v>
      </c>
      <c r="BP7" s="11">
        <v>-3.4783333333333335</v>
      </c>
      <c r="BQ7" s="12">
        <v>0.3888888888888889</v>
      </c>
      <c r="BR7" s="11">
        <v>0.97666666666666657</v>
      </c>
      <c r="BS7" s="12">
        <v>0.44444444444444442</v>
      </c>
      <c r="BT7" s="11">
        <v>1.2716666666666667</v>
      </c>
      <c r="BU7" s="12">
        <v>0.44444444444444442</v>
      </c>
      <c r="BV7" s="11"/>
      <c r="BW7" s="12"/>
      <c r="BX7" s="11">
        <v>-2.1550000000000007</v>
      </c>
      <c r="BY7" s="12">
        <v>0.3888888888888889</v>
      </c>
      <c r="BZ7" s="11">
        <v>-2.2833333333333332</v>
      </c>
      <c r="CA7" s="12">
        <v>0.44444444444444442</v>
      </c>
      <c r="CB7" s="11">
        <v>-0.875</v>
      </c>
      <c r="CC7" s="12">
        <v>0.44444444444444442</v>
      </c>
      <c r="CD7" s="11">
        <v>-1.9850000000000001</v>
      </c>
      <c r="CE7" s="12">
        <v>0.3888888888888889</v>
      </c>
      <c r="CF7" s="11">
        <v>-4.3783333333333339</v>
      </c>
      <c r="CG7" s="12">
        <v>0.16666666666666666</v>
      </c>
      <c r="CH7" s="11">
        <v>-0.79000000000000015</v>
      </c>
      <c r="CI7" s="12">
        <v>0.35294117647058826</v>
      </c>
      <c r="CJ7" s="11">
        <v>-3.606666666666666</v>
      </c>
      <c r="CK7" s="12">
        <v>0.33333333333333331</v>
      </c>
      <c r="CL7" s="11">
        <v>-4.16</v>
      </c>
      <c r="CM7" s="12">
        <v>0.35294117647058826</v>
      </c>
      <c r="CN7" s="11">
        <v>0.23833333333333306</v>
      </c>
      <c r="CO7" s="12">
        <v>0.66666666666666663</v>
      </c>
      <c r="CP7" s="11">
        <v>1.8116666666666665</v>
      </c>
      <c r="CQ7" s="12">
        <v>0.625</v>
      </c>
      <c r="CR7" s="11">
        <v>-2.8883333333333332</v>
      </c>
      <c r="CS7" s="12">
        <v>0.55555555555555558</v>
      </c>
      <c r="CT7" s="11">
        <v>3.5933333333333342</v>
      </c>
      <c r="CU7" s="12">
        <v>0.66666666666666663</v>
      </c>
      <c r="CV7" s="11">
        <v>-1.8166666666666664</v>
      </c>
      <c r="CW7" s="12">
        <v>0.3888888888888889</v>
      </c>
      <c r="CX7" s="11">
        <v>-4.0166666666666666</v>
      </c>
      <c r="CY7" s="12">
        <v>0.33333333333333331</v>
      </c>
      <c r="CZ7" s="11"/>
      <c r="DA7" s="12"/>
      <c r="DB7" s="11">
        <v>-1.2349999999999999</v>
      </c>
      <c r="DC7" s="12">
        <v>0.5625</v>
      </c>
      <c r="DD7" s="11">
        <v>5.8533333333333326</v>
      </c>
      <c r="DE7" s="12">
        <v>0.83333333333333337</v>
      </c>
      <c r="DF7" s="11">
        <v>1.3500000000000003</v>
      </c>
      <c r="DG7" s="12">
        <v>0.5</v>
      </c>
      <c r="DH7" s="11"/>
      <c r="DI7" s="12"/>
      <c r="DJ7" s="11">
        <v>-2.5150000000000001</v>
      </c>
      <c r="DK7" s="12">
        <v>0.3888888888888889</v>
      </c>
      <c r="DL7" s="11">
        <v>5.8533333333333326</v>
      </c>
      <c r="DM7" s="12">
        <v>0.83333333333333337</v>
      </c>
      <c r="DN7" s="11">
        <v>1.3500000000000003</v>
      </c>
      <c r="DO7" s="12">
        <v>0.5</v>
      </c>
      <c r="DP7" s="11"/>
      <c r="DQ7" s="12"/>
      <c r="DR7" s="11">
        <v>-2.5150000000000001</v>
      </c>
      <c r="DS7" s="12">
        <v>0.3888888888888889</v>
      </c>
      <c r="DT7" s="11">
        <v>-2.8833333333333342</v>
      </c>
      <c r="DU7" s="12">
        <v>0.3888888888888889</v>
      </c>
      <c r="DV7" s="11">
        <v>0.96499999999999997</v>
      </c>
      <c r="DW7" s="12">
        <v>0.5</v>
      </c>
      <c r="DX7" s="11">
        <v>0.96499999999999997</v>
      </c>
      <c r="DY7" s="12">
        <v>0.5</v>
      </c>
      <c r="DZ7" s="11">
        <v>-5.48</v>
      </c>
      <c r="EA7" s="12">
        <v>0.3888888888888889</v>
      </c>
      <c r="EB7" s="11">
        <v>-0.17499999999999979</v>
      </c>
      <c r="EC7" s="12">
        <v>0.33333333333333331</v>
      </c>
      <c r="ED7" s="11">
        <v>-2.895</v>
      </c>
      <c r="EE7" s="12">
        <v>0.27777777777777779</v>
      </c>
      <c r="EF7" s="11">
        <v>3.5483333333333333</v>
      </c>
      <c r="EG7" s="12">
        <v>0.6875</v>
      </c>
      <c r="EH7" s="11">
        <v>7.5000000000000136E-2</v>
      </c>
      <c r="EI7" s="12">
        <v>0.5</v>
      </c>
      <c r="EJ7" s="11">
        <v>-0.69999999999999984</v>
      </c>
      <c r="EK7" s="12">
        <v>0.3888888888888889</v>
      </c>
      <c r="EL7" s="11">
        <v>-0.30833333333333351</v>
      </c>
      <c r="EM7" s="12">
        <v>0.5625</v>
      </c>
      <c r="EN7" s="11">
        <v>-4.203333333333334</v>
      </c>
      <c r="EO7" s="12">
        <v>0.4</v>
      </c>
      <c r="EP7" s="11">
        <v>-0.41499999999999998</v>
      </c>
      <c r="EQ7" s="12">
        <v>0.44444444444444442</v>
      </c>
      <c r="ER7" s="11">
        <v>-2.0416666666666665</v>
      </c>
      <c r="ES7" s="12">
        <v>0.44444444444444442</v>
      </c>
      <c r="ET7" s="11">
        <v>-3.1416666666666662</v>
      </c>
      <c r="EU7" s="12">
        <v>0.3888888888888889</v>
      </c>
      <c r="EV7" s="11">
        <v>-0.6016666666666669</v>
      </c>
      <c r="EW7" s="12">
        <v>0.5</v>
      </c>
      <c r="EX7" s="11">
        <v>-0.6016666666666669</v>
      </c>
      <c r="EY7" s="12">
        <v>0.5</v>
      </c>
      <c r="EZ7" s="3"/>
      <c r="FA7" s="1"/>
      <c r="FB7" s="3">
        <v>-10.629999999999999</v>
      </c>
      <c r="FC7" s="1">
        <v>0.16666666666666666</v>
      </c>
      <c r="FD7" s="3">
        <v>-3.9099999999999993</v>
      </c>
      <c r="FE7" s="1">
        <v>0.23076923076923078</v>
      </c>
      <c r="FF7" s="3">
        <v>-8.18</v>
      </c>
      <c r="FG7" s="1">
        <v>0.3888888888888889</v>
      </c>
      <c r="FH7" s="3">
        <v>0.4799999999999997</v>
      </c>
      <c r="FI7" s="1">
        <v>0.2</v>
      </c>
      <c r="FJ7" s="3">
        <v>-0.9900000000000001</v>
      </c>
      <c r="FK7" s="1">
        <v>0.47058823529411764</v>
      </c>
      <c r="FL7" s="3">
        <v>3.1899999999999986</v>
      </c>
      <c r="FM7" s="1">
        <v>0.61111111111111116</v>
      </c>
      <c r="FN7" s="3">
        <v>-5.9700000000000006</v>
      </c>
      <c r="FO7" s="1">
        <v>0.33333333333333331</v>
      </c>
      <c r="FP7" s="3">
        <v>7.9500000000000011</v>
      </c>
      <c r="FQ7" s="1">
        <v>0.625</v>
      </c>
      <c r="FR7" s="3">
        <v>-5.9200000000000008</v>
      </c>
      <c r="FS7" s="1">
        <v>0.5</v>
      </c>
      <c r="FT7" s="3">
        <v>-4.9800000000000004</v>
      </c>
      <c r="FU7" s="1">
        <v>0.29411764705882354</v>
      </c>
      <c r="FV7" s="3">
        <v>0.19000000000000009</v>
      </c>
      <c r="FW7" s="1">
        <v>0.44444444444444442</v>
      </c>
      <c r="FX7" s="3">
        <v>-4.5999999999999996</v>
      </c>
      <c r="FY7" s="1">
        <v>0.44444444444444442</v>
      </c>
      <c r="FZ7" s="3">
        <v>-1.4100000000000001</v>
      </c>
      <c r="GA7" s="1">
        <v>0.47058823529411764</v>
      </c>
      <c r="GB7" s="3">
        <v>-8.36</v>
      </c>
      <c r="GC7" s="1">
        <v>0.16666666666666666</v>
      </c>
      <c r="GD7" s="3">
        <v>0.59000000000000008</v>
      </c>
      <c r="GE7" s="1">
        <v>0.47058823529411764</v>
      </c>
      <c r="GF7" s="3">
        <v>3.8400000000000003</v>
      </c>
      <c r="GG7" s="1">
        <v>0.5</v>
      </c>
      <c r="GH7" s="3">
        <v>-4.33</v>
      </c>
      <c r="GI7" s="1">
        <v>0.33333333333333331</v>
      </c>
      <c r="GJ7" s="3">
        <v>-2.4300000000000002</v>
      </c>
      <c r="GK7" s="1">
        <v>0.41176470588235292</v>
      </c>
      <c r="GL7" s="3">
        <v>-2.0099999999999998</v>
      </c>
      <c r="GM7" s="1">
        <v>0.33333333333333331</v>
      </c>
      <c r="GN7" s="3"/>
      <c r="GO7" s="1"/>
      <c r="GP7" s="3">
        <v>0.69000000000000006</v>
      </c>
      <c r="GQ7" s="1">
        <v>0.44444444444444442</v>
      </c>
      <c r="GR7" s="3">
        <v>-9.07</v>
      </c>
      <c r="GS7" s="1">
        <v>0.3888888888888889</v>
      </c>
      <c r="GT7" s="3">
        <v>0.86000000000000076</v>
      </c>
      <c r="GU7" s="1">
        <v>0.44444444444444442</v>
      </c>
      <c r="GV7" s="3">
        <v>4.38</v>
      </c>
      <c r="GW7" s="1">
        <v>0.61111111111111116</v>
      </c>
      <c r="GX7" s="3">
        <v>-4.6399999999999997</v>
      </c>
      <c r="GY7" s="1">
        <v>0.375</v>
      </c>
      <c r="GZ7" s="3"/>
      <c r="HA7" s="1"/>
      <c r="HB7" s="3">
        <v>-6.12</v>
      </c>
      <c r="HC7" s="1">
        <v>0.5</v>
      </c>
      <c r="HD7" s="76">
        <v>-3.79</v>
      </c>
      <c r="HE7" s="1">
        <v>0.27777777777777779</v>
      </c>
      <c r="HF7" s="78">
        <v>-9</v>
      </c>
      <c r="HG7" s="1">
        <v>0.26666666666666666</v>
      </c>
      <c r="HH7" s="79">
        <v>5.2899999999999991</v>
      </c>
      <c r="HI7" s="1">
        <v>0.66666666666666663</v>
      </c>
      <c r="HJ7" s="80">
        <v>-5.25</v>
      </c>
      <c r="HK7" s="1">
        <v>0.23529411764705882</v>
      </c>
      <c r="HL7" s="81">
        <v>-2.5799999999999996</v>
      </c>
      <c r="HM7" s="1">
        <v>0.3888888888888889</v>
      </c>
      <c r="HN7" s="82">
        <v>1.4500000000000004</v>
      </c>
      <c r="HO7" s="1">
        <v>0.44444444444444442</v>
      </c>
      <c r="HP7" s="83">
        <v>-2.2000000000000002</v>
      </c>
      <c r="HQ7" s="1">
        <v>0.44444444444444442</v>
      </c>
      <c r="HR7" s="84">
        <v>-6.33</v>
      </c>
      <c r="HS7" s="1">
        <v>6.25E-2</v>
      </c>
      <c r="HT7" s="85">
        <v>-3.9499999999999997</v>
      </c>
      <c r="HU7" s="1">
        <v>0.11764705882352941</v>
      </c>
      <c r="HV7" s="88">
        <v>-2.09</v>
      </c>
      <c r="HW7" s="1">
        <v>0.41176470588235292</v>
      </c>
      <c r="HX7" s="89"/>
      <c r="HY7" s="1"/>
      <c r="HZ7" s="91">
        <v>-4.7600000000000007</v>
      </c>
      <c r="IA7" s="1">
        <v>0.5</v>
      </c>
      <c r="IB7" s="92">
        <v>-0.82</v>
      </c>
      <c r="IC7" s="1">
        <v>0.55555555555555558</v>
      </c>
      <c r="ID7" s="93">
        <v>-5.35</v>
      </c>
      <c r="IE7" s="1">
        <v>0.33333333333333331</v>
      </c>
      <c r="IF7" s="94">
        <v>0.80999999999999994</v>
      </c>
      <c r="IG7" s="1">
        <v>0.47058823529411764</v>
      </c>
      <c r="IH7" s="97">
        <v>-3.3600000000000003</v>
      </c>
      <c r="II7" s="1">
        <v>0.25</v>
      </c>
      <c r="IJ7" s="98">
        <v>-8.56</v>
      </c>
      <c r="IK7" s="1">
        <v>0.22222222222222221</v>
      </c>
      <c r="IL7" s="99">
        <v>5.1500000000000012</v>
      </c>
      <c r="IM7" s="1">
        <v>0.88888888888888884</v>
      </c>
      <c r="IN7" s="100">
        <v>-1.8900000000000006</v>
      </c>
      <c r="IO7" s="1">
        <v>0.44444444444444442</v>
      </c>
      <c r="IP7" s="101">
        <v>-2.92</v>
      </c>
      <c r="IQ7" s="1">
        <v>0.44444444444444442</v>
      </c>
      <c r="IR7" s="102">
        <v>-5.0399999999999991</v>
      </c>
      <c r="IS7" s="1">
        <v>0.41176470588235292</v>
      </c>
      <c r="IT7" s="103">
        <v>2.8499999999999996</v>
      </c>
      <c r="IU7" s="1">
        <v>0.44444444444444442</v>
      </c>
      <c r="IV7" s="104">
        <v>2.1999999999999997</v>
      </c>
      <c r="IW7" s="1">
        <v>0.5</v>
      </c>
      <c r="IX7" s="104">
        <v>-5.87</v>
      </c>
      <c r="IY7" s="1">
        <v>0.29411764705882354</v>
      </c>
      <c r="IZ7" s="105">
        <v>-0.83000000000000029</v>
      </c>
      <c r="JA7" s="1">
        <v>0.52941176470588236</v>
      </c>
      <c r="JB7" s="112">
        <v>-0.9600000000000003</v>
      </c>
      <c r="JC7" s="1">
        <v>0.44444444444444442</v>
      </c>
      <c r="JD7" s="113">
        <v>7.7899999999999991</v>
      </c>
      <c r="JE7" s="1">
        <v>0.72222222222222221</v>
      </c>
      <c r="JF7" s="114">
        <v>0.68999999999999972</v>
      </c>
      <c r="JG7" s="1">
        <v>0.44444444444444442</v>
      </c>
      <c r="JH7" s="115">
        <v>-0.55999999999999983</v>
      </c>
      <c r="JI7" s="1">
        <v>0.5</v>
      </c>
      <c r="JJ7" s="116">
        <v>-4.1499999999999995</v>
      </c>
      <c r="JK7" s="1">
        <v>0.33333333333333331</v>
      </c>
      <c r="JL7" s="117">
        <v>-3.57</v>
      </c>
      <c r="JM7" s="1">
        <v>0.5</v>
      </c>
      <c r="JN7" s="118">
        <v>1.1099999999999999</v>
      </c>
      <c r="JO7" s="1">
        <v>0.5</v>
      </c>
      <c r="JP7" s="119">
        <v>-0.72000000000000008</v>
      </c>
      <c r="JQ7" s="1">
        <v>0.5</v>
      </c>
      <c r="JR7" s="120"/>
      <c r="JS7" s="1"/>
      <c r="JT7" s="122"/>
      <c r="JU7" s="1"/>
      <c r="JV7" s="126"/>
      <c r="JW7" s="1"/>
      <c r="JX7" s="132">
        <v>-6.9200000000000008</v>
      </c>
      <c r="JY7" s="1">
        <v>0.44444444444444442</v>
      </c>
      <c r="JZ7" s="133">
        <v>-2.7099999999999995</v>
      </c>
      <c r="KA7" s="1">
        <v>0.44444444444444442</v>
      </c>
      <c r="KB7" s="138">
        <v>-6.05</v>
      </c>
      <c r="KC7" s="1">
        <v>0.3888888888888889</v>
      </c>
      <c r="KD7" s="140">
        <v>4.5799999999999992</v>
      </c>
      <c r="KE7" s="1">
        <v>0.66666666666666663</v>
      </c>
      <c r="KF7" s="144">
        <v>-3.4200000000000008</v>
      </c>
      <c r="KG7" s="1">
        <v>0.44444444444444442</v>
      </c>
      <c r="KH7" s="148">
        <v>0.46000000000000008</v>
      </c>
      <c r="KI7" s="1">
        <v>0.5</v>
      </c>
      <c r="KJ7" s="152">
        <v>2.46</v>
      </c>
      <c r="KK7" s="1">
        <v>0.44444444444444442</v>
      </c>
      <c r="KL7" s="156">
        <v>4.25</v>
      </c>
      <c r="KM7" s="1">
        <v>0.61111111111111116</v>
      </c>
      <c r="KN7" s="160">
        <v>-4.47</v>
      </c>
      <c r="KO7" s="1">
        <v>0.3888888888888889</v>
      </c>
      <c r="KP7" s="163"/>
      <c r="KQ7" s="1"/>
      <c r="KR7" s="165">
        <v>4.169999999999999</v>
      </c>
      <c r="KS7" s="1">
        <v>0.5</v>
      </c>
      <c r="KT7" s="168"/>
      <c r="KU7" s="1"/>
      <c r="KV7" s="171">
        <v>6.1000000000000023</v>
      </c>
      <c r="KW7" s="1">
        <v>0.66666666666666663</v>
      </c>
      <c r="KX7" s="174">
        <v>-7.5099999999999989</v>
      </c>
      <c r="KY7" s="1">
        <v>0.3888888888888889</v>
      </c>
      <c r="KZ7" s="179">
        <v>-12.049999999999997</v>
      </c>
      <c r="LA7" s="1">
        <v>0.33333333333333331</v>
      </c>
      <c r="LB7" s="183">
        <v>-4.9600000000000009</v>
      </c>
      <c r="LC7" s="1">
        <v>0.61111111111111116</v>
      </c>
      <c r="LD7" s="187">
        <v>0.45999999999999996</v>
      </c>
      <c r="LE7" s="1">
        <v>0.55555555555555558</v>
      </c>
      <c r="LF7" s="189">
        <v>3.2199999999999989</v>
      </c>
      <c r="LG7" s="1">
        <v>0.77777777777777779</v>
      </c>
      <c r="LH7" s="191">
        <v>-1.04</v>
      </c>
      <c r="LI7" s="1">
        <v>0.55555555555555558</v>
      </c>
      <c r="LJ7" s="194"/>
      <c r="LK7" s="1"/>
      <c r="LL7" s="196">
        <v>-2.8800000000000003</v>
      </c>
      <c r="LM7" s="1">
        <v>0.5</v>
      </c>
      <c r="LN7" s="198">
        <v>6.3600000000000012</v>
      </c>
      <c r="LO7" s="1">
        <v>0.77777777777777779</v>
      </c>
      <c r="LP7" s="200">
        <v>0.72000000000000008</v>
      </c>
      <c r="LQ7" s="1">
        <v>0.6</v>
      </c>
      <c r="LR7" s="202">
        <v>-9.3600000000000012</v>
      </c>
      <c r="LS7" s="1">
        <v>0.5</v>
      </c>
      <c r="LT7" s="204">
        <v>-5</v>
      </c>
      <c r="LU7" s="1">
        <v>0.52941176470588236</v>
      </c>
      <c r="LV7" s="206">
        <v>-2.37</v>
      </c>
      <c r="LW7" s="1">
        <v>0.61111111111111116</v>
      </c>
      <c r="LX7" s="208">
        <v>-12.109999999999998</v>
      </c>
      <c r="LY7" s="1">
        <v>0.4</v>
      </c>
      <c r="LZ7" s="210">
        <v>0.40999999999999948</v>
      </c>
      <c r="MA7" s="1">
        <v>0.5625</v>
      </c>
      <c r="MB7" s="212">
        <v>1.08</v>
      </c>
      <c r="MC7" s="1">
        <v>0.61111111111111116</v>
      </c>
      <c r="MD7" s="214"/>
      <c r="ME7" s="1"/>
      <c r="MF7" s="216">
        <v>-2.96</v>
      </c>
      <c r="MG7" s="1">
        <v>0.625</v>
      </c>
      <c r="MH7" s="218">
        <v>-6.84</v>
      </c>
      <c r="MI7" s="1">
        <v>0.52941176470588236</v>
      </c>
      <c r="MJ7" s="220">
        <v>-3.0000000000000693E-2</v>
      </c>
      <c r="MK7" s="1">
        <v>0.61111111111111116</v>
      </c>
      <c r="ML7" s="222">
        <v>1.4100000000000004</v>
      </c>
      <c r="MM7" s="1">
        <v>0.63157894736842102</v>
      </c>
      <c r="MN7" s="224">
        <v>-2.3999999999999995</v>
      </c>
      <c r="MO7" s="1">
        <v>0.61111111111111116</v>
      </c>
      <c r="MP7" s="226">
        <v>-4.07</v>
      </c>
      <c r="MQ7" s="1">
        <v>0.52631578947368418</v>
      </c>
      <c r="MR7" s="228">
        <v>-12.73</v>
      </c>
      <c r="MS7" s="1">
        <v>0.1875</v>
      </c>
      <c r="MT7" s="230">
        <v>-7.9</v>
      </c>
      <c r="MU7" s="1">
        <v>0.5</v>
      </c>
      <c r="MV7" s="232">
        <v>-1.1200000000000003</v>
      </c>
      <c r="MW7" s="1">
        <v>0.5</v>
      </c>
      <c r="MX7" s="234">
        <v>-8.39</v>
      </c>
      <c r="MY7" s="1">
        <v>0.42105263157894735</v>
      </c>
      <c r="MZ7" s="236">
        <v>-7.9999999999999183E-2</v>
      </c>
      <c r="NA7" s="1">
        <v>0.6470588235294118</v>
      </c>
      <c r="NB7" s="238">
        <v>0.15000000000000002</v>
      </c>
      <c r="NC7" s="1">
        <v>0.47058823529411764</v>
      </c>
      <c r="ND7" s="240"/>
      <c r="NE7" s="1"/>
      <c r="NF7" s="242">
        <v>-21.040000000000003</v>
      </c>
      <c r="NG7" s="1">
        <v>0.21052631578947367</v>
      </c>
      <c r="NH7" s="244">
        <v>-21.040000000000003</v>
      </c>
      <c r="NI7" s="1">
        <v>0.21052631578947367</v>
      </c>
      <c r="NJ7" s="244">
        <v>3.57</v>
      </c>
      <c r="NK7" s="1">
        <v>0.61111111111111116</v>
      </c>
      <c r="NL7" s="246">
        <v>-6.7700000000000005</v>
      </c>
      <c r="NM7" s="1">
        <v>0.44444444444444442</v>
      </c>
      <c r="NN7" s="248"/>
      <c r="NO7" s="1"/>
      <c r="NP7" s="250">
        <v>-6.5300000000000011</v>
      </c>
      <c r="NQ7" s="1">
        <v>0.35714285714285715</v>
      </c>
      <c r="NR7" s="252">
        <v>-4.9500000000000011</v>
      </c>
      <c r="NS7" s="1">
        <v>0.46153846153846156</v>
      </c>
      <c r="NT7" s="254">
        <v>-3.77</v>
      </c>
      <c r="NU7" s="1">
        <v>0.5</v>
      </c>
      <c r="NV7" s="256">
        <v>-2.35</v>
      </c>
      <c r="NW7" s="1">
        <v>0.5</v>
      </c>
      <c r="NX7" s="258">
        <v>-5.3299999999999992</v>
      </c>
      <c r="NY7" s="1">
        <v>0.46666666666666667</v>
      </c>
      <c r="NZ7" s="260">
        <v>-0.7699999999999998</v>
      </c>
      <c r="OA7" s="1">
        <v>0.44444444444444442</v>
      </c>
      <c r="OB7" s="262">
        <v>4.2100000000000009</v>
      </c>
      <c r="OC7" s="1">
        <v>0.77777777777777779</v>
      </c>
      <c r="OD7" s="264">
        <v>3.1799999999999997</v>
      </c>
      <c r="OE7" s="1">
        <v>0.7</v>
      </c>
      <c r="OF7" s="266">
        <v>4.3600000000000003</v>
      </c>
      <c r="OG7" s="1">
        <v>0.66666666666666663</v>
      </c>
      <c r="OH7" s="268">
        <v>-0.64000000000000012</v>
      </c>
      <c r="OI7" s="1">
        <v>0.41666666666666669</v>
      </c>
      <c r="OJ7" s="270"/>
      <c r="OK7" s="1"/>
      <c r="OL7" s="272">
        <v>-2.2700000000000005</v>
      </c>
      <c r="OM7" s="1">
        <v>0.52941176470588236</v>
      </c>
      <c r="ON7" s="274">
        <v>-7.8</v>
      </c>
      <c r="OO7" s="1">
        <v>0.27777777777777779</v>
      </c>
      <c r="OP7" s="276">
        <v>-6.35</v>
      </c>
      <c r="OQ7" s="1">
        <v>0.36842105263157893</v>
      </c>
      <c r="OR7" s="278"/>
      <c r="OS7" s="1"/>
      <c r="OT7" s="280">
        <v>-6.0000000000000018</v>
      </c>
      <c r="OU7" s="1">
        <v>0.5</v>
      </c>
      <c r="OV7" s="282"/>
      <c r="OW7" s="1"/>
      <c r="OX7" s="285">
        <v>-7.01</v>
      </c>
      <c r="OY7" s="1">
        <v>0.33333333333333331</v>
      </c>
      <c r="OZ7" s="288">
        <v>-5.35</v>
      </c>
      <c r="PA7" s="1">
        <v>0.42105263157894735</v>
      </c>
      <c r="PB7" s="292">
        <v>-1.0799999999999998</v>
      </c>
      <c r="PC7" s="1">
        <v>0.52631578947368418</v>
      </c>
      <c r="PD7" s="297">
        <v>-12.440000000000001</v>
      </c>
      <c r="PE7" s="1">
        <v>0.26315789473684209</v>
      </c>
      <c r="PF7" s="298">
        <v>-7.14</v>
      </c>
      <c r="PG7" s="1">
        <v>0.41176470588235292</v>
      </c>
      <c r="PH7" s="301">
        <v>2.12</v>
      </c>
      <c r="PI7" s="1">
        <v>0.70588235294117652</v>
      </c>
      <c r="PJ7" s="302"/>
      <c r="PK7" s="1"/>
      <c r="PL7" s="309">
        <v>-8.68</v>
      </c>
      <c r="PM7" s="1">
        <v>0.47368421052631576</v>
      </c>
      <c r="PN7" s="313">
        <v>7.3099999999999987</v>
      </c>
      <c r="PO7" s="1">
        <v>0.78947368421052633</v>
      </c>
      <c r="PP7" s="313">
        <v>-2.6800000000000006</v>
      </c>
      <c r="PQ7" s="1">
        <v>0.58823529411764708</v>
      </c>
      <c r="PR7" s="315">
        <v>-5.8000000000000007</v>
      </c>
      <c r="PS7" s="1">
        <v>0.42105263157894735</v>
      </c>
      <c r="PT7" s="318">
        <v>-2.1000000000000005</v>
      </c>
      <c r="PU7" s="1">
        <v>0.5625</v>
      </c>
      <c r="PV7" s="321">
        <v>-2.3100000000000005</v>
      </c>
      <c r="PW7" s="1">
        <v>0.68421052631578949</v>
      </c>
      <c r="PX7" s="323">
        <v>-1.9599999999999995</v>
      </c>
      <c r="PY7" s="1">
        <v>0.63157894736842102</v>
      </c>
      <c r="PZ7" s="325"/>
      <c r="QA7" s="1"/>
      <c r="QB7" s="327">
        <v>-10.120000000000001</v>
      </c>
      <c r="QC7" s="1">
        <v>0.4375</v>
      </c>
      <c r="QD7" s="334">
        <v>0.41000000000000014</v>
      </c>
      <c r="QE7" s="1">
        <v>0.63157894736842102</v>
      </c>
      <c r="QF7" s="339">
        <v>-0.10000000000000059</v>
      </c>
      <c r="QG7" s="1">
        <v>0.61111111111111116</v>
      </c>
      <c r="QH7" s="345">
        <v>5.39</v>
      </c>
      <c r="QI7" s="1">
        <v>0.8</v>
      </c>
      <c r="QJ7" s="352">
        <v>-9.4799999999999969</v>
      </c>
      <c r="QK7" s="1">
        <v>0.3888888888888889</v>
      </c>
      <c r="QL7" s="356">
        <v>-5.13</v>
      </c>
      <c r="QM7" s="1">
        <v>0.47368421052631576</v>
      </c>
      <c r="QN7" s="360">
        <v>-0.3199999999999994</v>
      </c>
      <c r="QO7" s="1">
        <v>0.33333333333333331</v>
      </c>
      <c r="QP7" s="363">
        <v>3.2699999999999996</v>
      </c>
      <c r="QQ7" s="1">
        <v>0.5</v>
      </c>
      <c r="QR7" s="366">
        <v>-4.0399999999999991</v>
      </c>
      <c r="QS7" s="1">
        <v>0.47368421052631576</v>
      </c>
      <c r="QT7" s="371">
        <v>-2.7600000000000002</v>
      </c>
      <c r="QU7" s="1">
        <v>0.52941176470588236</v>
      </c>
      <c r="QV7" s="374">
        <v>-1.9999999999999987</v>
      </c>
      <c r="QW7" s="1">
        <v>0.47368421052631576</v>
      </c>
      <c r="QX7" s="378">
        <v>-2.3199999999999998</v>
      </c>
      <c r="QY7" s="1">
        <v>0.35294117647058826</v>
      </c>
      <c r="QZ7" s="386"/>
      <c r="RA7" s="1"/>
      <c r="RB7" s="395">
        <v>-2.06</v>
      </c>
      <c r="RC7" s="1">
        <v>0.44444444444444442</v>
      </c>
      <c r="RD7" s="399">
        <v>-6.080000000000001</v>
      </c>
      <c r="RE7" s="1">
        <v>0.36842105263157893</v>
      </c>
      <c r="RF7" s="399">
        <v>-5.83</v>
      </c>
      <c r="RG7" s="1">
        <v>0.3888888888888889</v>
      </c>
      <c r="RH7" s="403">
        <v>1.6300000000000003</v>
      </c>
      <c r="RI7" s="1">
        <v>0.55555555555555558</v>
      </c>
      <c r="RJ7" s="405">
        <v>-3.07</v>
      </c>
      <c r="RK7" s="1">
        <v>0.3888888888888889</v>
      </c>
      <c r="RL7" s="407"/>
      <c r="RM7" s="1"/>
      <c r="RN7" s="410">
        <v>-1.0200000000000002</v>
      </c>
      <c r="RO7" s="1">
        <v>0.3888888888888889</v>
      </c>
      <c r="RP7" s="412">
        <v>1.2699999999999998</v>
      </c>
      <c r="RQ7" s="1">
        <v>0.27777777777777779</v>
      </c>
      <c r="RR7" s="415"/>
      <c r="RS7" s="1"/>
      <c r="RT7" s="417">
        <v>-5.38</v>
      </c>
      <c r="RU7" s="1">
        <v>0.33333333333333331</v>
      </c>
      <c r="RV7" s="422">
        <v>-3.8700000000000019</v>
      </c>
      <c r="RW7" s="1">
        <v>0.44444444444444442</v>
      </c>
      <c r="RX7" s="427">
        <v>-4.16</v>
      </c>
      <c r="RY7" s="1">
        <v>0.4375</v>
      </c>
      <c r="RZ7" s="433">
        <v>-3.1100000000000003</v>
      </c>
      <c r="SA7" s="1">
        <v>0.57894736842105265</v>
      </c>
      <c r="SB7" s="436">
        <v>4.0199999999999996</v>
      </c>
      <c r="SC7" s="1">
        <v>0.57894736842105265</v>
      </c>
      <c r="SD7" s="443">
        <v>-0.74000000000000044</v>
      </c>
      <c r="SE7" s="1">
        <v>0.42105263157894735</v>
      </c>
      <c r="SF7" s="445"/>
      <c r="SG7" s="1"/>
      <c r="SH7" s="450">
        <v>-9.82</v>
      </c>
      <c r="SI7" s="1">
        <v>0.27777777777777779</v>
      </c>
      <c r="SJ7" s="452">
        <v>-8.0200000000000014</v>
      </c>
      <c r="SK7" s="1">
        <v>0.36842105263157893</v>
      </c>
      <c r="SL7" s="457">
        <v>-4.29</v>
      </c>
      <c r="SM7" s="1">
        <v>0.36842105263157893</v>
      </c>
      <c r="SN7" s="459">
        <v>1.7099999999999997</v>
      </c>
      <c r="SO7" s="1">
        <v>0.66666666666666663</v>
      </c>
      <c r="SP7" s="461">
        <v>-4.0400000000000009</v>
      </c>
      <c r="SQ7" s="1">
        <v>0.47368421052631576</v>
      </c>
      <c r="SR7" s="463">
        <v>1.2799999999999998</v>
      </c>
      <c r="SS7" s="1">
        <v>0.47058823529411764</v>
      </c>
      <c r="ST7" s="464">
        <v>-1.1399999999999999</v>
      </c>
      <c r="SU7" s="1">
        <v>0.5</v>
      </c>
      <c r="SV7" s="466">
        <v>-1.7000000000000006</v>
      </c>
      <c r="SW7" s="1">
        <v>0.52631578947368418</v>
      </c>
      <c r="SX7" s="467"/>
      <c r="SY7" s="1"/>
      <c r="SZ7" s="469">
        <v>-1.4599999999999997</v>
      </c>
      <c r="TA7" s="1">
        <v>0.44444444444444442</v>
      </c>
      <c r="TB7" s="471">
        <v>-4.0400000000000009</v>
      </c>
      <c r="TC7" s="1">
        <v>0.47368421052631576</v>
      </c>
      <c r="TD7" s="472">
        <v>4.5</v>
      </c>
      <c r="TE7" s="1">
        <v>0.61111111111111116</v>
      </c>
      <c r="TF7" s="474">
        <v>-2.3000000000000003</v>
      </c>
      <c r="TG7" s="1">
        <v>0.42105263157894735</v>
      </c>
      <c r="TH7" s="488">
        <v>-9.08</v>
      </c>
      <c r="TI7" s="1">
        <v>0.31578947368421051</v>
      </c>
      <c r="TJ7" s="489">
        <v>-1.8</v>
      </c>
      <c r="TK7" s="1">
        <v>0.47368421052631576</v>
      </c>
      <c r="TL7" s="490">
        <v>-5.3100000000000005</v>
      </c>
      <c r="TM7" s="1">
        <v>0.31578947368421051</v>
      </c>
      <c r="TN7" s="495"/>
      <c r="TO7" s="1"/>
      <c r="TP7" s="500">
        <v>-2.0800000000000005</v>
      </c>
      <c r="TQ7" s="1">
        <v>0.44444444444444442</v>
      </c>
      <c r="TR7" s="511">
        <v>9.9999999999999811E-2</v>
      </c>
      <c r="TS7" s="1">
        <v>0.36842105263157893</v>
      </c>
      <c r="TT7" s="515">
        <v>-2.09</v>
      </c>
      <c r="TU7" s="1">
        <v>0.42105263157894735</v>
      </c>
      <c r="TV7" s="518">
        <v>-10.65</v>
      </c>
      <c r="TW7" s="1">
        <v>0.31578947368421051</v>
      </c>
      <c r="TX7" s="521">
        <v>-1.1700000000000008</v>
      </c>
      <c r="TY7" s="1">
        <v>0.66666666666666663</v>
      </c>
      <c r="TZ7" s="524">
        <v>-0.30000000000000004</v>
      </c>
      <c r="UA7" s="1">
        <v>0.5</v>
      </c>
      <c r="UB7" s="527">
        <v>-0.56000000000000005</v>
      </c>
      <c r="UC7" s="1">
        <v>0.47368421052631576</v>
      </c>
      <c r="UD7" s="530">
        <v>0.72999999999999887</v>
      </c>
      <c r="UE7" s="1">
        <v>0.57894736842105265</v>
      </c>
      <c r="UF7" s="533">
        <v>-4.2300000000000004</v>
      </c>
      <c r="UG7" s="1">
        <v>0.42105263157894735</v>
      </c>
      <c r="UH7" s="536">
        <v>-2.399999999999999</v>
      </c>
      <c r="UI7" s="1">
        <v>0.5</v>
      </c>
      <c r="UJ7" s="539">
        <v>2.86</v>
      </c>
      <c r="UK7" s="1">
        <v>0.57894736842105265</v>
      </c>
      <c r="UL7" s="540">
        <v>0.23999999999999977</v>
      </c>
      <c r="UM7" s="1">
        <v>0.42105263157894735</v>
      </c>
      <c r="UN7" s="543">
        <v>-6.8100000000000014</v>
      </c>
      <c r="UO7" s="1">
        <v>0.33333333333333331</v>
      </c>
      <c r="UP7" s="544">
        <v>1.32</v>
      </c>
      <c r="UQ7" s="1">
        <v>0.52631578947368418</v>
      </c>
      <c r="UR7" s="551">
        <v>-3.1399999999999997</v>
      </c>
      <c r="US7" s="1">
        <v>0.57894736842105265</v>
      </c>
      <c r="UT7" s="551">
        <v>-2.83</v>
      </c>
      <c r="UU7" s="1">
        <v>0.44444444444444442</v>
      </c>
      <c r="UV7" s="562">
        <v>1.6999999999999997</v>
      </c>
      <c r="UW7" s="1">
        <v>0.73684210526315785</v>
      </c>
      <c r="UX7" s="566">
        <v>-1.0000000000000009E-2</v>
      </c>
      <c r="UY7" s="1">
        <v>0.57894736842105265</v>
      </c>
      <c r="UZ7" s="568"/>
      <c r="VA7" s="1"/>
      <c r="VB7" s="572">
        <v>-6.0000000000000018</v>
      </c>
      <c r="VC7" s="1">
        <v>0.36842105263157893</v>
      </c>
      <c r="VD7" s="576">
        <v>3.9499999999999984</v>
      </c>
      <c r="VE7" s="1">
        <v>0.42105263157894735</v>
      </c>
      <c r="VF7" s="580">
        <v>-5.0499999999999989</v>
      </c>
      <c r="VG7" s="1">
        <v>0.36842105263157893</v>
      </c>
      <c r="VH7" s="584">
        <v>1.8599999999999994</v>
      </c>
      <c r="VI7" s="1">
        <v>0.66666666666666663</v>
      </c>
      <c r="VJ7" s="589">
        <v>-4.9000000000000004</v>
      </c>
      <c r="VK7" s="1">
        <v>0.3888888888888889</v>
      </c>
      <c r="VL7" s="593">
        <v>-7.830000000000001</v>
      </c>
      <c r="VM7" s="1">
        <v>0.42105263157894735</v>
      </c>
      <c r="VN7" s="597">
        <v>-1.4899999999999998</v>
      </c>
      <c r="VO7" s="1">
        <v>0.55555555555555558</v>
      </c>
      <c r="VP7" s="601">
        <v>-6.5000000000000009</v>
      </c>
      <c r="VQ7" s="1">
        <v>0.47368421052631576</v>
      </c>
      <c r="VR7" s="603"/>
      <c r="VS7" s="1"/>
      <c r="VT7" s="607">
        <v>0.24999999999999972</v>
      </c>
      <c r="VU7" s="1">
        <v>0.42105263157894735</v>
      </c>
      <c r="VV7" s="609">
        <v>-3.8299999999999987</v>
      </c>
      <c r="VW7" s="1">
        <v>0.3888888888888889</v>
      </c>
      <c r="VX7" s="613">
        <v>-2.1700000000000004</v>
      </c>
      <c r="VY7" s="1">
        <v>0.47368421052631576</v>
      </c>
      <c r="VZ7" s="617">
        <v>-6.42</v>
      </c>
      <c r="WA7" s="1">
        <v>0.26315789473684209</v>
      </c>
      <c r="WB7" s="619">
        <v>-9.4500000000000011</v>
      </c>
      <c r="WC7" s="1">
        <v>0.47368421052631576</v>
      </c>
      <c r="WD7" s="624">
        <v>6.8199999999999994</v>
      </c>
      <c r="WE7" s="1">
        <v>0.68421052631578949</v>
      </c>
      <c r="WF7" s="626">
        <v>-7.9900000000000011</v>
      </c>
      <c r="WG7" s="1">
        <v>0.47368421052631576</v>
      </c>
      <c r="WH7" s="630">
        <v>-2.87</v>
      </c>
      <c r="WI7" s="1">
        <v>0.52631578947368418</v>
      </c>
      <c r="WJ7" s="636">
        <v>-3.680000000000001</v>
      </c>
      <c r="WK7" s="1">
        <v>0.47368421052631576</v>
      </c>
      <c r="WL7" s="638">
        <v>-1.8899999999999995</v>
      </c>
      <c r="WM7" s="1">
        <v>0.52631578947368418</v>
      </c>
      <c r="WN7" s="642">
        <v>-1.0499999999999998</v>
      </c>
      <c r="WO7" s="1">
        <v>0.42105263157894735</v>
      </c>
      <c r="WP7" s="646">
        <v>0.75</v>
      </c>
      <c r="WQ7" s="1">
        <v>0.52631578947368418</v>
      </c>
      <c r="WR7" s="652">
        <v>-2.8699999999999988</v>
      </c>
      <c r="WS7" s="1">
        <v>0.5</v>
      </c>
      <c r="WT7" s="659">
        <v>1.69</v>
      </c>
      <c r="WU7" s="1">
        <v>0.52631578947368418</v>
      </c>
      <c r="WV7" s="659">
        <v>-4.9399999999999986</v>
      </c>
      <c r="WW7" s="1">
        <v>0.42105263157894735</v>
      </c>
      <c r="WX7" s="672">
        <v>-0.8</v>
      </c>
      <c r="WY7" s="1">
        <v>0.52631578947368418</v>
      </c>
      <c r="WZ7" s="677">
        <v>2.2700000000000005</v>
      </c>
      <c r="XA7" s="1">
        <v>0.47368421052631576</v>
      </c>
      <c r="XB7" s="681">
        <v>-2.5700000000000007</v>
      </c>
      <c r="XC7" s="1">
        <v>0.42105263157894735</v>
      </c>
      <c r="XD7" s="683"/>
      <c r="XE7" s="1"/>
      <c r="XF7" s="687">
        <v>-3.6500000000000012</v>
      </c>
      <c r="XG7" s="1">
        <v>0.47058823529411764</v>
      </c>
      <c r="XH7" s="689">
        <v>5.3999999999999995</v>
      </c>
      <c r="XI7" s="1">
        <v>0.57894736842105265</v>
      </c>
      <c r="XJ7" s="696">
        <v>-6.2299999999999986</v>
      </c>
      <c r="XK7" s="1">
        <v>0.42105263157894735</v>
      </c>
      <c r="XL7" s="696">
        <v>-4.1400000000000006</v>
      </c>
      <c r="XM7" s="1">
        <v>0.5</v>
      </c>
      <c r="XN7" s="696">
        <v>-2.2399999999999993</v>
      </c>
      <c r="XO7" s="1">
        <v>0.57894736842105265</v>
      </c>
      <c r="XP7" s="700">
        <v>-1.6600000000000001</v>
      </c>
      <c r="XQ7" s="1">
        <v>0.57894736842105265</v>
      </c>
      <c r="XR7" s="705">
        <v>-6.64</v>
      </c>
      <c r="XS7" s="1">
        <v>0.43243243243243246</v>
      </c>
      <c r="XT7" s="709">
        <v>-4.7500000000000009</v>
      </c>
      <c r="XU7" s="1">
        <v>0.26315789473684209</v>
      </c>
      <c r="XV7" s="715">
        <v>-2.8400000000000003</v>
      </c>
      <c r="XW7" s="1">
        <v>0.36842105263157893</v>
      </c>
    </row>
    <row r="8" spans="2:647" x14ac:dyDescent="0.25">
      <c r="B8" s="755"/>
      <c r="C8" s="756"/>
      <c r="D8" s="757" t="s">
        <v>7</v>
      </c>
      <c r="E8" s="757"/>
      <c r="F8" s="57">
        <v>0.2</v>
      </c>
      <c r="G8" s="768"/>
      <c r="H8" s="3"/>
      <c r="I8" s="1"/>
      <c r="J8" s="3"/>
      <c r="K8" s="1"/>
      <c r="L8" s="3"/>
      <c r="M8" s="1"/>
      <c r="N8" s="3"/>
      <c r="O8" s="1"/>
      <c r="P8" s="3"/>
      <c r="Q8" s="1"/>
      <c r="R8" s="3"/>
      <c r="S8" s="1"/>
      <c r="T8" s="3"/>
      <c r="U8" s="1"/>
      <c r="V8" s="3"/>
      <c r="W8" s="1"/>
      <c r="X8" s="3"/>
      <c r="Y8" s="1"/>
      <c r="Z8" s="3"/>
      <c r="AA8" s="1"/>
      <c r="AB8" s="3"/>
      <c r="AC8" s="1"/>
      <c r="AD8" s="3"/>
      <c r="AE8" s="1"/>
      <c r="AF8" s="3"/>
      <c r="AG8" s="1"/>
      <c r="AH8" s="3"/>
      <c r="AI8" s="1"/>
      <c r="AJ8" s="3"/>
      <c r="AK8" s="1"/>
      <c r="AL8" s="3"/>
      <c r="AM8" s="1"/>
      <c r="AN8" s="3"/>
      <c r="AO8" s="1"/>
      <c r="AP8" s="3"/>
      <c r="AQ8" s="1"/>
      <c r="AR8" s="3"/>
      <c r="AS8" s="1"/>
      <c r="AT8" s="3"/>
      <c r="AU8" s="1"/>
      <c r="AV8" s="3"/>
      <c r="AW8" s="1"/>
      <c r="AX8" s="3"/>
      <c r="AY8" s="1"/>
      <c r="AZ8" s="3"/>
      <c r="BA8" s="1"/>
      <c r="BB8" s="3"/>
      <c r="BC8" s="1"/>
      <c r="BD8" s="3"/>
      <c r="BE8" s="1"/>
      <c r="BF8" s="3"/>
      <c r="BG8" s="1"/>
      <c r="BH8" s="3"/>
      <c r="BI8" s="1"/>
      <c r="BJ8" s="3">
        <v>-2.27</v>
      </c>
      <c r="BK8" s="1">
        <v>0.4</v>
      </c>
      <c r="BL8" s="3"/>
      <c r="BM8" s="1"/>
      <c r="BN8" s="3">
        <v>-0.45999999999999996</v>
      </c>
      <c r="BO8" s="1">
        <v>0.33333333333333331</v>
      </c>
      <c r="BP8" s="3">
        <v>-0.26333333333333325</v>
      </c>
      <c r="BQ8" s="1">
        <v>0.27272727272727271</v>
      </c>
      <c r="BR8" s="3">
        <v>-2.2366666666666668</v>
      </c>
      <c r="BS8" s="1">
        <v>0</v>
      </c>
      <c r="BT8" s="3">
        <v>-0.77333333333333332</v>
      </c>
      <c r="BU8" s="1">
        <v>0.4</v>
      </c>
      <c r="BV8" s="3"/>
      <c r="BW8" s="1"/>
      <c r="BX8" s="3">
        <v>-2.1731249999999998</v>
      </c>
      <c r="BY8" s="1">
        <v>0.125</v>
      </c>
      <c r="BZ8" s="3">
        <v>-0.8806250000000001</v>
      </c>
      <c r="CA8" s="1">
        <v>0.33333333333333331</v>
      </c>
      <c r="CB8" s="3"/>
      <c r="CC8" s="1"/>
      <c r="CD8" s="3">
        <v>-1.7100000000000004</v>
      </c>
      <c r="CE8" s="1">
        <v>0.16666666666666666</v>
      </c>
      <c r="CF8" s="3">
        <v>8.312500000000006E-2</v>
      </c>
      <c r="CG8" s="1">
        <v>0.66666666666666663</v>
      </c>
      <c r="CH8" s="3">
        <v>-0.57437499999999997</v>
      </c>
      <c r="CI8" s="1">
        <v>0.5</v>
      </c>
      <c r="CJ8" s="3">
        <v>-0.77687499999999998</v>
      </c>
      <c r="CK8" s="1">
        <v>0.4</v>
      </c>
      <c r="CL8" s="3">
        <v>-3.6724999999999999</v>
      </c>
      <c r="CM8" s="1">
        <v>0.2</v>
      </c>
      <c r="CN8" s="3">
        <v>-2.9806249999999999</v>
      </c>
      <c r="CO8" s="1">
        <v>0</v>
      </c>
      <c r="CP8" s="3">
        <v>-0.68437500000000007</v>
      </c>
      <c r="CQ8" s="1">
        <v>0.375</v>
      </c>
      <c r="CR8" s="3">
        <v>-1.6875000000000002</v>
      </c>
      <c r="CS8" s="1">
        <v>0.25</v>
      </c>
      <c r="CT8" s="3">
        <v>-0.72124999999999972</v>
      </c>
      <c r="CU8" s="1">
        <v>0.55555555555555558</v>
      </c>
      <c r="CV8" s="3">
        <v>1.8675000000000002</v>
      </c>
      <c r="CW8" s="1">
        <v>0.61538461538461542</v>
      </c>
      <c r="CX8" s="3">
        <v>-3.0731250000000001</v>
      </c>
      <c r="CY8" s="1">
        <v>0.4</v>
      </c>
      <c r="CZ8" s="3">
        <v>3.0237500000000002</v>
      </c>
      <c r="DA8" s="1">
        <v>0.77777777777777779</v>
      </c>
      <c r="DB8" s="3">
        <v>0.8125</v>
      </c>
      <c r="DC8" s="1">
        <v>0.66666666666666663</v>
      </c>
      <c r="DD8" s="3">
        <v>3.6462500000000002</v>
      </c>
      <c r="DE8" s="1">
        <v>0.75</v>
      </c>
      <c r="DF8" s="3">
        <v>-1.08</v>
      </c>
      <c r="DG8" s="1">
        <v>0.75</v>
      </c>
      <c r="DH8" s="3">
        <v>-2.3337500000000002</v>
      </c>
      <c r="DI8" s="1">
        <v>0.33333333333333331</v>
      </c>
      <c r="DJ8" s="3">
        <v>-5.09</v>
      </c>
      <c r="DK8" s="1">
        <v>0.33333333333333331</v>
      </c>
      <c r="DL8" s="3">
        <v>-6.8750000000001865E-3</v>
      </c>
      <c r="DM8" s="1">
        <v>0.4</v>
      </c>
      <c r="DN8" s="3">
        <v>0.10374999999999993</v>
      </c>
      <c r="DO8" s="1">
        <v>0.42857142857142855</v>
      </c>
      <c r="DP8" s="3">
        <v>-0.72312499999999991</v>
      </c>
      <c r="DQ8" s="1">
        <v>0.25</v>
      </c>
      <c r="DR8" s="3">
        <v>-2.2725</v>
      </c>
      <c r="DS8" s="1">
        <v>0.33333333333333331</v>
      </c>
      <c r="DT8" s="3">
        <v>-2.5000000000000022E-2</v>
      </c>
      <c r="DU8" s="1">
        <v>0.4</v>
      </c>
      <c r="DV8" s="3">
        <v>-2.5000000000000022E-2</v>
      </c>
      <c r="DW8" s="1">
        <v>0.4</v>
      </c>
      <c r="DX8" s="3">
        <v>-1.099375</v>
      </c>
      <c r="DY8" s="1">
        <v>0.25</v>
      </c>
      <c r="DZ8" s="3">
        <v>0.52937500000000004</v>
      </c>
      <c r="EA8" s="1">
        <v>0.83333333333333337</v>
      </c>
      <c r="EB8" s="3">
        <v>-2.2256250000000004</v>
      </c>
      <c r="EC8" s="1">
        <v>0.36363636363636365</v>
      </c>
      <c r="ED8" s="3">
        <v>0.46812500000000012</v>
      </c>
      <c r="EE8" s="1">
        <v>0.8</v>
      </c>
      <c r="EF8" s="3">
        <v>-0.73499999999999988</v>
      </c>
      <c r="EG8" s="1">
        <v>0.5</v>
      </c>
      <c r="EH8" s="3">
        <v>-0.73499999999999988</v>
      </c>
      <c r="EI8" s="1">
        <v>0.5</v>
      </c>
      <c r="EJ8" s="3">
        <v>-1.9093749999999998</v>
      </c>
      <c r="EK8" s="1">
        <v>0.42857142857142855</v>
      </c>
      <c r="EL8" s="3">
        <v>-1.8287500000000001</v>
      </c>
      <c r="EM8" s="1">
        <v>0.2857142857142857</v>
      </c>
      <c r="EN8" s="3">
        <v>1.5943750000000001</v>
      </c>
      <c r="EO8" s="1">
        <v>0.75</v>
      </c>
      <c r="EP8" s="3">
        <v>0.70125000000000004</v>
      </c>
      <c r="EQ8" s="1">
        <v>0.8</v>
      </c>
      <c r="ER8" s="3">
        <v>0.71687499999999993</v>
      </c>
      <c r="ES8" s="1">
        <v>0.66666666666666663</v>
      </c>
      <c r="ET8" s="3">
        <v>3.4724999999999997</v>
      </c>
      <c r="EU8" s="1">
        <v>0.75</v>
      </c>
      <c r="EV8" s="3">
        <v>1.2968750000000002</v>
      </c>
      <c r="EW8" s="1">
        <v>0.5714285714285714</v>
      </c>
      <c r="EX8" s="3">
        <v>1.2968750000000002</v>
      </c>
      <c r="EY8" s="1">
        <v>0.5714285714285714</v>
      </c>
      <c r="EZ8" s="3"/>
      <c r="FA8" s="1"/>
      <c r="FB8" s="3">
        <v>-1.04</v>
      </c>
      <c r="FC8" s="1">
        <v>0.33333333333333331</v>
      </c>
      <c r="FD8" s="3">
        <v>-2.88</v>
      </c>
      <c r="FE8" s="1">
        <v>0.25</v>
      </c>
      <c r="FF8" s="3">
        <v>0.41999999999999993</v>
      </c>
      <c r="FG8" s="1">
        <v>0.5714285714285714</v>
      </c>
      <c r="FH8" s="3">
        <v>-3.01</v>
      </c>
      <c r="FI8" s="1">
        <v>0</v>
      </c>
      <c r="FJ8" s="3">
        <v>-2.99</v>
      </c>
      <c r="FK8" s="1">
        <v>0.375</v>
      </c>
      <c r="FL8" s="3">
        <v>-1.0999999999999996</v>
      </c>
      <c r="FM8" s="1">
        <v>0.41666666666666669</v>
      </c>
      <c r="FN8" s="3">
        <v>-4.09</v>
      </c>
      <c r="FO8" s="1">
        <v>0.36363636363636365</v>
      </c>
      <c r="FP8" s="3">
        <v>5.92</v>
      </c>
      <c r="FQ8" s="1">
        <v>0.75</v>
      </c>
      <c r="FR8" s="3">
        <v>-0.52000000000000013</v>
      </c>
      <c r="FS8" s="1">
        <v>0.33333333333333331</v>
      </c>
      <c r="FT8" s="3">
        <v>2.9400000000000004</v>
      </c>
      <c r="FU8" s="1">
        <v>0.5714285714285714</v>
      </c>
      <c r="FV8" s="3">
        <v>-0.67999999999999994</v>
      </c>
      <c r="FW8" s="1">
        <v>0.42857142857142855</v>
      </c>
      <c r="FX8" s="3">
        <v>1.59</v>
      </c>
      <c r="FY8" s="1">
        <v>0.6</v>
      </c>
      <c r="FZ8" s="3">
        <v>0.38999999999999996</v>
      </c>
      <c r="GA8" s="1">
        <v>0.4</v>
      </c>
      <c r="GB8" s="3">
        <v>1.05</v>
      </c>
      <c r="GC8" s="1">
        <v>0.625</v>
      </c>
      <c r="GD8" s="3">
        <v>1.1499999999999999</v>
      </c>
      <c r="GE8" s="1">
        <v>0.6</v>
      </c>
      <c r="GF8" s="3">
        <v>-1.19</v>
      </c>
      <c r="GG8" s="1">
        <v>0.6</v>
      </c>
      <c r="GH8" s="3">
        <v>-0.80999999999999994</v>
      </c>
      <c r="GI8" s="1">
        <v>0.42857142857142855</v>
      </c>
      <c r="GJ8" s="3">
        <v>5.77</v>
      </c>
      <c r="GK8" s="1">
        <v>0.875</v>
      </c>
      <c r="GL8" s="3">
        <v>-3.1100000000000003</v>
      </c>
      <c r="GM8" s="1">
        <v>0.16666666666666666</v>
      </c>
      <c r="GN8" s="3"/>
      <c r="GO8" s="1"/>
      <c r="GP8" s="3">
        <v>1.7599999999999998</v>
      </c>
      <c r="GQ8" s="1">
        <v>0.8</v>
      </c>
      <c r="GR8" s="3">
        <v>-10.59</v>
      </c>
      <c r="GS8" s="1">
        <v>0.25</v>
      </c>
      <c r="GT8" s="3">
        <v>4.18</v>
      </c>
      <c r="GU8" s="1">
        <v>0.75</v>
      </c>
      <c r="GV8" s="3">
        <v>1.2999999999999998</v>
      </c>
      <c r="GW8" s="1">
        <v>0.6</v>
      </c>
      <c r="GX8" s="3">
        <v>-7.4300000000000006</v>
      </c>
      <c r="GY8" s="1">
        <v>0.14285714285714285</v>
      </c>
      <c r="GZ8" s="3"/>
      <c r="HA8" s="1"/>
      <c r="HB8" s="3">
        <v>-5.38</v>
      </c>
      <c r="HC8" s="1">
        <v>0.2</v>
      </c>
      <c r="HD8" s="76">
        <v>-2.62</v>
      </c>
      <c r="HE8" s="1">
        <v>0.36363636363636365</v>
      </c>
      <c r="HF8" s="78">
        <v>-5.47</v>
      </c>
      <c r="HG8" s="1">
        <v>0.2857142857142857</v>
      </c>
      <c r="HH8" s="79">
        <v>3.9399999999999995</v>
      </c>
      <c r="HI8" s="1">
        <v>0.63636363636363635</v>
      </c>
      <c r="HJ8" s="80">
        <v>-2.09</v>
      </c>
      <c r="HK8" s="1">
        <v>0.2</v>
      </c>
      <c r="HL8" s="81">
        <v>-3.5100000000000007</v>
      </c>
      <c r="HM8" s="1">
        <v>0.3</v>
      </c>
      <c r="HN8" s="82">
        <v>1.6800000000000002</v>
      </c>
      <c r="HO8" s="1">
        <v>0.5714285714285714</v>
      </c>
      <c r="HP8" s="83">
        <v>-0.97999999999999976</v>
      </c>
      <c r="HQ8" s="1">
        <v>0.2857142857142857</v>
      </c>
      <c r="HR8" s="84">
        <v>-1.29</v>
      </c>
      <c r="HS8" s="1">
        <v>0.33333333333333331</v>
      </c>
      <c r="HT8" s="85">
        <v>-3.39</v>
      </c>
      <c r="HU8" s="1">
        <v>0.16666666666666666</v>
      </c>
      <c r="HV8" s="88">
        <v>-2.21</v>
      </c>
      <c r="HW8" s="1">
        <v>0.33333333333333331</v>
      </c>
      <c r="HX8" s="89"/>
      <c r="HY8" s="1"/>
      <c r="HZ8" s="91">
        <v>1.66</v>
      </c>
      <c r="IA8" s="1">
        <v>0.8</v>
      </c>
      <c r="IB8" s="92">
        <v>-1.5699999999999998</v>
      </c>
      <c r="IC8" s="1">
        <v>0.66666666666666663</v>
      </c>
      <c r="ID8" s="93">
        <v>-6.96</v>
      </c>
      <c r="IE8" s="1">
        <v>0.16666666666666666</v>
      </c>
      <c r="IF8" s="94">
        <v>0.98999999999999966</v>
      </c>
      <c r="IG8" s="1">
        <v>0.5</v>
      </c>
      <c r="IH8" s="97">
        <v>1.75</v>
      </c>
      <c r="II8" s="1">
        <v>0.5</v>
      </c>
      <c r="IJ8" s="98">
        <v>-6.1999999999999993</v>
      </c>
      <c r="IK8" s="1">
        <v>0.2</v>
      </c>
      <c r="IL8" s="99">
        <v>1.42</v>
      </c>
      <c r="IM8" s="1">
        <v>1</v>
      </c>
      <c r="IN8" s="100">
        <v>0.97999999999999987</v>
      </c>
      <c r="IO8" s="1">
        <v>0.5</v>
      </c>
      <c r="IP8" s="101">
        <v>-0.8600000000000001</v>
      </c>
      <c r="IQ8" s="1">
        <v>0.66666666666666663</v>
      </c>
      <c r="IR8" s="102">
        <v>-2.4900000000000002</v>
      </c>
      <c r="IS8" s="1">
        <v>0.2</v>
      </c>
      <c r="IT8" s="103">
        <v>0.51</v>
      </c>
      <c r="IU8" s="1">
        <v>0.4</v>
      </c>
      <c r="IV8" s="104">
        <v>-1.05</v>
      </c>
      <c r="IW8" s="1">
        <v>0.5</v>
      </c>
      <c r="IX8" s="104">
        <v>-8.16</v>
      </c>
      <c r="IY8" s="1">
        <v>0.2</v>
      </c>
      <c r="IZ8" s="105">
        <v>2.8899999999999997</v>
      </c>
      <c r="JA8" s="1">
        <v>0.66666666666666663</v>
      </c>
      <c r="JB8" s="112">
        <v>-1.94</v>
      </c>
      <c r="JC8" s="1">
        <v>0.25</v>
      </c>
      <c r="JD8" s="113">
        <v>3.84</v>
      </c>
      <c r="JE8" s="1">
        <v>0.8</v>
      </c>
      <c r="JF8" s="114">
        <v>-0.84</v>
      </c>
      <c r="JG8" s="1">
        <v>0.33333333333333331</v>
      </c>
      <c r="JH8" s="115">
        <v>1.39</v>
      </c>
      <c r="JI8" s="1">
        <v>0.33333333333333331</v>
      </c>
      <c r="JJ8" s="116">
        <v>-3.6299999999999994</v>
      </c>
      <c r="JK8" s="1">
        <v>0.4</v>
      </c>
      <c r="JL8" s="117">
        <v>-3.7</v>
      </c>
      <c r="JM8" s="1">
        <v>0.4</v>
      </c>
      <c r="JN8" s="118">
        <v>2.2000000000000002</v>
      </c>
      <c r="JO8" s="1">
        <v>1</v>
      </c>
      <c r="JP8" s="119">
        <v>0.69</v>
      </c>
      <c r="JQ8" s="1">
        <v>0.5</v>
      </c>
      <c r="JR8" s="120"/>
      <c r="JS8" s="1"/>
      <c r="JT8" s="122"/>
      <c r="JU8" s="1"/>
      <c r="JV8" s="126"/>
      <c r="JW8" s="1"/>
      <c r="JX8" s="132">
        <v>-2.74</v>
      </c>
      <c r="JY8" s="1">
        <v>0.4</v>
      </c>
      <c r="JZ8" s="133">
        <v>3.96</v>
      </c>
      <c r="KA8" s="1">
        <v>1</v>
      </c>
      <c r="KB8" s="138">
        <v>-3.9499999999999997</v>
      </c>
      <c r="KC8" s="1">
        <v>0.5</v>
      </c>
      <c r="KD8" s="140">
        <v>-1.71</v>
      </c>
      <c r="KE8" s="1">
        <v>0.66666666666666663</v>
      </c>
      <c r="KF8" s="144">
        <v>-2.99</v>
      </c>
      <c r="KG8" s="1">
        <v>0.6</v>
      </c>
      <c r="KH8" s="148">
        <v>-3.8499999999999996</v>
      </c>
      <c r="KI8" s="1">
        <v>0.33333333333333331</v>
      </c>
      <c r="KJ8" s="152">
        <v>2.88</v>
      </c>
      <c r="KK8" s="1">
        <v>0.8</v>
      </c>
      <c r="KL8" s="156">
        <v>2.5999999999999996</v>
      </c>
      <c r="KM8" s="1">
        <v>1</v>
      </c>
      <c r="KN8" s="160">
        <v>-3.06</v>
      </c>
      <c r="KO8" s="1">
        <v>0.25</v>
      </c>
      <c r="KP8" s="163"/>
      <c r="KQ8" s="1"/>
      <c r="KR8" s="165">
        <v>-4.6199999999999992</v>
      </c>
      <c r="KS8" s="1">
        <v>0.16666666666666666</v>
      </c>
      <c r="KT8" s="168"/>
      <c r="KU8" s="1"/>
      <c r="KV8" s="171">
        <v>4.1599999999999993</v>
      </c>
      <c r="KW8" s="1">
        <v>0.83333333333333337</v>
      </c>
      <c r="KX8" s="174">
        <v>0.25</v>
      </c>
      <c r="KY8" s="1">
        <v>0.4</v>
      </c>
      <c r="KZ8" s="179">
        <v>1.44</v>
      </c>
      <c r="LA8" s="1">
        <v>0.75</v>
      </c>
      <c r="LB8" s="183">
        <v>0.1100000000000001</v>
      </c>
      <c r="LC8" s="1">
        <v>0.66666666666666663</v>
      </c>
      <c r="LD8" s="187">
        <v>0.12999999999999989</v>
      </c>
      <c r="LE8" s="1">
        <v>0.54545454545454541</v>
      </c>
      <c r="LF8" s="189">
        <v>4.24</v>
      </c>
      <c r="LG8" s="1">
        <v>1</v>
      </c>
      <c r="LH8" s="191">
        <v>4.0999999999999996</v>
      </c>
      <c r="LI8" s="1">
        <v>0.8</v>
      </c>
      <c r="LJ8" s="194"/>
      <c r="LK8" s="1"/>
      <c r="LL8" s="196">
        <v>-5.17</v>
      </c>
      <c r="LM8" s="1">
        <v>0</v>
      </c>
      <c r="LN8" s="198">
        <v>5.51</v>
      </c>
      <c r="LO8" s="1">
        <v>0.83333333333333337</v>
      </c>
      <c r="LP8" s="200">
        <v>2.23</v>
      </c>
      <c r="LQ8" s="1">
        <v>0.4</v>
      </c>
      <c r="LR8" s="202">
        <v>0.77</v>
      </c>
      <c r="LS8" s="1">
        <v>0.75</v>
      </c>
      <c r="LT8" s="204">
        <v>-7.02</v>
      </c>
      <c r="LU8" s="1">
        <v>0.4</v>
      </c>
      <c r="LV8" s="206">
        <v>-4.63</v>
      </c>
      <c r="LW8" s="1">
        <v>0.33333333333333331</v>
      </c>
      <c r="LX8" s="208">
        <v>-0.14999999999999991</v>
      </c>
      <c r="LY8" s="1">
        <v>0.66666666666666663</v>
      </c>
      <c r="LZ8" s="210">
        <v>-2.06</v>
      </c>
      <c r="MA8" s="1">
        <v>0.5</v>
      </c>
      <c r="MB8" s="212">
        <v>4.8</v>
      </c>
      <c r="MC8" s="1">
        <v>0.8</v>
      </c>
      <c r="MD8" s="214"/>
      <c r="ME8" s="1"/>
      <c r="MF8" s="216">
        <v>-7.3100000000000005</v>
      </c>
      <c r="MG8" s="1">
        <v>0.25</v>
      </c>
      <c r="MH8" s="218">
        <v>-1.81</v>
      </c>
      <c r="MI8" s="1">
        <v>0.5</v>
      </c>
      <c r="MJ8" s="220">
        <v>1.4600000000000004</v>
      </c>
      <c r="MK8" s="1">
        <v>0.6</v>
      </c>
      <c r="ML8" s="222">
        <v>3.4699999999999998</v>
      </c>
      <c r="MM8" s="1">
        <v>1</v>
      </c>
      <c r="MN8" s="224">
        <v>-3.51</v>
      </c>
      <c r="MO8" s="1">
        <v>0.33333333333333331</v>
      </c>
      <c r="MP8" s="226">
        <v>2.84</v>
      </c>
      <c r="MQ8" s="1">
        <v>1</v>
      </c>
      <c r="MR8" s="228">
        <v>-10.61</v>
      </c>
      <c r="MS8" s="1">
        <v>0</v>
      </c>
      <c r="MT8" s="230">
        <v>-6.95</v>
      </c>
      <c r="MU8" s="1">
        <v>0.25</v>
      </c>
      <c r="MV8" s="232">
        <v>0.71</v>
      </c>
      <c r="MW8" s="1">
        <v>0.33333333333333331</v>
      </c>
      <c r="MX8" s="234">
        <v>1.0499999999999998</v>
      </c>
      <c r="MY8" s="1">
        <v>0.6</v>
      </c>
      <c r="MZ8" s="236">
        <v>5.49</v>
      </c>
      <c r="NA8" s="1">
        <v>0.83333333333333337</v>
      </c>
      <c r="NB8" s="238">
        <v>1.4799999999999993</v>
      </c>
      <c r="NC8" s="1">
        <v>0.42857142857142855</v>
      </c>
      <c r="ND8" s="240"/>
      <c r="NE8" s="1"/>
      <c r="NF8" s="242">
        <v>-4.79</v>
      </c>
      <c r="NG8" s="1">
        <v>0.33333333333333331</v>
      </c>
      <c r="NH8" s="244">
        <v>-4.79</v>
      </c>
      <c r="NI8" s="1">
        <v>0.33333333333333331</v>
      </c>
      <c r="NJ8" s="244">
        <v>4.38</v>
      </c>
      <c r="NK8" s="1">
        <v>0.83333333333333337</v>
      </c>
      <c r="NL8" s="246">
        <v>-4.6400000000000006</v>
      </c>
      <c r="NM8" s="1">
        <v>0.33333333333333331</v>
      </c>
      <c r="NN8" s="248"/>
      <c r="NO8" s="1"/>
      <c r="NP8" s="250">
        <v>0.04</v>
      </c>
      <c r="NQ8" s="1">
        <v>1</v>
      </c>
      <c r="NR8" s="252">
        <v>-0.1599999999999997</v>
      </c>
      <c r="NS8" s="1">
        <v>0.66666666666666663</v>
      </c>
      <c r="NT8" s="254">
        <v>-1.2300000000000004</v>
      </c>
      <c r="NU8" s="1">
        <v>0.4</v>
      </c>
      <c r="NV8" s="256">
        <v>-3.3400000000000003</v>
      </c>
      <c r="NW8" s="1">
        <v>0.5</v>
      </c>
      <c r="NX8" s="258">
        <v>-4.0600000000000005</v>
      </c>
      <c r="NY8" s="1">
        <v>0.5714285714285714</v>
      </c>
      <c r="NZ8" s="260">
        <v>0.6399999999999999</v>
      </c>
      <c r="OA8" s="1">
        <v>0.66666666666666663</v>
      </c>
      <c r="OB8" s="262">
        <v>3.1399999999999997</v>
      </c>
      <c r="OC8" s="1">
        <v>0.6</v>
      </c>
      <c r="OD8" s="264">
        <v>-1.87</v>
      </c>
      <c r="OE8" s="1">
        <v>0</v>
      </c>
      <c r="OF8" s="266">
        <v>0.7400000000000001</v>
      </c>
      <c r="OG8" s="1">
        <v>0.66666666666666663</v>
      </c>
      <c r="OH8" s="268">
        <v>-4.4899999999999993</v>
      </c>
      <c r="OI8" s="1">
        <v>0.2</v>
      </c>
      <c r="OJ8" s="270"/>
      <c r="OK8" s="1"/>
      <c r="OL8" s="272">
        <v>-5.129999999999999</v>
      </c>
      <c r="OM8" s="1">
        <v>0.33333333333333331</v>
      </c>
      <c r="ON8" s="274">
        <v>-2.7</v>
      </c>
      <c r="OO8" s="1">
        <v>0.33333333333333331</v>
      </c>
      <c r="OP8" s="276">
        <v>-1.8099999999999998</v>
      </c>
      <c r="OQ8" s="1">
        <v>0.25</v>
      </c>
      <c r="OR8" s="278"/>
      <c r="OS8" s="1"/>
      <c r="OT8" s="280">
        <v>2.0599999999999996</v>
      </c>
      <c r="OU8" s="1">
        <v>0.66666666666666663</v>
      </c>
      <c r="OV8" s="282"/>
      <c r="OW8" s="1"/>
      <c r="OX8" s="285">
        <v>-6.41</v>
      </c>
      <c r="OY8" s="1">
        <v>0.25</v>
      </c>
      <c r="OZ8" s="288">
        <v>-1.6899999999999997</v>
      </c>
      <c r="PA8" s="1">
        <v>0.5714285714285714</v>
      </c>
      <c r="PB8" s="292">
        <v>1.75</v>
      </c>
      <c r="PC8" s="1">
        <v>0.5</v>
      </c>
      <c r="PD8" s="297">
        <v>-9.1</v>
      </c>
      <c r="PE8" s="1">
        <v>0.33333333333333331</v>
      </c>
      <c r="PF8" s="298">
        <v>-0.45999999999999996</v>
      </c>
      <c r="PG8" s="1">
        <v>0.66666666666666663</v>
      </c>
      <c r="PH8" s="301">
        <v>4.4499999999999993</v>
      </c>
      <c r="PI8" s="1">
        <v>1</v>
      </c>
      <c r="PJ8" s="302"/>
      <c r="PK8" s="1"/>
      <c r="PL8" s="309">
        <v>2.96</v>
      </c>
      <c r="PM8" s="1">
        <v>0.75</v>
      </c>
      <c r="PN8" s="313">
        <v>1.1200000000000001</v>
      </c>
      <c r="PO8" s="1">
        <v>0.625</v>
      </c>
      <c r="PP8" s="313">
        <v>-0.26</v>
      </c>
      <c r="PQ8" s="1">
        <v>0.66666666666666663</v>
      </c>
      <c r="PR8" s="315">
        <v>-3.02</v>
      </c>
      <c r="PS8" s="1">
        <v>0</v>
      </c>
      <c r="PT8" s="318">
        <v>0.80999999999999994</v>
      </c>
      <c r="PU8" s="1">
        <v>0.5</v>
      </c>
      <c r="PV8" s="321">
        <v>0.75</v>
      </c>
      <c r="PW8" s="1">
        <v>0.75</v>
      </c>
      <c r="PX8" s="323">
        <v>8.67</v>
      </c>
      <c r="PY8" s="1">
        <v>1</v>
      </c>
      <c r="PZ8" s="325"/>
      <c r="QA8" s="1"/>
      <c r="QB8" s="327">
        <v>-12.83</v>
      </c>
      <c r="QC8" s="1">
        <v>0</v>
      </c>
      <c r="QD8" s="334">
        <v>-0.43999999999999995</v>
      </c>
      <c r="QE8" s="1">
        <v>0.5</v>
      </c>
      <c r="QF8" s="339">
        <v>6.4</v>
      </c>
      <c r="QG8" s="1">
        <v>0.72727272727272729</v>
      </c>
      <c r="QH8" s="345">
        <v>4.3899999999999997</v>
      </c>
      <c r="QI8" s="1">
        <v>0.75</v>
      </c>
      <c r="QJ8" s="352">
        <v>-1.71</v>
      </c>
      <c r="QK8" s="1">
        <v>0.5</v>
      </c>
      <c r="QL8" s="356">
        <v>-1.2400000000000002</v>
      </c>
      <c r="QM8" s="1">
        <v>0.5</v>
      </c>
      <c r="QN8" s="360">
        <v>-2.84</v>
      </c>
      <c r="QO8" s="1">
        <v>0.25</v>
      </c>
      <c r="QP8" s="363">
        <v>0.18999999999999989</v>
      </c>
      <c r="QQ8" s="1">
        <v>0.5</v>
      </c>
      <c r="QR8" s="366">
        <v>-8.1</v>
      </c>
      <c r="QS8" s="1">
        <v>0.16666666666666666</v>
      </c>
      <c r="QT8" s="371">
        <v>-3.19</v>
      </c>
      <c r="QU8" s="1">
        <v>0.4</v>
      </c>
      <c r="QV8" s="374">
        <v>-0.12000000000000033</v>
      </c>
      <c r="QW8" s="1">
        <v>0.375</v>
      </c>
      <c r="QX8" s="378">
        <v>-1.23</v>
      </c>
      <c r="QY8" s="1">
        <v>0.14285714285714285</v>
      </c>
      <c r="QZ8" s="386"/>
      <c r="RA8" s="1"/>
      <c r="RB8" s="395">
        <v>-0.76</v>
      </c>
      <c r="RC8" s="1">
        <v>0.42857142857142855</v>
      </c>
      <c r="RD8" s="399">
        <v>-3.5700000000000003</v>
      </c>
      <c r="RE8" s="1">
        <v>0.25</v>
      </c>
      <c r="RF8" s="399">
        <v>-2.4000000000000004</v>
      </c>
      <c r="RG8" s="1">
        <v>0.33333333333333331</v>
      </c>
      <c r="RH8" s="403">
        <v>1</v>
      </c>
      <c r="RI8" s="1">
        <v>0.55555555555555558</v>
      </c>
      <c r="RJ8" s="405">
        <v>1.44</v>
      </c>
      <c r="RK8" s="1">
        <v>1</v>
      </c>
      <c r="RL8" s="407"/>
      <c r="RM8" s="1"/>
      <c r="RN8" s="410">
        <v>0.04</v>
      </c>
      <c r="RO8" s="1">
        <v>0.5</v>
      </c>
      <c r="RP8" s="412">
        <v>0.61999999999999988</v>
      </c>
      <c r="RQ8" s="1">
        <v>0.5</v>
      </c>
      <c r="RR8" s="415"/>
      <c r="RS8" s="1"/>
      <c r="RT8" s="417">
        <v>1.0000000000000007</v>
      </c>
      <c r="RU8" s="1">
        <v>0.625</v>
      </c>
      <c r="RV8" s="422">
        <v>-4.9600000000000009</v>
      </c>
      <c r="RW8" s="1">
        <v>0.25</v>
      </c>
      <c r="RX8" s="427">
        <v>-6.99</v>
      </c>
      <c r="RY8" s="1">
        <v>0.2</v>
      </c>
      <c r="RZ8" s="433">
        <v>-2.91</v>
      </c>
      <c r="SA8" s="1">
        <v>0.25</v>
      </c>
      <c r="SB8" s="436">
        <v>2.2400000000000002</v>
      </c>
      <c r="SC8" s="1">
        <v>0.66666666666666663</v>
      </c>
      <c r="SD8" s="443">
        <v>-1.05</v>
      </c>
      <c r="SE8" s="1">
        <v>0</v>
      </c>
      <c r="SF8" s="445"/>
      <c r="SG8" s="1"/>
      <c r="SH8" s="450">
        <v>-0.15999999999999992</v>
      </c>
      <c r="SI8" s="1">
        <v>0.5</v>
      </c>
      <c r="SJ8" s="452">
        <v>-0.41000000000000014</v>
      </c>
      <c r="SK8" s="1">
        <v>0.66666666666666663</v>
      </c>
      <c r="SL8" s="457">
        <v>-5.28</v>
      </c>
      <c r="SM8" s="1">
        <v>0.33333333333333331</v>
      </c>
      <c r="SN8" s="459">
        <v>-2.25</v>
      </c>
      <c r="SO8" s="1">
        <v>0.5</v>
      </c>
      <c r="SP8" s="461">
        <v>-3.9500000000000006</v>
      </c>
      <c r="SQ8" s="1">
        <v>0.2</v>
      </c>
      <c r="SR8" s="463">
        <v>2.0199999999999996</v>
      </c>
      <c r="SS8" s="1">
        <v>0.75</v>
      </c>
      <c r="ST8" s="464">
        <v>-2.0500000000000003</v>
      </c>
      <c r="SU8" s="1">
        <v>0.42857142857142855</v>
      </c>
      <c r="SV8" s="466">
        <v>2.63</v>
      </c>
      <c r="SW8" s="1">
        <v>0.5714285714285714</v>
      </c>
      <c r="SX8" s="467"/>
      <c r="SY8" s="1"/>
      <c r="SZ8" s="469">
        <v>0.44000000000000006</v>
      </c>
      <c r="TA8" s="1">
        <v>0.33333333333333331</v>
      </c>
      <c r="TB8" s="471">
        <v>-3.5800000000000005</v>
      </c>
      <c r="TC8" s="1">
        <v>0.5</v>
      </c>
      <c r="TD8" s="472">
        <v>3.2399999999999998</v>
      </c>
      <c r="TE8" s="1">
        <v>0.75</v>
      </c>
      <c r="TF8" s="474">
        <v>-1.06</v>
      </c>
      <c r="TG8" s="1">
        <v>0.6</v>
      </c>
      <c r="TH8" s="488">
        <v>-1.1299999999999999</v>
      </c>
      <c r="TI8" s="1">
        <v>0.5</v>
      </c>
      <c r="TJ8" s="489">
        <v>-0.85</v>
      </c>
      <c r="TK8" s="1">
        <v>0.44444444444444442</v>
      </c>
      <c r="TL8" s="490">
        <v>-1.54</v>
      </c>
      <c r="TM8" s="1">
        <v>0.5</v>
      </c>
      <c r="TN8" s="495"/>
      <c r="TO8" s="1"/>
      <c r="TP8" s="500">
        <v>-4.6100000000000003</v>
      </c>
      <c r="TQ8" s="1">
        <v>0.2857142857142857</v>
      </c>
      <c r="TR8" s="511">
        <v>-0.62000000000000011</v>
      </c>
      <c r="TS8" s="1">
        <v>0.33333333333333331</v>
      </c>
      <c r="TT8" s="515">
        <v>0.49</v>
      </c>
      <c r="TU8" s="1">
        <v>0.33333333333333331</v>
      </c>
      <c r="TV8" s="518">
        <v>-5.18</v>
      </c>
      <c r="TW8" s="1">
        <v>0.25</v>
      </c>
      <c r="TX8" s="521">
        <v>2.87</v>
      </c>
      <c r="TY8" s="1">
        <v>1</v>
      </c>
      <c r="TZ8" s="524">
        <v>-1.98</v>
      </c>
      <c r="UA8" s="1">
        <v>0.5</v>
      </c>
      <c r="UB8" s="527">
        <v>-3.01</v>
      </c>
      <c r="UC8" s="1">
        <v>0</v>
      </c>
      <c r="UD8" s="530">
        <v>-6.0599999999999987</v>
      </c>
      <c r="UE8" s="1">
        <v>0.375</v>
      </c>
      <c r="UF8" s="533">
        <v>2.2800000000000002</v>
      </c>
      <c r="UG8" s="1">
        <v>0.625</v>
      </c>
      <c r="UH8" s="536">
        <v>-3.87</v>
      </c>
      <c r="UI8" s="1">
        <v>0.5</v>
      </c>
      <c r="UJ8" s="539">
        <v>-4.97</v>
      </c>
      <c r="UK8" s="1">
        <v>0.375</v>
      </c>
      <c r="UL8" s="540">
        <v>-3.0999999999999996</v>
      </c>
      <c r="UM8" s="1">
        <v>0</v>
      </c>
      <c r="UN8" s="543">
        <v>-1.7500000000000002</v>
      </c>
      <c r="UO8" s="1">
        <v>0.42857142857142855</v>
      </c>
      <c r="UP8" s="544">
        <v>-3.2900000000000009</v>
      </c>
      <c r="UQ8" s="1">
        <v>0.5</v>
      </c>
      <c r="UR8" s="551">
        <v>3.78</v>
      </c>
      <c r="US8" s="1">
        <v>0.625</v>
      </c>
      <c r="UT8" s="551">
        <v>0.95</v>
      </c>
      <c r="UU8" s="1">
        <v>1</v>
      </c>
      <c r="UV8" s="562">
        <v>1.1600000000000001</v>
      </c>
      <c r="UW8" s="1">
        <v>0.66666666666666663</v>
      </c>
      <c r="UX8" s="566">
        <v>2.2199999999999998</v>
      </c>
      <c r="UY8" s="1">
        <v>0.83333333333333337</v>
      </c>
      <c r="UZ8" s="568"/>
      <c r="VA8" s="1"/>
      <c r="VB8" s="572">
        <v>-7.56</v>
      </c>
      <c r="VC8" s="1">
        <v>0.2</v>
      </c>
      <c r="VD8" s="576">
        <v>2.1</v>
      </c>
      <c r="VE8" s="1">
        <v>0.5</v>
      </c>
      <c r="VF8" s="580">
        <v>0.44000000000000006</v>
      </c>
      <c r="VG8" s="1">
        <v>1</v>
      </c>
      <c r="VH8" s="584">
        <v>-2.25</v>
      </c>
      <c r="VI8" s="1">
        <v>0.5</v>
      </c>
      <c r="VJ8" s="589">
        <v>-3.63</v>
      </c>
      <c r="VK8" s="1">
        <v>0.16666666666666666</v>
      </c>
      <c r="VL8" s="593">
        <v>-0.6899999999999995</v>
      </c>
      <c r="VM8" s="1">
        <v>0.5</v>
      </c>
      <c r="VN8" s="597">
        <v>0.21</v>
      </c>
      <c r="VO8" s="1">
        <v>1</v>
      </c>
      <c r="VP8" s="601">
        <v>-1.08</v>
      </c>
      <c r="VQ8" s="1">
        <v>0</v>
      </c>
      <c r="VR8" s="603"/>
      <c r="VS8" s="1"/>
      <c r="VT8" s="607">
        <v>-2.23</v>
      </c>
      <c r="VU8" s="1">
        <v>0.2857142857142857</v>
      </c>
      <c r="VV8" s="609">
        <v>-1.9100000000000001</v>
      </c>
      <c r="VW8" s="1">
        <v>0</v>
      </c>
      <c r="VX8" s="613">
        <v>-1.4</v>
      </c>
      <c r="VY8" s="1">
        <v>0.5</v>
      </c>
      <c r="VZ8" s="617">
        <v>-1.4200000000000002</v>
      </c>
      <c r="WA8" s="1">
        <v>0.4</v>
      </c>
      <c r="WB8" s="619">
        <v>-10.399999999999999</v>
      </c>
      <c r="WC8" s="1">
        <v>0.25</v>
      </c>
      <c r="WD8" s="624">
        <v>4.4000000000000004</v>
      </c>
      <c r="WE8" s="1">
        <v>1</v>
      </c>
      <c r="WF8" s="626">
        <v>-1.97</v>
      </c>
      <c r="WG8" s="1">
        <v>0.5</v>
      </c>
      <c r="WH8" s="630">
        <v>0.7</v>
      </c>
      <c r="WI8" s="1">
        <v>0.66666666666666663</v>
      </c>
      <c r="WJ8" s="636">
        <v>0.40000000000000019</v>
      </c>
      <c r="WK8" s="1">
        <v>0.66666666666666663</v>
      </c>
      <c r="WL8" s="638">
        <v>-4.910000000000001</v>
      </c>
      <c r="WM8" s="1">
        <v>0.5</v>
      </c>
      <c r="WN8" s="642">
        <v>-2.91</v>
      </c>
      <c r="WO8" s="1">
        <v>0.42857142857142855</v>
      </c>
      <c r="WP8" s="646">
        <v>1.1499999999999999</v>
      </c>
      <c r="WQ8" s="1">
        <v>0.66666666666666663</v>
      </c>
      <c r="WR8" s="652">
        <v>-6.0000000000000053E-2</v>
      </c>
      <c r="WS8" s="1">
        <v>0.5</v>
      </c>
      <c r="WT8" s="659">
        <v>1.21</v>
      </c>
      <c r="WU8" s="1">
        <v>0.66666666666666663</v>
      </c>
      <c r="WV8" s="659">
        <v>-1.6299999999999994</v>
      </c>
      <c r="WW8" s="1">
        <v>0.5</v>
      </c>
      <c r="WX8" s="672">
        <v>1.3599999999999999</v>
      </c>
      <c r="WY8" s="1">
        <v>0.66666666666666663</v>
      </c>
      <c r="WZ8" s="677">
        <v>1.0099999999999996</v>
      </c>
      <c r="XA8" s="1">
        <v>0.55555555555555558</v>
      </c>
      <c r="XB8" s="681">
        <v>-2.46</v>
      </c>
      <c r="XC8" s="1">
        <v>0.33333333333333331</v>
      </c>
      <c r="XD8" s="683"/>
      <c r="XE8" s="1"/>
      <c r="XF8" s="687">
        <v>1.92</v>
      </c>
      <c r="XG8" s="1">
        <v>0.5</v>
      </c>
      <c r="XH8" s="689">
        <v>0.63000000000000012</v>
      </c>
      <c r="XI8" s="1">
        <v>0.4</v>
      </c>
      <c r="XJ8" s="696">
        <v>-1.0300000000000002</v>
      </c>
      <c r="XK8" s="1">
        <v>0.25</v>
      </c>
      <c r="XL8" s="696">
        <v>1.85</v>
      </c>
      <c r="XM8" s="1">
        <v>0.75</v>
      </c>
      <c r="XN8" s="696">
        <v>-9.4899999999999984</v>
      </c>
      <c r="XO8" s="1">
        <v>0.33333333333333331</v>
      </c>
      <c r="XP8" s="700">
        <v>-2.52</v>
      </c>
      <c r="XQ8" s="1">
        <v>0.25</v>
      </c>
      <c r="XR8" s="705">
        <v>-1.3100000000000003</v>
      </c>
      <c r="XS8" s="1">
        <v>0.5</v>
      </c>
      <c r="XT8" s="709">
        <v>-4.13</v>
      </c>
      <c r="XU8" s="1">
        <v>0.16666666666666666</v>
      </c>
      <c r="XV8" s="715">
        <v>-0.44</v>
      </c>
      <c r="XW8" s="1">
        <v>0.33333333333333331</v>
      </c>
    </row>
    <row r="9" spans="2:647" x14ac:dyDescent="0.25">
      <c r="B9" s="755"/>
      <c r="C9" s="756"/>
      <c r="D9" s="757" t="s">
        <v>16</v>
      </c>
      <c r="E9" s="757"/>
      <c r="F9" s="57">
        <v>0.3</v>
      </c>
      <c r="G9" s="768"/>
      <c r="H9" s="3"/>
      <c r="I9" s="1"/>
      <c r="J9" s="3"/>
      <c r="K9" s="1"/>
      <c r="L9" s="3"/>
      <c r="M9" s="1"/>
      <c r="N9" s="3"/>
      <c r="O9" s="1"/>
      <c r="P9" s="3"/>
      <c r="Q9" s="1"/>
      <c r="R9" s="3"/>
      <c r="S9" s="1"/>
      <c r="T9" s="3"/>
      <c r="U9" s="1"/>
      <c r="V9" s="3"/>
      <c r="W9" s="1"/>
      <c r="X9" s="3"/>
      <c r="Y9" s="1"/>
      <c r="Z9" s="3"/>
      <c r="AA9" s="1"/>
      <c r="AB9" s="3"/>
      <c r="AC9" s="1"/>
      <c r="AD9" s="3"/>
      <c r="AE9" s="1"/>
      <c r="AF9" s="3"/>
      <c r="AG9" s="1"/>
      <c r="AH9" s="3"/>
      <c r="AI9" s="1"/>
      <c r="AJ9" s="3"/>
      <c r="AK9" s="1"/>
      <c r="AL9" s="3"/>
      <c r="AM9" s="1"/>
      <c r="AN9" s="3"/>
      <c r="AO9" s="1"/>
      <c r="AP9" s="3"/>
      <c r="AQ9" s="1"/>
      <c r="AR9" s="3"/>
      <c r="AS9" s="1"/>
      <c r="AT9" s="3"/>
      <c r="AU9" s="1"/>
      <c r="AV9" s="3"/>
      <c r="AW9" s="1"/>
      <c r="AX9" s="3"/>
      <c r="AY9" s="1"/>
      <c r="AZ9" s="3"/>
      <c r="BA9" s="1"/>
      <c r="BB9" s="3"/>
      <c r="BC9" s="1"/>
      <c r="BD9" s="3"/>
      <c r="BE9" s="1"/>
      <c r="BF9" s="11">
        <v>-2.5100000000000002</v>
      </c>
      <c r="BG9" s="12">
        <v>0.55555555555555558</v>
      </c>
      <c r="BH9" s="11">
        <v>-11.275999999999998</v>
      </c>
      <c r="BI9" s="12">
        <v>0.5</v>
      </c>
      <c r="BJ9" s="11">
        <v>-8.1939999999999991</v>
      </c>
      <c r="BK9" s="12">
        <v>0.29411764705882354</v>
      </c>
      <c r="BL9" s="11">
        <v>10.029999999999998</v>
      </c>
      <c r="BM9" s="12">
        <v>0.94444444444444442</v>
      </c>
      <c r="BN9" s="11">
        <v>7.5479999999999992</v>
      </c>
      <c r="BO9" s="12">
        <v>0.77777777777777779</v>
      </c>
      <c r="BP9" s="11">
        <v>-6.6019999999999994</v>
      </c>
      <c r="BQ9" s="12">
        <v>0.5</v>
      </c>
      <c r="BR9" s="11">
        <v>-5.8619999999999992</v>
      </c>
      <c r="BS9" s="12">
        <v>0.55555555555555558</v>
      </c>
      <c r="BT9" s="11"/>
      <c r="BU9" s="12"/>
      <c r="BV9" s="11">
        <v>-7.7183333333333337</v>
      </c>
      <c r="BW9" s="12">
        <v>0.44444444444444442</v>
      </c>
      <c r="BX9" s="11">
        <v>-2.2308333333333334</v>
      </c>
      <c r="BY9" s="12">
        <v>0.5</v>
      </c>
      <c r="BZ9" s="11"/>
      <c r="CA9" s="12"/>
      <c r="CB9" s="11">
        <v>-9.9908333333333363</v>
      </c>
      <c r="CC9" s="12">
        <v>0.5</v>
      </c>
      <c r="CD9" s="11">
        <v>-9.9633333333333329</v>
      </c>
      <c r="CE9" s="12">
        <v>0.44444444444444442</v>
      </c>
      <c r="CF9" s="11">
        <v>8.8591666666666686</v>
      </c>
      <c r="CG9" s="12">
        <v>0.83333333333333337</v>
      </c>
      <c r="CH9" s="11">
        <v>5.3975000000000009</v>
      </c>
      <c r="CI9" s="12">
        <v>0.77777777777777779</v>
      </c>
      <c r="CJ9" s="11">
        <v>-5.0974999999999993</v>
      </c>
      <c r="CK9" s="12">
        <v>0.22222222222222221</v>
      </c>
      <c r="CL9" s="11">
        <v>-22.029166666666665</v>
      </c>
      <c r="CM9" s="12">
        <v>0.11764705882352941</v>
      </c>
      <c r="CN9" s="11">
        <v>6.9308333333333332</v>
      </c>
      <c r="CO9" s="12">
        <v>0.83333333333333337</v>
      </c>
      <c r="CP9" s="11">
        <v>-16.96916666666667</v>
      </c>
      <c r="CQ9" s="12">
        <v>0.41176470588235292</v>
      </c>
      <c r="CR9" s="11">
        <v>-5.21</v>
      </c>
      <c r="CS9" s="12">
        <v>0.52941176470588236</v>
      </c>
      <c r="CT9" s="11">
        <v>0.27499999999999974</v>
      </c>
      <c r="CU9" s="12">
        <v>0.75</v>
      </c>
      <c r="CV9" s="11">
        <v>-5.0075000000000003</v>
      </c>
      <c r="CW9" s="12">
        <v>0.6</v>
      </c>
      <c r="CX9" s="11">
        <v>8.2000000000000011</v>
      </c>
      <c r="CY9" s="12">
        <v>0.88888888888888884</v>
      </c>
      <c r="CZ9" s="11">
        <v>-5.5025000000000004</v>
      </c>
      <c r="DA9" s="12">
        <v>0.61111111111111116</v>
      </c>
      <c r="DB9" s="11">
        <v>-1.7658333333333338</v>
      </c>
      <c r="DC9" s="12">
        <v>0.61111111111111116</v>
      </c>
      <c r="DD9" s="11">
        <v>7.9608333333333334</v>
      </c>
      <c r="DE9" s="12">
        <v>0.94117647058823528</v>
      </c>
      <c r="DF9" s="11">
        <v>-9.9958333333333353</v>
      </c>
      <c r="DG9" s="12">
        <v>0.4375</v>
      </c>
      <c r="DH9" s="11">
        <v>-11.074166666666668</v>
      </c>
      <c r="DI9" s="12">
        <v>0.5</v>
      </c>
      <c r="DJ9" s="11">
        <v>9.0841666666666665</v>
      </c>
      <c r="DK9" s="12">
        <v>0.83333333333333337</v>
      </c>
      <c r="DL9" s="11">
        <v>2.1966666666666668</v>
      </c>
      <c r="DM9" s="12">
        <v>0.66666666666666663</v>
      </c>
      <c r="DN9" s="11">
        <v>3.2624999999999997</v>
      </c>
      <c r="DO9" s="12">
        <v>0.61111111111111116</v>
      </c>
      <c r="DP9" s="11">
        <v>-5.5316666666666663</v>
      </c>
      <c r="DQ9" s="12">
        <v>0.5</v>
      </c>
      <c r="DR9" s="11">
        <v>-11.631666666666666</v>
      </c>
      <c r="DS9" s="12">
        <v>0.5</v>
      </c>
      <c r="DT9" s="11">
        <v>-11.631666666666666</v>
      </c>
      <c r="DU9" s="12">
        <v>0.5</v>
      </c>
      <c r="DV9" s="11">
        <v>-14.446666666666667</v>
      </c>
      <c r="DW9" s="12">
        <v>0.3888888888888889</v>
      </c>
      <c r="DX9" s="11">
        <v>4.6624999999999988</v>
      </c>
      <c r="DY9" s="12">
        <v>0.83333333333333337</v>
      </c>
      <c r="DZ9" s="11">
        <v>6.0550000000000024</v>
      </c>
      <c r="EA9" s="12">
        <v>0.77777777777777779</v>
      </c>
      <c r="EB9" s="11">
        <v>0.56750000000000034</v>
      </c>
      <c r="EC9" s="12">
        <v>0.61111111111111116</v>
      </c>
      <c r="ED9" s="11">
        <v>6.6208333333333362</v>
      </c>
      <c r="EE9" s="12">
        <v>0.83333333333333337</v>
      </c>
      <c r="EF9" s="11">
        <v>-16.615833333333335</v>
      </c>
      <c r="EG9" s="12">
        <v>0.33333333333333331</v>
      </c>
      <c r="EH9" s="11">
        <v>6.6208333333333362</v>
      </c>
      <c r="EI9" s="12">
        <v>0.83333333333333337</v>
      </c>
      <c r="EJ9" s="11">
        <v>-16.615833333333335</v>
      </c>
      <c r="EK9" s="12">
        <v>0.33333333333333331</v>
      </c>
      <c r="EL9" s="11">
        <v>-4.5733333333333324</v>
      </c>
      <c r="EM9" s="12">
        <v>0.625</v>
      </c>
      <c r="EN9" s="11">
        <v>5.6408333333333331</v>
      </c>
      <c r="EO9" s="12">
        <v>0.72222222222222221</v>
      </c>
      <c r="EP9" s="11">
        <v>-5.8475000000000001</v>
      </c>
      <c r="EQ9" s="12">
        <v>0.55555555555555558</v>
      </c>
      <c r="ER9" s="11">
        <v>4.7591666666666663</v>
      </c>
      <c r="ES9" s="12">
        <v>0.77777777777777779</v>
      </c>
      <c r="ET9" s="11">
        <v>8.2166666666666668</v>
      </c>
      <c r="EU9" s="12">
        <v>0.88888888888888884</v>
      </c>
      <c r="EV9" s="11">
        <v>2.6474999999999995</v>
      </c>
      <c r="EW9" s="12">
        <v>0.83333333333333337</v>
      </c>
      <c r="EX9" s="11">
        <v>2.6474999999999995</v>
      </c>
      <c r="EY9" s="12">
        <v>0.83333333333333337</v>
      </c>
      <c r="EZ9" s="3"/>
      <c r="FA9" s="1"/>
      <c r="FB9" s="3">
        <v>-7.4600000000000009</v>
      </c>
      <c r="FC9" s="1">
        <v>0.66666666666666663</v>
      </c>
      <c r="FD9" s="3">
        <v>-45.84</v>
      </c>
      <c r="FE9" s="1">
        <v>0.30769230769230771</v>
      </c>
      <c r="FF9" s="3">
        <v>10.199999999999999</v>
      </c>
      <c r="FG9" s="1">
        <v>0.77777777777777779</v>
      </c>
      <c r="FH9" s="3">
        <v>-10.830000000000002</v>
      </c>
      <c r="FI9" s="1">
        <v>0.5</v>
      </c>
      <c r="FJ9" s="3">
        <v>-12.369999999999997</v>
      </c>
      <c r="FK9" s="1">
        <v>0.52941176470588236</v>
      </c>
      <c r="FL9" s="3">
        <v>-9.7600000000000016</v>
      </c>
      <c r="FM9" s="1">
        <v>0.66666666666666663</v>
      </c>
      <c r="FN9" s="3">
        <v>-35.739999999999995</v>
      </c>
      <c r="FO9" s="1">
        <v>0.3888888888888889</v>
      </c>
      <c r="FP9" s="3">
        <v>-2.92</v>
      </c>
      <c r="FQ9" s="1">
        <v>0.6875</v>
      </c>
      <c r="FR9" s="3">
        <v>19.770000000000007</v>
      </c>
      <c r="FS9" s="1">
        <v>0.77777777777777779</v>
      </c>
      <c r="FT9" s="3">
        <v>23.16</v>
      </c>
      <c r="FU9" s="1">
        <v>0.94117647058823528</v>
      </c>
      <c r="FV9" s="3">
        <v>5.0999999999999988</v>
      </c>
      <c r="FW9" s="1">
        <v>0.55555555555555558</v>
      </c>
      <c r="FX9" s="3">
        <v>-22.179999999999993</v>
      </c>
      <c r="FY9" s="1">
        <v>0.44444444444444442</v>
      </c>
      <c r="FZ9" s="3">
        <v>3.5299999999999994</v>
      </c>
      <c r="GA9" s="1">
        <v>0.76470588235294112</v>
      </c>
      <c r="GB9" s="3">
        <v>1.0500000000000018</v>
      </c>
      <c r="GC9" s="1">
        <v>0.72222222222222221</v>
      </c>
      <c r="GD9" s="3">
        <v>14.639999999999997</v>
      </c>
      <c r="GE9" s="1">
        <v>0.82352941176470584</v>
      </c>
      <c r="GF9" s="3">
        <v>15.100000000000003</v>
      </c>
      <c r="GG9" s="1">
        <v>0.83333333333333337</v>
      </c>
      <c r="GH9" s="3">
        <v>3.4400000000000013</v>
      </c>
      <c r="GI9" s="1">
        <v>0.66666666666666663</v>
      </c>
      <c r="GJ9" s="3">
        <v>29.509999999999998</v>
      </c>
      <c r="GK9" s="1">
        <v>0.88235294117647056</v>
      </c>
      <c r="GL9" s="3">
        <v>-13.950000000000003</v>
      </c>
      <c r="GM9" s="1">
        <v>0.55555555555555558</v>
      </c>
      <c r="GN9" s="3"/>
      <c r="GO9" s="1"/>
      <c r="GP9" s="3">
        <v>-3.1199999999999983</v>
      </c>
      <c r="GQ9" s="1">
        <v>0.66666666666666663</v>
      </c>
      <c r="GR9" s="3">
        <v>-22.630000000000003</v>
      </c>
      <c r="GS9" s="1">
        <v>0.55555555555555558</v>
      </c>
      <c r="GT9" s="3">
        <v>12.92</v>
      </c>
      <c r="GU9" s="1">
        <v>0.72222222222222221</v>
      </c>
      <c r="GV9" s="3">
        <v>-17.509999999999998</v>
      </c>
      <c r="GW9" s="1">
        <v>0.55555555555555558</v>
      </c>
      <c r="GX9" s="3">
        <v>-0.80999999999999994</v>
      </c>
      <c r="GY9" s="1">
        <v>0.625</v>
      </c>
      <c r="GZ9" s="3"/>
      <c r="HA9" s="1"/>
      <c r="HB9" s="3">
        <v>-3.3200000000000007</v>
      </c>
      <c r="HC9" s="1">
        <v>0.72222222222222221</v>
      </c>
      <c r="HD9" s="76">
        <v>29.89</v>
      </c>
      <c r="HE9" s="1">
        <v>0.88888888888888884</v>
      </c>
      <c r="HF9" s="78">
        <v>-0.83999999999999941</v>
      </c>
      <c r="HG9" s="1">
        <v>0.6</v>
      </c>
      <c r="HH9" s="79">
        <v>5.4399999999999977</v>
      </c>
      <c r="HI9" s="1">
        <v>0.77777777777777779</v>
      </c>
      <c r="HJ9" s="80">
        <v>5.8299999999999992</v>
      </c>
      <c r="HK9" s="1">
        <v>0.6470588235294118</v>
      </c>
      <c r="HL9" s="81">
        <v>-9.33</v>
      </c>
      <c r="HM9" s="1">
        <v>0.55555555555555558</v>
      </c>
      <c r="HN9" s="82">
        <v>21.249999999999996</v>
      </c>
      <c r="HO9" s="1">
        <v>0.83333333333333337</v>
      </c>
      <c r="HP9" s="83">
        <v>-27.550000000000004</v>
      </c>
      <c r="HQ9" s="1">
        <v>0.5</v>
      </c>
      <c r="HR9" s="84">
        <v>-4.2800000000000011</v>
      </c>
      <c r="HS9" s="1">
        <v>0.3888888888888889</v>
      </c>
      <c r="HT9" s="85">
        <v>18.429999999999996</v>
      </c>
      <c r="HU9" s="1">
        <v>0.82352941176470584</v>
      </c>
      <c r="HV9" s="88">
        <v>-2.8700000000000019</v>
      </c>
      <c r="HW9" s="1">
        <v>0.58823529411764708</v>
      </c>
      <c r="HX9" s="89"/>
      <c r="HY9" s="1"/>
      <c r="HZ9" s="91">
        <v>-13.459999999999999</v>
      </c>
      <c r="IA9" s="1">
        <v>0.66666666666666663</v>
      </c>
      <c r="IB9" s="92">
        <v>12.750000000000002</v>
      </c>
      <c r="IC9" s="1">
        <v>0.72222222222222221</v>
      </c>
      <c r="ID9" s="93">
        <v>11.09</v>
      </c>
      <c r="IE9" s="1">
        <v>0.77777777777777779</v>
      </c>
      <c r="IF9" s="94">
        <v>-11.65</v>
      </c>
      <c r="IG9" s="1">
        <v>0.6470588235294118</v>
      </c>
      <c r="IH9" s="97">
        <v>-19.449999999999996</v>
      </c>
      <c r="II9" s="1">
        <v>0.5625</v>
      </c>
      <c r="IJ9" s="98">
        <v>-54.629999999999995</v>
      </c>
      <c r="IK9" s="1">
        <v>0.27777777777777779</v>
      </c>
      <c r="IL9" s="99">
        <v>1.2500000000000011</v>
      </c>
      <c r="IM9" s="1">
        <v>0.72222222222222221</v>
      </c>
      <c r="IN9" s="100">
        <v>-6.7100000000000009</v>
      </c>
      <c r="IO9" s="1">
        <v>0.5</v>
      </c>
      <c r="IP9" s="101">
        <v>15.179999999999998</v>
      </c>
      <c r="IQ9" s="1">
        <v>0.77777777777777779</v>
      </c>
      <c r="IR9" s="102">
        <v>2.8100000000000023</v>
      </c>
      <c r="IS9" s="1">
        <v>0.6470588235294118</v>
      </c>
      <c r="IT9" s="103">
        <v>6.6000000000000014</v>
      </c>
      <c r="IU9" s="1">
        <v>0.66666666666666663</v>
      </c>
      <c r="IV9" s="104">
        <v>12.310000000000002</v>
      </c>
      <c r="IW9" s="1">
        <v>0.77777777777777779</v>
      </c>
      <c r="IX9" s="104">
        <v>-38.839999999999989</v>
      </c>
      <c r="IY9" s="1">
        <v>0.35294117647058826</v>
      </c>
      <c r="IZ9" s="105">
        <v>-11.2</v>
      </c>
      <c r="JA9" s="1">
        <v>0.625</v>
      </c>
      <c r="JB9" s="112">
        <v>2.52</v>
      </c>
      <c r="JC9" s="1">
        <v>0.5</v>
      </c>
      <c r="JD9" s="113">
        <v>15.06</v>
      </c>
      <c r="JE9" s="1">
        <v>0.83333333333333337</v>
      </c>
      <c r="JF9" s="114">
        <v>21.060000000000002</v>
      </c>
      <c r="JG9" s="1">
        <v>0.83333333333333337</v>
      </c>
      <c r="JH9" s="115">
        <v>30.370000000000005</v>
      </c>
      <c r="JI9" s="1">
        <v>0.94444444444444442</v>
      </c>
      <c r="JJ9" s="116">
        <v>-15.529999999999998</v>
      </c>
      <c r="JK9" s="1">
        <v>0.61111111111111116</v>
      </c>
      <c r="JL9" s="117">
        <v>-13.03</v>
      </c>
      <c r="JM9" s="1">
        <v>0.61111111111111116</v>
      </c>
      <c r="JN9" s="118">
        <v>-20.979999999999997</v>
      </c>
      <c r="JO9" s="1">
        <v>0.55555555555555558</v>
      </c>
      <c r="JP9" s="119">
        <v>-18.989999999999988</v>
      </c>
      <c r="JQ9" s="1">
        <v>0.5</v>
      </c>
      <c r="JR9" s="120"/>
      <c r="JS9" s="1"/>
      <c r="JT9" s="122"/>
      <c r="JU9" s="1"/>
      <c r="JV9" s="126"/>
      <c r="JW9" s="1"/>
      <c r="JX9" s="132">
        <v>-9.2399999999999984</v>
      </c>
      <c r="JY9" s="1">
        <v>0.61111111111111116</v>
      </c>
      <c r="JZ9" s="133">
        <v>18.16</v>
      </c>
      <c r="KA9" s="1">
        <v>0.83333333333333337</v>
      </c>
      <c r="KB9" s="138">
        <v>-26.81</v>
      </c>
      <c r="KC9" s="1">
        <v>0.55555555555555558</v>
      </c>
      <c r="KD9" s="140">
        <v>-11.089999999999998</v>
      </c>
      <c r="KE9" s="1">
        <v>0.66666666666666663</v>
      </c>
      <c r="KF9" s="144">
        <v>-27.79</v>
      </c>
      <c r="KG9" s="1">
        <v>0.44444444444444442</v>
      </c>
      <c r="KH9" s="148">
        <v>-16.039999999999996</v>
      </c>
      <c r="KI9" s="1">
        <v>0.61111111111111116</v>
      </c>
      <c r="KJ9" s="152">
        <v>8.7700000000000031</v>
      </c>
      <c r="KK9" s="1">
        <v>0.77777777777777779</v>
      </c>
      <c r="KL9" s="156">
        <v>-19.419999999999998</v>
      </c>
      <c r="KM9" s="1">
        <v>0.55555555555555558</v>
      </c>
      <c r="KN9" s="160">
        <v>-20.520000000000003</v>
      </c>
      <c r="KO9" s="1">
        <v>0.44444444444444442</v>
      </c>
      <c r="KP9" s="163"/>
      <c r="KQ9" s="1"/>
      <c r="KR9" s="165">
        <v>-26.33</v>
      </c>
      <c r="KS9" s="1">
        <v>0.55555555555555558</v>
      </c>
      <c r="KT9" s="168"/>
      <c r="KU9" s="1"/>
      <c r="KV9" s="171">
        <v>-12.039999999999997</v>
      </c>
      <c r="KW9" s="1">
        <v>0.66666666666666663</v>
      </c>
      <c r="KX9" s="174">
        <v>-33.29</v>
      </c>
      <c r="KY9" s="1">
        <v>0.5</v>
      </c>
      <c r="KZ9" s="179">
        <v>-10.149999999999999</v>
      </c>
      <c r="LA9" s="1">
        <v>0.61111111111111116</v>
      </c>
      <c r="LB9" s="183">
        <v>-2.339999999999999</v>
      </c>
      <c r="LC9" s="1">
        <v>0.72222222222222221</v>
      </c>
      <c r="LD9" s="187">
        <v>-19.079999999999998</v>
      </c>
      <c r="LE9" s="1">
        <v>0.61111111111111116</v>
      </c>
      <c r="LF9" s="189">
        <v>-12.730000000000006</v>
      </c>
      <c r="LG9" s="1">
        <v>0.58823529411764708</v>
      </c>
      <c r="LH9" s="191">
        <v>9.99</v>
      </c>
      <c r="LI9" s="1">
        <v>0.8125</v>
      </c>
      <c r="LJ9" s="194"/>
      <c r="LK9" s="1"/>
      <c r="LL9" s="196">
        <v>-24.649999999999995</v>
      </c>
      <c r="LM9" s="1">
        <v>0.55555555555555558</v>
      </c>
      <c r="LN9" s="198">
        <v>6.7700000000000005</v>
      </c>
      <c r="LO9" s="1">
        <v>0.77777777777777779</v>
      </c>
      <c r="LP9" s="200">
        <v>-3.9400000000000017</v>
      </c>
      <c r="LQ9" s="1">
        <v>0.6875</v>
      </c>
      <c r="LR9" s="202">
        <v>-12.780000000000003</v>
      </c>
      <c r="LS9" s="1">
        <v>0.625</v>
      </c>
      <c r="LT9" s="204">
        <v>-15.420000000000002</v>
      </c>
      <c r="LU9" s="1">
        <v>0.6</v>
      </c>
      <c r="LV9" s="206">
        <v>-9.4499999999999993</v>
      </c>
      <c r="LW9" s="1">
        <v>0.6428571428571429</v>
      </c>
      <c r="LX9" s="208">
        <v>9.41</v>
      </c>
      <c r="LY9" s="1">
        <v>0.75</v>
      </c>
      <c r="LZ9" s="210">
        <v>1.2500000000000009</v>
      </c>
      <c r="MA9" s="1">
        <v>0.66666666666666663</v>
      </c>
      <c r="MB9" s="212">
        <v>-16.22</v>
      </c>
      <c r="MC9" s="1">
        <v>0.58823529411764708</v>
      </c>
      <c r="MD9" s="214"/>
      <c r="ME9" s="1"/>
      <c r="MF9" s="216">
        <v>-8.09</v>
      </c>
      <c r="MG9" s="1">
        <v>0.6428571428571429</v>
      </c>
      <c r="MH9" s="218">
        <v>16.09</v>
      </c>
      <c r="MI9" s="1">
        <v>0.75</v>
      </c>
      <c r="MJ9" s="220">
        <v>-6.759999999999998</v>
      </c>
      <c r="MK9" s="1">
        <v>0.6428571428571429</v>
      </c>
      <c r="ML9" s="222">
        <v>10.000000000000004</v>
      </c>
      <c r="MM9" s="1">
        <v>0.72222222222222221</v>
      </c>
      <c r="MN9" s="224">
        <v>-2.4700000000000015</v>
      </c>
      <c r="MO9" s="1">
        <v>0.6470588235294118</v>
      </c>
      <c r="MP9" s="226">
        <v>-27.389999999999997</v>
      </c>
      <c r="MQ9" s="1">
        <v>0.52941176470588236</v>
      </c>
      <c r="MR9" s="228">
        <v>-21.92</v>
      </c>
      <c r="MS9" s="1">
        <v>0.53333333333333333</v>
      </c>
      <c r="MT9" s="230">
        <v>-33.940000000000005</v>
      </c>
      <c r="MU9" s="1">
        <v>0.44444444444444442</v>
      </c>
      <c r="MV9" s="232">
        <v>4.42</v>
      </c>
      <c r="MW9" s="1">
        <v>0.6875</v>
      </c>
      <c r="MX9" s="234">
        <v>-4.21</v>
      </c>
      <c r="MY9" s="1">
        <v>0.70588235294117652</v>
      </c>
      <c r="MZ9" s="236">
        <v>2.6700000000000004</v>
      </c>
      <c r="NA9" s="1">
        <v>0.70588235294117652</v>
      </c>
      <c r="NB9" s="238">
        <v>22.13</v>
      </c>
      <c r="NC9" s="1">
        <v>0.72222222222222221</v>
      </c>
      <c r="ND9" s="240"/>
      <c r="NE9" s="1"/>
      <c r="NF9" s="242">
        <v>-7.87</v>
      </c>
      <c r="NG9" s="1">
        <v>0.68421052631578949</v>
      </c>
      <c r="NH9" s="244">
        <v>-7.87</v>
      </c>
      <c r="NI9" s="1">
        <v>0.68421052631578949</v>
      </c>
      <c r="NJ9" s="244">
        <v>-17.190000000000001</v>
      </c>
      <c r="NK9" s="1">
        <v>0.61111111111111116</v>
      </c>
      <c r="NL9" s="246">
        <v>-32.880000000000003</v>
      </c>
      <c r="NM9" s="1">
        <v>0.5</v>
      </c>
      <c r="NN9" s="248"/>
      <c r="NO9" s="1"/>
      <c r="NP9" s="250">
        <v>-19.16</v>
      </c>
      <c r="NQ9" s="1">
        <v>0.5714285714285714</v>
      </c>
      <c r="NR9" s="252">
        <v>-25.24</v>
      </c>
      <c r="NS9" s="1">
        <v>0.45454545454545453</v>
      </c>
      <c r="NT9" s="254">
        <v>-10.3</v>
      </c>
      <c r="NU9" s="1">
        <v>0.58333333333333337</v>
      </c>
      <c r="NV9" s="256">
        <v>-6.2799999999999994</v>
      </c>
      <c r="NW9" s="1">
        <v>0.63636363636363635</v>
      </c>
      <c r="NX9" s="258">
        <v>-1.08</v>
      </c>
      <c r="NY9" s="1">
        <v>0.7142857142857143</v>
      </c>
      <c r="NZ9" s="260">
        <v>-13.6</v>
      </c>
      <c r="OA9" s="1">
        <v>0.4</v>
      </c>
      <c r="OB9" s="262">
        <v>4.2900000000000009</v>
      </c>
      <c r="OC9" s="1">
        <v>0.66666666666666663</v>
      </c>
      <c r="OD9" s="264">
        <v>21</v>
      </c>
      <c r="OE9" s="1">
        <v>0.875</v>
      </c>
      <c r="OF9" s="266">
        <v>-5.1599999999999984</v>
      </c>
      <c r="OG9" s="1">
        <v>0.69230769230769229</v>
      </c>
      <c r="OH9" s="268">
        <v>2.4400000000000004</v>
      </c>
      <c r="OI9" s="1">
        <v>0.6428571428571429</v>
      </c>
      <c r="OJ9" s="270"/>
      <c r="OK9" s="1"/>
      <c r="OL9" s="272">
        <v>-10.23</v>
      </c>
      <c r="OM9" s="1">
        <v>0.66666666666666663</v>
      </c>
      <c r="ON9" s="274">
        <v>8.1999999999999993</v>
      </c>
      <c r="OO9" s="1">
        <v>0.72222222222222221</v>
      </c>
      <c r="OP9" s="276">
        <v>-5.5300000000000011</v>
      </c>
      <c r="OQ9" s="1">
        <v>0.57894736842105265</v>
      </c>
      <c r="OR9" s="278"/>
      <c r="OS9" s="1"/>
      <c r="OT9" s="280">
        <v>24.639999999999997</v>
      </c>
      <c r="OU9" s="1">
        <v>0.88888888888888884</v>
      </c>
      <c r="OV9" s="282"/>
      <c r="OW9" s="1"/>
      <c r="OX9" s="285">
        <v>-0.63999999999999746</v>
      </c>
      <c r="OY9" s="1">
        <v>0.66666666666666663</v>
      </c>
      <c r="OZ9" s="288">
        <v>13.42</v>
      </c>
      <c r="PA9" s="1">
        <v>0.83333333333333337</v>
      </c>
      <c r="PB9" s="292">
        <v>18.060000000000006</v>
      </c>
      <c r="PC9" s="1">
        <v>0.83333333333333337</v>
      </c>
      <c r="PD9" s="297">
        <v>-7.1499999999999986</v>
      </c>
      <c r="PE9" s="1">
        <v>0.68421052631578949</v>
      </c>
      <c r="PF9" s="298">
        <v>39.44</v>
      </c>
      <c r="PG9" s="1">
        <v>0.94444444444444442</v>
      </c>
      <c r="PH9" s="301">
        <v>9.02</v>
      </c>
      <c r="PI9" s="1">
        <v>0.8</v>
      </c>
      <c r="PJ9" s="302"/>
      <c r="PK9" s="1"/>
      <c r="PL9" s="309">
        <v>-4.6000000000000014</v>
      </c>
      <c r="PM9" s="1">
        <v>0.66666666666666663</v>
      </c>
      <c r="PN9" s="313">
        <v>-35.46</v>
      </c>
      <c r="PO9" s="1">
        <v>0.42105263157894735</v>
      </c>
      <c r="PP9" s="313">
        <v>-12.480000000000004</v>
      </c>
      <c r="PQ9" s="1">
        <v>0.6470588235294118</v>
      </c>
      <c r="PR9" s="315">
        <v>-13.309999999999997</v>
      </c>
      <c r="PS9" s="1">
        <v>0.55555555555555558</v>
      </c>
      <c r="PT9" s="318">
        <v>-35.57</v>
      </c>
      <c r="PU9" s="1">
        <v>0.4375</v>
      </c>
      <c r="PV9" s="321">
        <v>0.54</v>
      </c>
      <c r="PW9" s="1">
        <v>0.73684210526315785</v>
      </c>
      <c r="PX9" s="323">
        <v>2.0600000000000014</v>
      </c>
      <c r="PY9" s="1">
        <v>0.73684210526315785</v>
      </c>
      <c r="PZ9" s="325"/>
      <c r="QA9" s="1"/>
      <c r="QB9" s="327">
        <v>-17.089999999999996</v>
      </c>
      <c r="QC9" s="1">
        <v>0.6</v>
      </c>
      <c r="QD9" s="334">
        <v>-13.319999999999997</v>
      </c>
      <c r="QE9" s="1">
        <v>0.63157894736842102</v>
      </c>
      <c r="QF9" s="339">
        <v>20.89</v>
      </c>
      <c r="QG9" s="1">
        <v>0.83333333333333337</v>
      </c>
      <c r="QH9" s="345">
        <v>-4.9099999999999984</v>
      </c>
      <c r="QI9" s="1">
        <v>0.66666666666666663</v>
      </c>
      <c r="QJ9" s="352">
        <v>-32.08</v>
      </c>
      <c r="QK9" s="1">
        <v>0.5</v>
      </c>
      <c r="QL9" s="356">
        <v>23.850000000000005</v>
      </c>
      <c r="QM9" s="1">
        <v>0.89473684210526316</v>
      </c>
      <c r="QN9" s="360">
        <v>-52.019999999999996</v>
      </c>
      <c r="QO9" s="1">
        <v>0.33333333333333331</v>
      </c>
      <c r="QP9" s="363">
        <v>10.95</v>
      </c>
      <c r="QQ9" s="1">
        <v>0.77777777777777779</v>
      </c>
      <c r="QR9" s="366">
        <v>-43.730000000000004</v>
      </c>
      <c r="QS9" s="1">
        <v>0.42105263157894735</v>
      </c>
      <c r="QT9" s="371">
        <v>-29.900000000000002</v>
      </c>
      <c r="QU9" s="1">
        <v>0.41176470588235292</v>
      </c>
      <c r="QV9" s="374">
        <v>-9.1699999999999982</v>
      </c>
      <c r="QW9" s="1">
        <v>0.63157894736842102</v>
      </c>
      <c r="QX9" s="378">
        <v>-18.380000000000003</v>
      </c>
      <c r="QY9" s="1">
        <v>0.33333333333333331</v>
      </c>
      <c r="QZ9" s="386"/>
      <c r="RA9" s="1"/>
      <c r="RB9" s="395">
        <v>3.3899999999999988</v>
      </c>
      <c r="RC9" s="1">
        <v>0.66666666666666663</v>
      </c>
      <c r="RD9" s="399">
        <v>-40.119999999999997</v>
      </c>
      <c r="RE9" s="1">
        <v>0.31578947368421051</v>
      </c>
      <c r="RF9" s="399">
        <v>8.2199999999999989</v>
      </c>
      <c r="RG9" s="1">
        <v>0.72222222222222221</v>
      </c>
      <c r="RH9" s="403">
        <v>5.82</v>
      </c>
      <c r="RI9" s="1">
        <v>0.77777777777777779</v>
      </c>
      <c r="RJ9" s="405">
        <v>14.019999999999998</v>
      </c>
      <c r="RK9" s="1">
        <v>0.83333333333333337</v>
      </c>
      <c r="RL9" s="407"/>
      <c r="RM9" s="1"/>
      <c r="RN9" s="410">
        <v>7.99</v>
      </c>
      <c r="RO9" s="1">
        <v>0.66666666666666663</v>
      </c>
      <c r="RP9" s="412">
        <v>12.739999999999998</v>
      </c>
      <c r="RQ9" s="1">
        <v>0.83333333333333337</v>
      </c>
      <c r="RR9" s="415"/>
      <c r="RS9" s="1"/>
      <c r="RT9" s="417">
        <v>12.280000000000001</v>
      </c>
      <c r="RU9" s="1">
        <v>0.77777777777777779</v>
      </c>
      <c r="RV9" s="422">
        <v>-23.809999999999995</v>
      </c>
      <c r="RW9" s="1">
        <v>0.55555555555555558</v>
      </c>
      <c r="RX9" s="427">
        <v>-7.44</v>
      </c>
      <c r="RY9" s="1">
        <v>0.66666666666666663</v>
      </c>
      <c r="RZ9" s="433">
        <v>-49.27000000000001</v>
      </c>
      <c r="SA9" s="1">
        <v>0.42105263157894735</v>
      </c>
      <c r="SB9" s="436">
        <v>-0.60999999999999721</v>
      </c>
      <c r="SC9" s="1">
        <v>0.73684210526315785</v>
      </c>
      <c r="SD9" s="443">
        <v>-2.7599999999999993</v>
      </c>
      <c r="SE9" s="1">
        <v>0.57894736842105265</v>
      </c>
      <c r="SF9" s="445"/>
      <c r="SG9" s="1"/>
      <c r="SH9" s="450">
        <v>6.4200000000000035</v>
      </c>
      <c r="SI9" s="1">
        <v>0.72222222222222221</v>
      </c>
      <c r="SJ9" s="452">
        <v>-6.9499999999999993</v>
      </c>
      <c r="SK9" s="1">
        <v>0.68421052631578949</v>
      </c>
      <c r="SL9" s="457">
        <v>-21.830000000000002</v>
      </c>
      <c r="SM9" s="1">
        <v>0.52631578947368418</v>
      </c>
      <c r="SN9" s="459">
        <v>-2.3200000000000003</v>
      </c>
      <c r="SO9" s="1">
        <v>0.72222222222222221</v>
      </c>
      <c r="SP9" s="461">
        <v>4.1500000000000004</v>
      </c>
      <c r="SQ9" s="1">
        <v>0.68421052631578949</v>
      </c>
      <c r="SR9" s="463">
        <v>-21.08</v>
      </c>
      <c r="SS9" s="1">
        <v>0.58823529411764708</v>
      </c>
      <c r="ST9" s="464">
        <v>-9.8000000000000007</v>
      </c>
      <c r="SU9" s="1">
        <v>0.66666666666666663</v>
      </c>
      <c r="SV9" s="466">
        <v>32.18</v>
      </c>
      <c r="SW9" s="1">
        <v>0.94736842105263153</v>
      </c>
      <c r="SX9" s="467"/>
      <c r="SY9" s="1"/>
      <c r="SZ9" s="469">
        <v>-26.54</v>
      </c>
      <c r="TA9" s="1">
        <v>0.55555555555555558</v>
      </c>
      <c r="TB9" s="471">
        <v>-16.499999999999996</v>
      </c>
      <c r="TC9" s="1">
        <v>0.63157894736842102</v>
      </c>
      <c r="TD9" s="472">
        <v>14.160000000000004</v>
      </c>
      <c r="TE9" s="1">
        <v>0.83333333333333337</v>
      </c>
      <c r="TF9" s="474">
        <v>-2.1599999999999988</v>
      </c>
      <c r="TG9" s="1">
        <v>0.57894736842105265</v>
      </c>
      <c r="TH9" s="488">
        <v>20.259999999999994</v>
      </c>
      <c r="TI9" s="1">
        <v>0.84210526315789469</v>
      </c>
      <c r="TJ9" s="489">
        <v>-25.840000000000003</v>
      </c>
      <c r="TK9" s="1">
        <v>0.47368421052631576</v>
      </c>
      <c r="TL9" s="490">
        <v>-4.0399999999999991</v>
      </c>
      <c r="TM9" s="1">
        <v>0.63157894736842102</v>
      </c>
      <c r="TN9" s="495"/>
      <c r="TO9" s="1"/>
      <c r="TP9" s="500">
        <v>-24.339999999999996</v>
      </c>
      <c r="TQ9" s="1">
        <v>0.55555555555555558</v>
      </c>
      <c r="TR9" s="511">
        <v>-0.32999999999999785</v>
      </c>
      <c r="TS9" s="1">
        <v>0.73684210526315785</v>
      </c>
      <c r="TT9" s="515">
        <v>7.4700000000000033</v>
      </c>
      <c r="TU9" s="1">
        <v>0.73684210526315785</v>
      </c>
      <c r="TV9" s="518">
        <v>-34.76</v>
      </c>
      <c r="TW9" s="1">
        <v>0.47368421052631576</v>
      </c>
      <c r="TX9" s="521">
        <v>-5.68</v>
      </c>
      <c r="TY9" s="1">
        <v>0.68421052631578949</v>
      </c>
      <c r="TZ9" s="524">
        <v>7.66</v>
      </c>
      <c r="UA9" s="1">
        <v>0.72222222222222221</v>
      </c>
      <c r="UB9" s="527">
        <v>-40.459999999999987</v>
      </c>
      <c r="UC9" s="1">
        <v>0.42105263157894735</v>
      </c>
      <c r="UD9" s="530">
        <v>-33.409999999999997</v>
      </c>
      <c r="UE9" s="1">
        <v>0.47368421052631576</v>
      </c>
      <c r="UF9" s="533">
        <v>5.1300000000000008</v>
      </c>
      <c r="UG9" s="1">
        <v>0.73684210526315785</v>
      </c>
      <c r="UH9" s="536">
        <v>-4.8599999999999985</v>
      </c>
      <c r="UI9" s="1">
        <v>0.70588235294117652</v>
      </c>
      <c r="UJ9" s="539">
        <v>-42.249999999999993</v>
      </c>
      <c r="UK9" s="1">
        <v>0.47368421052631576</v>
      </c>
      <c r="UL9" s="540">
        <v>7.58</v>
      </c>
      <c r="UM9" s="1">
        <v>0.78947368421052633</v>
      </c>
      <c r="UN9" s="543">
        <v>2.5100000000000002</v>
      </c>
      <c r="UO9" s="1">
        <v>0.77777777777777779</v>
      </c>
      <c r="UP9" s="544">
        <v>5.089999999999999</v>
      </c>
      <c r="UQ9" s="1">
        <v>0.73684210526315785</v>
      </c>
      <c r="UR9" s="551">
        <v>-19.280000000000005</v>
      </c>
      <c r="US9" s="1">
        <v>0.57894736842105265</v>
      </c>
      <c r="UT9" s="551">
        <v>-8.27</v>
      </c>
      <c r="UU9" s="1">
        <v>0.5</v>
      </c>
      <c r="UV9" s="562">
        <v>-3.17</v>
      </c>
      <c r="UW9" s="1">
        <v>0.63157894736842102</v>
      </c>
      <c r="UX9" s="566">
        <v>20.670000000000005</v>
      </c>
      <c r="UY9" s="1">
        <v>0.78947368421052633</v>
      </c>
      <c r="UZ9" s="568"/>
      <c r="VA9" s="1"/>
      <c r="VB9" s="572">
        <v>-10.740000000000002</v>
      </c>
      <c r="VC9" s="1">
        <v>0.47368421052631576</v>
      </c>
      <c r="VD9" s="576">
        <v>27.680000000000003</v>
      </c>
      <c r="VE9" s="1">
        <v>0.94736842105263153</v>
      </c>
      <c r="VF9" s="580">
        <v>13.530000000000005</v>
      </c>
      <c r="VG9" s="1">
        <v>0.78947368421052633</v>
      </c>
      <c r="VH9" s="584">
        <v>-41.75</v>
      </c>
      <c r="VI9" s="1">
        <v>0.35294117647058826</v>
      </c>
      <c r="VJ9" s="589">
        <v>-21.540000000000006</v>
      </c>
      <c r="VK9" s="1">
        <v>0.5</v>
      </c>
      <c r="VL9" s="593">
        <v>-16.079999999999998</v>
      </c>
      <c r="VM9" s="1">
        <v>0.57894736842105265</v>
      </c>
      <c r="VN9" s="597">
        <v>-4.1499999999999995</v>
      </c>
      <c r="VO9" s="1">
        <v>0.57894736842105265</v>
      </c>
      <c r="VP9" s="601">
        <v>-34.25</v>
      </c>
      <c r="VQ9" s="1">
        <v>0.52631578947368418</v>
      </c>
      <c r="VR9" s="603"/>
      <c r="VS9" s="1"/>
      <c r="VT9" s="607">
        <v>-25.72</v>
      </c>
      <c r="VU9" s="1">
        <v>0.52631578947368418</v>
      </c>
      <c r="VV9" s="609">
        <v>6.8300000000000027</v>
      </c>
      <c r="VW9" s="1">
        <v>0.72222222222222221</v>
      </c>
      <c r="VX9" s="613">
        <v>14.06</v>
      </c>
      <c r="VY9" s="1">
        <v>0.78947368421052633</v>
      </c>
      <c r="VZ9" s="617">
        <v>-51.22</v>
      </c>
      <c r="WA9" s="1">
        <v>0.31578947368421051</v>
      </c>
      <c r="WB9" s="619">
        <v>-51.939999999999991</v>
      </c>
      <c r="WC9" s="1">
        <v>0.36842105263157893</v>
      </c>
      <c r="WD9" s="624">
        <v>-24.210000000000004</v>
      </c>
      <c r="WE9" s="1">
        <v>0.57894736842105265</v>
      </c>
      <c r="WF9" s="626">
        <v>-49.44</v>
      </c>
      <c r="WG9" s="1">
        <v>0.42105263157894735</v>
      </c>
      <c r="WH9" s="630">
        <v>2.5400000000000009</v>
      </c>
      <c r="WI9" s="1">
        <v>0.73684210526315785</v>
      </c>
      <c r="WJ9" s="636">
        <v>-21.9</v>
      </c>
      <c r="WK9" s="1">
        <v>0.57894736842105265</v>
      </c>
      <c r="WL9" s="638">
        <v>-16.220000000000006</v>
      </c>
      <c r="WM9" s="1">
        <v>0.63157894736842102</v>
      </c>
      <c r="WN9" s="642">
        <v>4.1099999999999994</v>
      </c>
      <c r="WO9" s="1">
        <v>0.63157894736842102</v>
      </c>
      <c r="WP9" s="646">
        <v>34.299999999999997</v>
      </c>
      <c r="WQ9" s="1">
        <v>0.94736842105263153</v>
      </c>
      <c r="WR9" s="652">
        <v>-16.759999999999998</v>
      </c>
      <c r="WS9" s="1">
        <v>0.61111111111111116</v>
      </c>
      <c r="WT9" s="659">
        <v>-0.68999999999999906</v>
      </c>
      <c r="WU9" s="1">
        <v>0.68421052631578949</v>
      </c>
      <c r="WV9" s="659">
        <v>6.48</v>
      </c>
      <c r="WW9" s="1">
        <v>0.68421052631578949</v>
      </c>
      <c r="WX9" s="672">
        <v>-9.85</v>
      </c>
      <c r="WY9" s="1">
        <v>0.47368421052631576</v>
      </c>
      <c r="WZ9" s="677">
        <v>-16.720000000000006</v>
      </c>
      <c r="XA9" s="1">
        <v>0.63157894736842102</v>
      </c>
      <c r="XB9" s="681">
        <v>-9.0700000000000021</v>
      </c>
      <c r="XC9" s="1">
        <v>0.63157894736842102</v>
      </c>
      <c r="XD9" s="683"/>
      <c r="XE9" s="1"/>
      <c r="XF9" s="687">
        <v>-6.4399999999999986</v>
      </c>
      <c r="XG9" s="1">
        <v>0.6470588235294118</v>
      </c>
      <c r="XH9" s="689">
        <v>8.3199999999999967</v>
      </c>
      <c r="XI9" s="1">
        <v>0.73684210526315785</v>
      </c>
      <c r="XJ9" s="696">
        <v>-8.4299999999999979</v>
      </c>
      <c r="XK9" s="1">
        <v>0.68421052631578949</v>
      </c>
      <c r="XL9" s="696">
        <v>18.38</v>
      </c>
      <c r="XM9" s="1">
        <v>0.875</v>
      </c>
      <c r="XN9" s="696">
        <v>-13.860000000000001</v>
      </c>
      <c r="XO9" s="1">
        <v>0.68421052631578949</v>
      </c>
      <c r="XP9" s="700">
        <v>-27.749999999999996</v>
      </c>
      <c r="XQ9" s="1">
        <v>0.47368421052631576</v>
      </c>
      <c r="XR9" s="705">
        <v>-23.209999999999997</v>
      </c>
      <c r="XS9" s="1">
        <v>0.6216216216216216</v>
      </c>
      <c r="XT9" s="709">
        <v>-26.03</v>
      </c>
      <c r="XU9" s="1">
        <v>0.47368421052631576</v>
      </c>
      <c r="XV9" s="715">
        <v>17.810000000000002</v>
      </c>
      <c r="XW9" s="1">
        <v>0.68421052631578949</v>
      </c>
    </row>
    <row r="10" spans="2:647" x14ac:dyDescent="0.25">
      <c r="B10" s="755"/>
      <c r="C10" s="728"/>
      <c r="D10" s="725" t="s">
        <v>17</v>
      </c>
      <c r="E10" s="725"/>
      <c r="F10" s="55">
        <v>0.4</v>
      </c>
      <c r="G10" s="769"/>
      <c r="H10" s="4"/>
      <c r="I10" s="5"/>
      <c r="J10" s="4"/>
      <c r="K10" s="5"/>
      <c r="L10" s="4"/>
      <c r="M10" s="5"/>
      <c r="N10" s="4"/>
      <c r="O10" s="5"/>
      <c r="P10" s="4"/>
      <c r="Q10" s="5"/>
      <c r="R10" s="4"/>
      <c r="S10" s="5"/>
      <c r="T10" s="4"/>
      <c r="U10" s="5"/>
      <c r="V10" s="4"/>
      <c r="W10" s="5"/>
      <c r="X10" s="4"/>
      <c r="Y10" s="5"/>
      <c r="Z10" s="4"/>
      <c r="AA10" s="5"/>
      <c r="AB10" s="4"/>
      <c r="AC10" s="5"/>
      <c r="AD10" s="4"/>
      <c r="AE10" s="5"/>
      <c r="AF10" s="4"/>
      <c r="AG10" s="5"/>
      <c r="AH10" s="4"/>
      <c r="AI10" s="5"/>
      <c r="AJ10" s="4"/>
      <c r="AK10" s="5"/>
      <c r="AL10" s="4"/>
      <c r="AM10" s="5"/>
      <c r="AN10" s="4"/>
      <c r="AO10" s="5"/>
      <c r="AP10" s="4"/>
      <c r="AQ10" s="5"/>
      <c r="AR10" s="4"/>
      <c r="AS10" s="5"/>
      <c r="AT10" s="4"/>
      <c r="AU10" s="5"/>
      <c r="AV10" s="4"/>
      <c r="AW10" s="5"/>
      <c r="AX10" s="4"/>
      <c r="AY10" s="5"/>
      <c r="AZ10" s="4"/>
      <c r="BA10" s="5"/>
      <c r="BB10" s="4"/>
      <c r="BC10" s="5"/>
      <c r="BD10" s="4"/>
      <c r="BE10" s="5"/>
      <c r="BF10" s="4">
        <v>-3.925384615384615</v>
      </c>
      <c r="BG10" s="5">
        <v>0.3</v>
      </c>
      <c r="BH10" s="4">
        <v>-3.2138461538461547</v>
      </c>
      <c r="BI10" s="5">
        <v>0.5</v>
      </c>
      <c r="BJ10" s="4"/>
      <c r="BK10" s="5"/>
      <c r="BL10" s="4">
        <v>-1.1846153846153848</v>
      </c>
      <c r="BM10" s="5">
        <v>0.375</v>
      </c>
      <c r="BN10" s="4">
        <v>-0.17538461538461533</v>
      </c>
      <c r="BO10" s="5">
        <v>0.33333333333333331</v>
      </c>
      <c r="BP10" s="4">
        <v>-1.0023076923076923</v>
      </c>
      <c r="BQ10" s="5">
        <v>0.2857142857142857</v>
      </c>
      <c r="BR10" s="4">
        <v>-1.3438461538461537</v>
      </c>
      <c r="BS10" s="5">
        <v>0.33333333333333331</v>
      </c>
      <c r="BT10" s="4"/>
      <c r="BU10" s="5"/>
      <c r="BV10" s="4">
        <v>1.2204999999999999</v>
      </c>
      <c r="BW10" s="5">
        <v>0.36363636363636365</v>
      </c>
      <c r="BX10" s="4">
        <v>-0.71450000000000014</v>
      </c>
      <c r="BY10" s="5">
        <v>0.5</v>
      </c>
      <c r="BZ10" s="4"/>
      <c r="CA10" s="5"/>
      <c r="CB10" s="4">
        <v>-1.381</v>
      </c>
      <c r="CC10" s="5">
        <v>0.2</v>
      </c>
      <c r="CD10" s="4">
        <v>2.1985000000000001</v>
      </c>
      <c r="CE10" s="5">
        <v>0.83333333333333337</v>
      </c>
      <c r="CF10" s="4">
        <v>-2.2374999999999998</v>
      </c>
      <c r="CG10" s="5">
        <v>0.16666666666666666</v>
      </c>
      <c r="CH10" s="4">
        <v>0.49850000000000011</v>
      </c>
      <c r="CI10" s="5">
        <v>0.5</v>
      </c>
      <c r="CJ10" s="4">
        <v>-2.8300000000000005</v>
      </c>
      <c r="CK10" s="5">
        <v>0.1111111111111111</v>
      </c>
      <c r="CL10" s="4">
        <v>-2.2545000000000002</v>
      </c>
      <c r="CM10" s="5">
        <v>0</v>
      </c>
      <c r="CN10" s="4">
        <v>-1.6004999999999996</v>
      </c>
      <c r="CO10" s="5">
        <v>0.36363636363636365</v>
      </c>
      <c r="CP10" s="4">
        <v>-3.3550000000000004</v>
      </c>
      <c r="CQ10" s="5">
        <v>0.33333333333333331</v>
      </c>
      <c r="CR10" s="4">
        <v>-2.7229999999999999</v>
      </c>
      <c r="CS10" s="5">
        <v>0.42857142857142855</v>
      </c>
      <c r="CT10" s="4">
        <v>2.1909999999999998</v>
      </c>
      <c r="CU10" s="5">
        <v>0.5714285714285714</v>
      </c>
      <c r="CV10" s="4">
        <v>-1.085</v>
      </c>
      <c r="CW10" s="5">
        <v>0.5</v>
      </c>
      <c r="CX10" s="4">
        <v>3.0115000000000003</v>
      </c>
      <c r="CY10" s="5">
        <v>0.7</v>
      </c>
      <c r="CZ10" s="4">
        <v>-2.5609999999999999</v>
      </c>
      <c r="DA10" s="5">
        <v>0.54545454545454541</v>
      </c>
      <c r="DB10" s="4">
        <v>2.3694999999999999</v>
      </c>
      <c r="DC10" s="5">
        <v>0.75</v>
      </c>
      <c r="DD10" s="4">
        <v>-2.2680000000000002</v>
      </c>
      <c r="DE10" s="5">
        <v>0.6</v>
      </c>
      <c r="DF10" s="4">
        <v>-1.3020000000000003</v>
      </c>
      <c r="DG10" s="5">
        <v>0.5714285714285714</v>
      </c>
      <c r="DH10" s="4">
        <v>-3.1555</v>
      </c>
      <c r="DI10" s="5">
        <v>0.44444444444444442</v>
      </c>
      <c r="DJ10" s="4">
        <v>-3.0245000000000002</v>
      </c>
      <c r="DK10" s="5">
        <v>0.36363636363636365</v>
      </c>
      <c r="DL10" s="4">
        <v>-9.5500000000000002E-2</v>
      </c>
      <c r="DM10" s="5">
        <v>0.33333333333333331</v>
      </c>
      <c r="DN10" s="4">
        <v>-3.5729999999999995</v>
      </c>
      <c r="DO10" s="5">
        <v>0.22222222222222221</v>
      </c>
      <c r="DP10" s="4">
        <v>-0.57149999999999967</v>
      </c>
      <c r="DQ10" s="5">
        <v>0.55555555555555558</v>
      </c>
      <c r="DR10" s="4">
        <v>-0.21750000000000025</v>
      </c>
      <c r="DS10" s="5">
        <v>0.4</v>
      </c>
      <c r="DT10" s="4">
        <v>-0.21750000000000025</v>
      </c>
      <c r="DU10" s="5">
        <v>0.4</v>
      </c>
      <c r="DV10" s="4">
        <v>-4.1704999999999988</v>
      </c>
      <c r="DW10" s="5">
        <v>0.33333333333333331</v>
      </c>
      <c r="DX10" s="4">
        <v>-1.3564999999999992</v>
      </c>
      <c r="DY10" s="5">
        <v>0.43571428571428567</v>
      </c>
      <c r="DZ10" s="4">
        <v>-4.1214999999999993</v>
      </c>
      <c r="EA10" s="5">
        <v>0.33333333333333331</v>
      </c>
      <c r="EB10" s="4">
        <v>2.1949999999999998</v>
      </c>
      <c r="EC10" s="5">
        <v>0.7</v>
      </c>
      <c r="ED10" s="4">
        <v>-1.871</v>
      </c>
      <c r="EE10" s="5">
        <v>0.31538461538461537</v>
      </c>
      <c r="EF10" s="4">
        <v>-0.29399999999999993</v>
      </c>
      <c r="EG10" s="5">
        <v>0.33333333333333331</v>
      </c>
      <c r="EH10" s="4">
        <v>-1.871</v>
      </c>
      <c r="EI10" s="5">
        <v>0.31538461538461537</v>
      </c>
      <c r="EJ10" s="4">
        <v>-0.29399999999999993</v>
      </c>
      <c r="EK10" s="5">
        <v>0.33333333333333331</v>
      </c>
      <c r="EL10" s="4">
        <v>-0.56649999999999945</v>
      </c>
      <c r="EM10" s="5">
        <v>0.42857142857142855</v>
      </c>
      <c r="EN10" s="4">
        <v>1.5265000000000004</v>
      </c>
      <c r="EO10" s="5">
        <v>0.55555555555555558</v>
      </c>
      <c r="EP10" s="4">
        <v>0.97700000000000009</v>
      </c>
      <c r="EQ10" s="5">
        <v>0.5714285714285714</v>
      </c>
      <c r="ER10" s="4">
        <v>-3.379</v>
      </c>
      <c r="ES10" s="5">
        <v>0.45454545454545453</v>
      </c>
      <c r="ET10" s="4">
        <v>0.13100000000000009</v>
      </c>
      <c r="EU10" s="5">
        <v>0.5625</v>
      </c>
      <c r="EV10" s="4">
        <v>3.1499999999999952E-2</v>
      </c>
      <c r="EW10" s="5">
        <v>0.4</v>
      </c>
      <c r="EX10" s="4">
        <v>3.1499999999999952E-2</v>
      </c>
      <c r="EY10" s="5">
        <v>0.4</v>
      </c>
      <c r="EZ10" s="4"/>
      <c r="FA10" s="5"/>
      <c r="FB10" s="4">
        <v>-2.5099999999999998</v>
      </c>
      <c r="FC10" s="5">
        <v>0.5</v>
      </c>
      <c r="FD10" s="4">
        <v>-6.01</v>
      </c>
      <c r="FE10" s="5">
        <v>0.2</v>
      </c>
      <c r="FF10" s="4">
        <v>12.14</v>
      </c>
      <c r="FG10" s="5">
        <v>0.75</v>
      </c>
      <c r="FH10" s="4">
        <v>-5.07</v>
      </c>
      <c r="FI10" s="5">
        <v>0</v>
      </c>
      <c r="FJ10" s="4">
        <v>3.8800000000000003</v>
      </c>
      <c r="FK10" s="5">
        <v>0.5714285714285714</v>
      </c>
      <c r="FL10" s="4">
        <v>10.48</v>
      </c>
      <c r="FM10" s="5">
        <v>0.58333333333333337</v>
      </c>
      <c r="FN10" s="4">
        <v>-17.380000000000003</v>
      </c>
      <c r="FO10" s="5">
        <v>0.3</v>
      </c>
      <c r="FP10" s="4">
        <v>2.64</v>
      </c>
      <c r="FQ10" s="5">
        <v>0.625</v>
      </c>
      <c r="FR10" s="4">
        <v>5.76</v>
      </c>
      <c r="FS10" s="5">
        <v>0.55555555555555558</v>
      </c>
      <c r="FT10" s="4">
        <v>-1.0000000000000002</v>
      </c>
      <c r="FU10" s="5">
        <v>0.3</v>
      </c>
      <c r="FV10" s="4">
        <v>-2.87</v>
      </c>
      <c r="FW10" s="5">
        <v>0.36363636363636365</v>
      </c>
      <c r="FX10" s="4">
        <v>-4.05</v>
      </c>
      <c r="FY10" s="5">
        <v>0.36363636363636365</v>
      </c>
      <c r="FZ10" s="4">
        <v>-8.6199999999999992</v>
      </c>
      <c r="GA10" s="5">
        <v>0.18181818181818182</v>
      </c>
      <c r="GB10" s="4">
        <v>-5.59</v>
      </c>
      <c r="GC10" s="5">
        <v>0.44444444444444442</v>
      </c>
      <c r="GD10" s="4">
        <v>1.9500000000000002</v>
      </c>
      <c r="GE10" s="5">
        <v>0.54545454545454541</v>
      </c>
      <c r="GF10" s="4">
        <v>-3.3099999999999996</v>
      </c>
      <c r="GG10" s="5">
        <v>0.45454545454545453</v>
      </c>
      <c r="GH10" s="4">
        <v>-3.09</v>
      </c>
      <c r="GI10" s="5">
        <v>0.36363636363636365</v>
      </c>
      <c r="GJ10" s="4">
        <v>10.76</v>
      </c>
      <c r="GK10" s="5">
        <v>0.7</v>
      </c>
      <c r="GL10" s="4">
        <v>-5.66</v>
      </c>
      <c r="GM10" s="5">
        <v>0.33333333333333331</v>
      </c>
      <c r="GN10" s="4"/>
      <c r="GO10" s="5"/>
      <c r="GP10" s="4">
        <v>4.33</v>
      </c>
      <c r="GQ10" s="5">
        <v>0.7142857142857143</v>
      </c>
      <c r="GR10" s="4">
        <v>-21.31</v>
      </c>
      <c r="GS10" s="5">
        <v>0.4</v>
      </c>
      <c r="GT10" s="4">
        <v>12.409999999999998</v>
      </c>
      <c r="GU10" s="5">
        <v>0.63636363636363635</v>
      </c>
      <c r="GV10" s="4">
        <v>-3.8599999999999994</v>
      </c>
      <c r="GW10" s="5">
        <v>0.42857142857142855</v>
      </c>
      <c r="GX10" s="4">
        <v>-9.5</v>
      </c>
      <c r="GY10" s="5">
        <v>0.16666666666666666</v>
      </c>
      <c r="GZ10" s="4"/>
      <c r="HA10" s="5"/>
      <c r="HB10" s="4">
        <v>-9.0100000000000016</v>
      </c>
      <c r="HC10" s="5">
        <v>0.54545454545454541</v>
      </c>
      <c r="HD10" s="4">
        <v>-4.78</v>
      </c>
      <c r="HE10" s="5">
        <v>0.38461538461538464</v>
      </c>
      <c r="HF10" s="4">
        <v>-3.4999999999999991</v>
      </c>
      <c r="HG10" s="5">
        <v>0.5</v>
      </c>
      <c r="HH10" s="4">
        <v>13.09</v>
      </c>
      <c r="HI10" s="5">
        <v>0.66666666666666663</v>
      </c>
      <c r="HJ10" s="4">
        <v>-3.8299999999999992</v>
      </c>
      <c r="HK10" s="5">
        <v>0.2857142857142857</v>
      </c>
      <c r="HL10" s="4">
        <v>-6.41</v>
      </c>
      <c r="HM10" s="5">
        <v>0</v>
      </c>
      <c r="HN10" s="4">
        <v>11.01</v>
      </c>
      <c r="HO10" s="5">
        <v>0.7142857142857143</v>
      </c>
      <c r="HP10" s="4">
        <v>-1.2400000000000002</v>
      </c>
      <c r="HQ10" s="5">
        <v>0.44444444444444442</v>
      </c>
      <c r="HR10" s="4">
        <v>-15.619999999999997</v>
      </c>
      <c r="HS10" s="5">
        <v>0</v>
      </c>
      <c r="HT10" s="4">
        <v>-8.6</v>
      </c>
      <c r="HU10" s="5">
        <v>0.14285714285714285</v>
      </c>
      <c r="HV10" s="4">
        <v>-9.32</v>
      </c>
      <c r="HW10" s="5">
        <v>0.14285714285714285</v>
      </c>
      <c r="HX10" s="4"/>
      <c r="HY10" s="5"/>
      <c r="HZ10" s="4">
        <v>-8.08</v>
      </c>
      <c r="IA10" s="5">
        <v>0.45454545454545453</v>
      </c>
      <c r="IB10" s="4">
        <v>-5.0100000000000025</v>
      </c>
      <c r="IC10" s="5">
        <v>0.42857142857142855</v>
      </c>
      <c r="ID10" s="4">
        <v>-14.16</v>
      </c>
      <c r="IE10" s="5">
        <v>0.16666666666666666</v>
      </c>
      <c r="IF10" s="4">
        <v>-7.47</v>
      </c>
      <c r="IG10" s="5">
        <v>0.125</v>
      </c>
      <c r="IH10" s="4">
        <v>-0.44000000000000006</v>
      </c>
      <c r="II10" s="5">
        <v>0.42857142857142855</v>
      </c>
      <c r="IJ10" s="4">
        <v>-14.990000000000002</v>
      </c>
      <c r="IK10" s="5">
        <v>0.1111111111111111</v>
      </c>
      <c r="IL10" s="4">
        <v>8.6999999999999993</v>
      </c>
      <c r="IM10" s="5">
        <v>1</v>
      </c>
      <c r="IN10" s="4">
        <v>3.65</v>
      </c>
      <c r="IO10" s="5">
        <v>0.55555555555555558</v>
      </c>
      <c r="IP10" s="4">
        <v>-10.459999999999999</v>
      </c>
      <c r="IQ10" s="5">
        <v>0.41666666666666669</v>
      </c>
      <c r="IR10" s="4">
        <v>-1.1700000000000002</v>
      </c>
      <c r="IS10" s="5">
        <v>0.5</v>
      </c>
      <c r="IT10" s="4">
        <v>3.9699999999999998</v>
      </c>
      <c r="IU10" s="5">
        <v>0.375</v>
      </c>
      <c r="IV10" s="4">
        <v>1.8699999999999988</v>
      </c>
      <c r="IW10" s="5">
        <v>0.45454545454545453</v>
      </c>
      <c r="IX10" s="4">
        <v>-30.99</v>
      </c>
      <c r="IY10" s="5">
        <v>0.18181818181818182</v>
      </c>
      <c r="IZ10" s="4">
        <v>6.51</v>
      </c>
      <c r="JA10" s="5">
        <v>0.7142857142857143</v>
      </c>
      <c r="JB10" s="4">
        <v>-2.2700000000000005</v>
      </c>
      <c r="JC10" s="5">
        <v>0.4</v>
      </c>
      <c r="JD10" s="4">
        <v>12.94</v>
      </c>
      <c r="JE10" s="5">
        <v>0.72727272727272729</v>
      </c>
      <c r="JF10" s="4">
        <v>7.5600000000000005</v>
      </c>
      <c r="JG10" s="5">
        <v>0.66666666666666663</v>
      </c>
      <c r="JH10" s="4">
        <v>-7.58</v>
      </c>
      <c r="JI10" s="5">
        <v>0.44444444444444442</v>
      </c>
      <c r="JJ10" s="4">
        <v>-16.03</v>
      </c>
      <c r="JK10" s="5">
        <v>0.3</v>
      </c>
      <c r="JL10" s="4">
        <v>-18.18</v>
      </c>
      <c r="JM10" s="5">
        <v>0.30769230769230771</v>
      </c>
      <c r="JN10" s="4">
        <v>5.4099999999999993</v>
      </c>
      <c r="JO10" s="5">
        <v>0.5</v>
      </c>
      <c r="JP10" s="4">
        <v>-2.5999999999999996</v>
      </c>
      <c r="JQ10" s="5">
        <v>0.45454545454545453</v>
      </c>
      <c r="JR10" s="4"/>
      <c r="JS10" s="5"/>
      <c r="JT10" s="4"/>
      <c r="JU10" s="5"/>
      <c r="JV10" s="4"/>
      <c r="JW10" s="5"/>
      <c r="JX10" s="4">
        <v>-0.54999999999999982</v>
      </c>
      <c r="JY10" s="5">
        <v>0.5</v>
      </c>
      <c r="JZ10" s="4">
        <v>-9.0699999999999985</v>
      </c>
      <c r="KA10" s="5">
        <v>0.2857142857142857</v>
      </c>
      <c r="KB10" s="4">
        <v>-12.899999999999999</v>
      </c>
      <c r="KC10" s="5">
        <v>0.27272727272727271</v>
      </c>
      <c r="KD10" s="4">
        <v>8.2300000000000022</v>
      </c>
      <c r="KE10" s="5">
        <v>0.75</v>
      </c>
      <c r="KF10" s="4">
        <v>-5.9900000000000011</v>
      </c>
      <c r="KG10" s="5">
        <v>0.55555555555555558</v>
      </c>
      <c r="KH10" s="4">
        <v>8.9899999999999984</v>
      </c>
      <c r="KI10" s="5">
        <v>0.66666666666666663</v>
      </c>
      <c r="KJ10" s="4">
        <v>7.2799999999999994</v>
      </c>
      <c r="KK10" s="5">
        <v>0.58333333333333337</v>
      </c>
      <c r="KL10" s="4">
        <v>7.3500000000000014</v>
      </c>
      <c r="KM10" s="5">
        <v>0.66666666666666663</v>
      </c>
      <c r="KN10" s="4">
        <v>-12.55</v>
      </c>
      <c r="KO10" s="5">
        <v>0.2</v>
      </c>
      <c r="KP10" s="4"/>
      <c r="KQ10" s="5"/>
      <c r="KR10" s="4">
        <v>8.0200000000000014</v>
      </c>
      <c r="KS10" s="5">
        <v>0.5</v>
      </c>
      <c r="KT10" s="4"/>
      <c r="KU10" s="5"/>
      <c r="KV10" s="4">
        <v>13.25</v>
      </c>
      <c r="KW10" s="5">
        <v>0.75</v>
      </c>
      <c r="KX10" s="4">
        <v>6.9700000000000006</v>
      </c>
      <c r="KY10" s="5">
        <v>0.625</v>
      </c>
      <c r="KZ10" s="4">
        <v>-21.47</v>
      </c>
      <c r="LA10" s="5">
        <v>0.14285714285714285</v>
      </c>
      <c r="LB10" s="4">
        <v>-15.61</v>
      </c>
      <c r="LC10" s="5">
        <v>0.42857142857142855</v>
      </c>
      <c r="LD10" s="4">
        <v>2.46</v>
      </c>
      <c r="LE10" s="5">
        <v>0.55555555555555558</v>
      </c>
      <c r="LF10" s="4">
        <v>1.7600000000000002</v>
      </c>
      <c r="LG10" s="5">
        <v>0.7142857142857143</v>
      </c>
      <c r="LH10" s="4">
        <v>-9.0699999999999985</v>
      </c>
      <c r="LI10" s="5">
        <v>0.5</v>
      </c>
      <c r="LJ10" s="4"/>
      <c r="LK10" s="5"/>
      <c r="LL10" s="4">
        <v>-0.76000000000000068</v>
      </c>
      <c r="LM10" s="5">
        <v>0.66666666666666663</v>
      </c>
      <c r="LN10" s="4">
        <v>-1.0000000000001563E-2</v>
      </c>
      <c r="LO10" s="5">
        <v>0.66666666666666663</v>
      </c>
      <c r="LP10" s="4">
        <v>0.45000000000000107</v>
      </c>
      <c r="LQ10" s="5">
        <v>0.5</v>
      </c>
      <c r="LR10" s="4">
        <v>-0.6800000000000006</v>
      </c>
      <c r="LS10" s="5">
        <v>0.66666666666666663</v>
      </c>
      <c r="LT10" s="4">
        <v>-29.429999999999996</v>
      </c>
      <c r="LU10" s="5">
        <v>0.33333333333333331</v>
      </c>
      <c r="LV10" s="4">
        <v>4.4899999999999993</v>
      </c>
      <c r="LW10" s="5">
        <v>0.75</v>
      </c>
      <c r="LX10" s="4">
        <v>-35.130000000000003</v>
      </c>
      <c r="LY10" s="5">
        <v>0.33333333333333331</v>
      </c>
      <c r="LZ10" s="4">
        <v>-13.849999999999998</v>
      </c>
      <c r="MA10" s="5">
        <v>0.4</v>
      </c>
      <c r="MB10" s="4">
        <v>2.8199999999999994</v>
      </c>
      <c r="MC10" s="5">
        <v>0.66666666666666663</v>
      </c>
      <c r="MD10" s="4"/>
      <c r="ME10" s="5"/>
      <c r="MF10" s="4">
        <v>-11.63</v>
      </c>
      <c r="MG10" s="5">
        <v>0.55555555555555558</v>
      </c>
      <c r="MH10" s="4">
        <v>-20.07</v>
      </c>
      <c r="MI10" s="5">
        <v>0.5</v>
      </c>
      <c r="MJ10" s="4">
        <v>-17.41</v>
      </c>
      <c r="MK10" s="5">
        <v>0.33333333333333331</v>
      </c>
      <c r="ML10" s="4">
        <v>4.5200000000000005</v>
      </c>
      <c r="MM10" s="5">
        <v>0.7</v>
      </c>
      <c r="MN10" s="4">
        <v>-14.35</v>
      </c>
      <c r="MO10" s="5">
        <v>0.44444444444444442</v>
      </c>
      <c r="MP10" s="4">
        <v>-22.740000000000002</v>
      </c>
      <c r="MQ10" s="5">
        <v>0.2</v>
      </c>
      <c r="MR10" s="4">
        <v>-34.410000000000004</v>
      </c>
      <c r="MS10" s="5">
        <v>0.2</v>
      </c>
      <c r="MT10" s="4">
        <v>-14.96</v>
      </c>
      <c r="MU10" s="5">
        <v>0.42857142857142855</v>
      </c>
      <c r="MV10" s="4">
        <v>-12.41</v>
      </c>
      <c r="MW10" s="5">
        <v>0.2</v>
      </c>
      <c r="MX10" s="4">
        <v>4.1000000000000014</v>
      </c>
      <c r="MY10" s="5">
        <v>0.625</v>
      </c>
      <c r="MZ10" s="4">
        <v>7.51</v>
      </c>
      <c r="NA10" s="5">
        <v>0.63636363636363635</v>
      </c>
      <c r="NB10" s="4">
        <v>10.86</v>
      </c>
      <c r="NC10" s="5">
        <v>0.6</v>
      </c>
      <c r="ND10" s="4"/>
      <c r="NE10" s="5"/>
      <c r="NF10" s="4">
        <v>-40.32</v>
      </c>
      <c r="NG10" s="5">
        <v>0.1111111111111111</v>
      </c>
      <c r="NH10" s="4">
        <v>-40.32</v>
      </c>
      <c r="NI10" s="5">
        <v>0.1111111111111111</v>
      </c>
      <c r="NJ10" s="4">
        <v>16</v>
      </c>
      <c r="NK10" s="5">
        <v>0.69230769230769229</v>
      </c>
      <c r="NL10" s="4">
        <v>-27.019999999999996</v>
      </c>
      <c r="NM10" s="5">
        <v>0.3</v>
      </c>
      <c r="NN10" s="4"/>
      <c r="NO10" s="5"/>
      <c r="NP10" s="4">
        <v>-5.5</v>
      </c>
      <c r="NQ10" s="5">
        <v>0.33333333333333331</v>
      </c>
      <c r="NR10" s="4">
        <v>-7.54</v>
      </c>
      <c r="NS10" s="5">
        <v>0.5</v>
      </c>
      <c r="NT10" s="4">
        <v>-14.330000000000002</v>
      </c>
      <c r="NU10" s="5">
        <v>0.25</v>
      </c>
      <c r="NV10" s="4">
        <v>-11.03</v>
      </c>
      <c r="NW10" s="5">
        <v>0.44444444444444442</v>
      </c>
      <c r="NX10" s="4">
        <v>-15.149999999999999</v>
      </c>
      <c r="NY10" s="5">
        <v>0.5</v>
      </c>
      <c r="NZ10" s="4">
        <v>3.46</v>
      </c>
      <c r="OA10" s="5">
        <v>0.6</v>
      </c>
      <c r="OB10" s="4">
        <v>10.15</v>
      </c>
      <c r="OC10" s="5">
        <v>0.8</v>
      </c>
      <c r="OD10" s="4">
        <v>3.5399999999999996</v>
      </c>
      <c r="OE10" s="5">
        <v>0.7142857142857143</v>
      </c>
      <c r="OF10" s="4">
        <v>2.1700000000000004</v>
      </c>
      <c r="OG10" s="5">
        <v>0.6</v>
      </c>
      <c r="OH10" s="4">
        <v>-5.96</v>
      </c>
      <c r="OI10" s="5">
        <v>0.25</v>
      </c>
      <c r="OJ10" s="4"/>
      <c r="OK10" s="5"/>
      <c r="OL10" s="4">
        <v>-6.6</v>
      </c>
      <c r="OM10" s="5">
        <v>0.375</v>
      </c>
      <c r="ON10" s="4">
        <v>-28.429999999999993</v>
      </c>
      <c r="OO10" s="5">
        <v>0.1</v>
      </c>
      <c r="OP10" s="4">
        <v>0.76999999999999968</v>
      </c>
      <c r="OQ10" s="5">
        <v>0.44444444444444442</v>
      </c>
      <c r="OR10" s="4"/>
      <c r="OS10" s="5"/>
      <c r="OT10" s="4">
        <v>-7.41</v>
      </c>
      <c r="OU10" s="5">
        <v>0.54545454545454541</v>
      </c>
      <c r="OV10" s="4"/>
      <c r="OW10" s="5"/>
      <c r="OX10" s="4">
        <v>-6.4700000000000006</v>
      </c>
      <c r="OY10" s="5">
        <v>0.5</v>
      </c>
      <c r="OZ10" s="4">
        <v>2.8400000000000003</v>
      </c>
      <c r="PA10" s="5">
        <v>0.66666666666666663</v>
      </c>
      <c r="PB10" s="4">
        <v>2.7099999999999991</v>
      </c>
      <c r="PC10" s="5">
        <v>0.54545454545454541</v>
      </c>
      <c r="PD10" s="4">
        <v>-35.04999999999999</v>
      </c>
      <c r="PE10" s="5">
        <v>0.18181818181818182</v>
      </c>
      <c r="PF10" s="4">
        <v>-19.890000000000004</v>
      </c>
      <c r="PG10" s="5">
        <v>0.36363636363636365</v>
      </c>
      <c r="PH10" s="4">
        <v>2.57</v>
      </c>
      <c r="PI10" s="5">
        <v>0.72727272727272729</v>
      </c>
      <c r="PJ10" s="4"/>
      <c r="PK10" s="5"/>
      <c r="PL10" s="4">
        <v>-4.3699999999999992</v>
      </c>
      <c r="PM10" s="5">
        <v>0.54545454545454541</v>
      </c>
      <c r="PN10" s="4">
        <v>7.68</v>
      </c>
      <c r="PO10" s="5">
        <v>0.69230769230769229</v>
      </c>
      <c r="PP10" s="4">
        <v>12.030000000000001</v>
      </c>
      <c r="PQ10" s="5">
        <v>0.875</v>
      </c>
      <c r="PR10" s="4">
        <v>-20.970000000000002</v>
      </c>
      <c r="PS10" s="5">
        <v>0.25</v>
      </c>
      <c r="PT10" s="4">
        <v>-9.16</v>
      </c>
      <c r="PU10" s="5">
        <v>0.5714285714285714</v>
      </c>
      <c r="PV10" s="4">
        <v>-17.05</v>
      </c>
      <c r="PW10" s="5">
        <v>0.44444444444444442</v>
      </c>
      <c r="PX10" s="4">
        <v>-3.8999999999999995</v>
      </c>
      <c r="PY10" s="5">
        <v>0.6</v>
      </c>
      <c r="PZ10" s="4"/>
      <c r="QA10" s="5"/>
      <c r="QB10" s="4">
        <v>-11.33</v>
      </c>
      <c r="QC10" s="5">
        <v>0.5</v>
      </c>
      <c r="QD10" s="4">
        <v>-14.029999999999998</v>
      </c>
      <c r="QE10" s="5">
        <v>0.5</v>
      </c>
      <c r="QF10" s="4">
        <v>3.2599999999999989</v>
      </c>
      <c r="QG10" s="5">
        <v>0.63636363636363635</v>
      </c>
      <c r="QH10" s="4">
        <v>15.669999999999998</v>
      </c>
      <c r="QI10" s="5">
        <v>0.8</v>
      </c>
      <c r="QJ10" s="4">
        <v>-9.94</v>
      </c>
      <c r="QK10" s="5">
        <v>0.4</v>
      </c>
      <c r="QL10" s="4">
        <v>-4.7499999999999982</v>
      </c>
      <c r="QM10" s="5">
        <v>0.55555555555555558</v>
      </c>
      <c r="QN10" s="4">
        <v>-14.09</v>
      </c>
      <c r="QO10" s="5">
        <v>0.18181818181818182</v>
      </c>
      <c r="QP10" s="4">
        <v>3.1100000000000008</v>
      </c>
      <c r="QQ10" s="5">
        <v>0.5</v>
      </c>
      <c r="QR10" s="4">
        <v>-5.67</v>
      </c>
      <c r="QS10" s="5">
        <v>0.45454545454545453</v>
      </c>
      <c r="QT10" s="4">
        <v>-1.4299999999999997</v>
      </c>
      <c r="QU10" s="5">
        <v>0.5</v>
      </c>
      <c r="QV10" s="4">
        <v>0.34000000000000008</v>
      </c>
      <c r="QW10" s="5">
        <v>0.54545454545454541</v>
      </c>
      <c r="QX10" s="4">
        <v>0.98</v>
      </c>
      <c r="QY10" s="5">
        <v>0.4</v>
      </c>
      <c r="QZ10" s="4"/>
      <c r="RA10" s="5"/>
      <c r="RB10" s="4">
        <v>0.53999999999999959</v>
      </c>
      <c r="RC10" s="5">
        <v>0.41666666666666669</v>
      </c>
      <c r="RD10" s="4">
        <v>-7.5999999999999988</v>
      </c>
      <c r="RE10" s="5">
        <v>0.44444444444444442</v>
      </c>
      <c r="RF10" s="4">
        <v>-4.3999999999999995</v>
      </c>
      <c r="RG10" s="5">
        <v>0.45454545454545453</v>
      </c>
      <c r="RH10" s="4">
        <v>-2.63</v>
      </c>
      <c r="RI10" s="5">
        <v>0.42857142857142855</v>
      </c>
      <c r="RJ10" s="4">
        <v>-15.079999999999998</v>
      </c>
      <c r="RK10" s="5">
        <v>0.36363636363636365</v>
      </c>
      <c r="RL10" s="4"/>
      <c r="RM10" s="5"/>
      <c r="RN10" s="4">
        <v>-1.6100000000000003</v>
      </c>
      <c r="RO10" s="5">
        <v>0.44444444444444442</v>
      </c>
      <c r="RP10" s="4">
        <v>-1.2100000000000009</v>
      </c>
      <c r="RQ10" s="5">
        <v>0.3</v>
      </c>
      <c r="RR10" s="4"/>
      <c r="RS10" s="5"/>
      <c r="RT10" s="4">
        <v>-25.139999999999997</v>
      </c>
      <c r="RU10" s="5">
        <v>0.2</v>
      </c>
      <c r="RV10" s="4">
        <v>-12.379999999999999</v>
      </c>
      <c r="RW10" s="5">
        <v>0.5</v>
      </c>
      <c r="RX10" s="4">
        <v>-9.94</v>
      </c>
      <c r="RY10" s="5">
        <v>0.42857142857142855</v>
      </c>
      <c r="RZ10" s="4">
        <v>-0.76000000000000023</v>
      </c>
      <c r="SA10" s="5">
        <v>0.5714285714285714</v>
      </c>
      <c r="SB10" s="4">
        <v>-13.149999999999999</v>
      </c>
      <c r="SC10" s="5">
        <v>0.4</v>
      </c>
      <c r="SD10" s="4">
        <v>-2.3100000000000009</v>
      </c>
      <c r="SE10" s="5">
        <v>0.5</v>
      </c>
      <c r="SF10" s="4"/>
      <c r="SG10" s="5"/>
      <c r="SH10" s="4">
        <v>-10.77</v>
      </c>
      <c r="SI10" s="5">
        <v>0.4</v>
      </c>
      <c r="SJ10" s="4">
        <v>-9.5100000000000016</v>
      </c>
      <c r="SK10" s="5">
        <v>0.4</v>
      </c>
      <c r="SL10" s="4">
        <v>-10.929999999999998</v>
      </c>
      <c r="SM10" s="5">
        <v>0.33333333333333331</v>
      </c>
      <c r="SN10" s="4">
        <v>6.1099999999999994</v>
      </c>
      <c r="SO10" s="5">
        <v>0.625</v>
      </c>
      <c r="SP10" s="4">
        <v>0.24999999999999922</v>
      </c>
      <c r="SQ10" s="5">
        <v>0.61538461538461542</v>
      </c>
      <c r="SR10" s="4">
        <v>4.8499999999999996</v>
      </c>
      <c r="SS10" s="5">
        <v>0.5</v>
      </c>
      <c r="ST10" s="4">
        <v>-0.41000000000000025</v>
      </c>
      <c r="SU10" s="5">
        <v>0.5714285714285714</v>
      </c>
      <c r="SV10" s="4">
        <v>-3.37</v>
      </c>
      <c r="SW10" s="5">
        <v>0.5</v>
      </c>
      <c r="SX10" s="4"/>
      <c r="SY10" s="5"/>
      <c r="SZ10" s="4">
        <v>4.7300000000000004</v>
      </c>
      <c r="TA10" s="5">
        <v>0.75</v>
      </c>
      <c r="TB10" s="4">
        <v>-8.7499999999999982</v>
      </c>
      <c r="TC10" s="5">
        <v>0.27272727272727271</v>
      </c>
      <c r="TD10" s="4">
        <v>-3.2600000000000002</v>
      </c>
      <c r="TE10" s="5">
        <v>0.5714285714285714</v>
      </c>
      <c r="TF10" s="4">
        <v>-1.5199999999999996</v>
      </c>
      <c r="TG10" s="5">
        <v>0.44444444444444442</v>
      </c>
      <c r="TH10" s="4">
        <v>-10.370000000000001</v>
      </c>
      <c r="TI10" s="5">
        <v>0.22222222222222221</v>
      </c>
      <c r="TJ10" s="4">
        <v>-11.659999999999998</v>
      </c>
      <c r="TK10" s="5">
        <v>0.33333333333333331</v>
      </c>
      <c r="TL10" s="4">
        <v>-16.32</v>
      </c>
      <c r="TM10" s="5">
        <v>0.14285714285714285</v>
      </c>
      <c r="TN10" s="4"/>
      <c r="TO10" s="5"/>
      <c r="TP10" s="4">
        <v>3.49</v>
      </c>
      <c r="TQ10" s="5">
        <v>0.46153846153846156</v>
      </c>
      <c r="TR10" s="4">
        <v>-13.850000000000001</v>
      </c>
      <c r="TS10" s="5">
        <v>0.18181818181818182</v>
      </c>
      <c r="TT10" s="4">
        <v>-7.7200000000000006</v>
      </c>
      <c r="TU10" s="5">
        <v>0.4</v>
      </c>
      <c r="TV10" s="4">
        <v>-19.329999999999998</v>
      </c>
      <c r="TW10" s="5">
        <v>0.25</v>
      </c>
      <c r="TX10" s="4">
        <v>0.87000000000000055</v>
      </c>
      <c r="TY10" s="5">
        <v>0.58333333333333337</v>
      </c>
      <c r="TZ10" s="4">
        <v>1.3399999999999999</v>
      </c>
      <c r="UA10" s="5">
        <v>0.63636363636363635</v>
      </c>
      <c r="UB10" s="4">
        <v>-7.7</v>
      </c>
      <c r="UC10" s="5">
        <v>0.45454545454545453</v>
      </c>
      <c r="UD10" s="4">
        <v>-16.849999999999998</v>
      </c>
      <c r="UE10" s="5">
        <v>0.45454545454545453</v>
      </c>
      <c r="UF10" s="4">
        <v>-10.569999999999999</v>
      </c>
      <c r="UG10" s="5">
        <v>0.4</v>
      </c>
      <c r="UH10" s="4">
        <v>-0.15999999999999925</v>
      </c>
      <c r="UI10" s="5">
        <v>0.5</v>
      </c>
      <c r="UJ10" s="4">
        <v>-15.790000000000001</v>
      </c>
      <c r="UK10" s="5">
        <v>0.44444444444444442</v>
      </c>
      <c r="UL10" s="4">
        <v>-6.4400000000000013</v>
      </c>
      <c r="UM10" s="5">
        <v>0.27272727272727271</v>
      </c>
      <c r="UN10" s="4">
        <v>-9.0000000000000441E-2</v>
      </c>
      <c r="UO10" s="5">
        <v>0.54545454545454541</v>
      </c>
      <c r="UP10" s="4">
        <v>-4.9800000000000013</v>
      </c>
      <c r="UQ10" s="5">
        <v>0.5</v>
      </c>
      <c r="UR10" s="4">
        <v>-5.58</v>
      </c>
      <c r="US10" s="5">
        <v>0.5</v>
      </c>
      <c r="UT10" s="4">
        <v>-6.6599999999999993</v>
      </c>
      <c r="UU10" s="5">
        <v>0.375</v>
      </c>
      <c r="UV10" s="4">
        <v>2.02</v>
      </c>
      <c r="UW10" s="5">
        <v>0.66666666666666663</v>
      </c>
      <c r="UX10" s="4">
        <v>-1.17</v>
      </c>
      <c r="UY10" s="5">
        <v>0.6</v>
      </c>
      <c r="UZ10" s="4"/>
      <c r="VA10" s="5"/>
      <c r="VB10" s="4">
        <v>-5.2700000000000005</v>
      </c>
      <c r="VC10" s="5">
        <v>0.45454545454545453</v>
      </c>
      <c r="VD10" s="4">
        <v>11.92</v>
      </c>
      <c r="VE10" s="5">
        <v>0.83333333333333337</v>
      </c>
      <c r="VF10" s="4">
        <v>-6.0799999999999992</v>
      </c>
      <c r="VG10" s="5">
        <v>0.375</v>
      </c>
      <c r="VH10" s="4">
        <v>2.8399999999999994</v>
      </c>
      <c r="VI10" s="5">
        <v>0.7142857142857143</v>
      </c>
      <c r="VJ10" s="4">
        <v>-16.059999999999999</v>
      </c>
      <c r="VK10" s="5">
        <v>0.33333333333333331</v>
      </c>
      <c r="VL10" s="4">
        <v>3.84</v>
      </c>
      <c r="VM10" s="5">
        <v>0.7142857142857143</v>
      </c>
      <c r="VN10" s="4">
        <v>-5.5500000000000007</v>
      </c>
      <c r="VO10" s="5">
        <v>0.54545454545454541</v>
      </c>
      <c r="VP10" s="4">
        <v>-18.66</v>
      </c>
      <c r="VQ10" s="5">
        <v>0.4</v>
      </c>
      <c r="VR10" s="4"/>
      <c r="VS10" s="5"/>
      <c r="VT10" s="4">
        <v>2.4699999999999989</v>
      </c>
      <c r="VU10" s="5">
        <v>0.375</v>
      </c>
      <c r="VV10" s="4">
        <v>2.37</v>
      </c>
      <c r="VW10" s="5">
        <v>0.5</v>
      </c>
      <c r="VX10" s="4">
        <v>-1.6600000000000006</v>
      </c>
      <c r="VY10" s="5">
        <v>0.5714285714285714</v>
      </c>
      <c r="VZ10" s="4">
        <v>-11.89</v>
      </c>
      <c r="WA10" s="5">
        <v>0.125</v>
      </c>
      <c r="WB10" s="4">
        <v>-3.04</v>
      </c>
      <c r="WC10" s="5">
        <v>0.66666666666666663</v>
      </c>
      <c r="WD10" s="4">
        <v>-7.759999999999998</v>
      </c>
      <c r="WE10" s="5">
        <v>0.375</v>
      </c>
      <c r="WF10" s="4">
        <v>-21.919999999999998</v>
      </c>
      <c r="WG10" s="5">
        <v>0.33333333333333331</v>
      </c>
      <c r="WH10" s="4">
        <v>-4.4700000000000006</v>
      </c>
      <c r="WI10" s="5">
        <v>0.53846153846153844</v>
      </c>
      <c r="WJ10" s="4">
        <v>-14.469999999999997</v>
      </c>
      <c r="WK10" s="5">
        <v>0.38461538461538464</v>
      </c>
      <c r="WL10" s="4">
        <v>-2.2000000000000015</v>
      </c>
      <c r="WM10" s="5">
        <v>0.54545454545454541</v>
      </c>
      <c r="WN10" s="4">
        <v>-8.09</v>
      </c>
      <c r="WO10" s="5">
        <v>0.33333333333333331</v>
      </c>
      <c r="WP10" s="4">
        <v>-2.8</v>
      </c>
      <c r="WQ10" s="5">
        <v>0.33333333333333331</v>
      </c>
      <c r="WR10" s="4">
        <v>2.8599999999999994</v>
      </c>
      <c r="WS10" s="5">
        <v>0.5</v>
      </c>
      <c r="WT10" s="4">
        <v>4.9999999999999982</v>
      </c>
      <c r="WU10" s="5">
        <v>0.5714285714285714</v>
      </c>
      <c r="WV10" s="4">
        <v>-1.6</v>
      </c>
      <c r="WW10" s="5">
        <v>0.54545454545454541</v>
      </c>
      <c r="WX10" s="4">
        <v>5.59</v>
      </c>
      <c r="WY10" s="5">
        <v>0.625</v>
      </c>
      <c r="WZ10" s="4">
        <v>-0.21000000000000085</v>
      </c>
      <c r="XA10" s="5">
        <v>0.5</v>
      </c>
      <c r="XB10" s="4">
        <v>2.2799999999999998</v>
      </c>
      <c r="XC10" s="5">
        <v>0.66666666666666663</v>
      </c>
      <c r="XD10" s="4"/>
      <c r="XE10" s="5"/>
      <c r="XF10" s="4">
        <v>-0.83000000000000007</v>
      </c>
      <c r="XG10" s="5">
        <v>0.33333333333333331</v>
      </c>
      <c r="XH10" s="4">
        <v>-3.0400000000000005</v>
      </c>
      <c r="XI10" s="5">
        <v>0.44444444444444442</v>
      </c>
      <c r="XJ10" s="4">
        <v>-10.93</v>
      </c>
      <c r="XK10" s="5">
        <v>0.2</v>
      </c>
      <c r="XL10" s="4">
        <v>-2.65</v>
      </c>
      <c r="XM10" s="5">
        <v>0.625</v>
      </c>
      <c r="XN10" s="4">
        <v>8.75</v>
      </c>
      <c r="XO10" s="5">
        <v>0.65</v>
      </c>
      <c r="XP10" s="4">
        <v>-9.6699999999999982</v>
      </c>
      <c r="XQ10" s="5">
        <v>0.4</v>
      </c>
      <c r="XR10" s="4">
        <v>-13.98</v>
      </c>
      <c r="XS10" s="5">
        <v>0.47058823529411764</v>
      </c>
      <c r="XT10" s="4">
        <v>-14.16</v>
      </c>
      <c r="XU10" s="5">
        <v>0.18181818181818182</v>
      </c>
      <c r="XV10" s="4">
        <v>-11.860000000000001</v>
      </c>
      <c r="XW10" s="5">
        <v>0.33333333333333331</v>
      </c>
    </row>
    <row r="11" spans="2:647" x14ac:dyDescent="0.25">
      <c r="B11" s="755"/>
      <c r="C11" s="721" t="s">
        <v>10</v>
      </c>
      <c r="D11" s="757" t="s">
        <v>14</v>
      </c>
      <c r="E11" s="757"/>
      <c r="F11" s="57">
        <v>0.1</v>
      </c>
      <c r="G11" s="767" t="s">
        <v>5</v>
      </c>
      <c r="H11" s="3">
        <v>-3.8700000000000006</v>
      </c>
      <c r="I11" s="1">
        <v>0.33333333333333331</v>
      </c>
      <c r="J11" s="3">
        <v>7.75</v>
      </c>
      <c r="K11" s="1">
        <v>0.66666666666666663</v>
      </c>
      <c r="L11" s="3">
        <v>-8.06</v>
      </c>
      <c r="M11" s="1">
        <v>0.33333333333333331</v>
      </c>
      <c r="N11" s="3">
        <v>-1.1899999999999997</v>
      </c>
      <c r="O11" s="1">
        <v>0.25</v>
      </c>
      <c r="P11" s="3">
        <v>-1.595</v>
      </c>
      <c r="Q11" s="1">
        <v>0.41666666666666669</v>
      </c>
      <c r="R11" s="3">
        <v>-1.88</v>
      </c>
      <c r="S11" s="1">
        <v>0.33333333333333331</v>
      </c>
      <c r="T11" s="3"/>
      <c r="U11" s="1"/>
      <c r="V11" s="3">
        <v>3.7299999999999995</v>
      </c>
      <c r="W11" s="1">
        <v>0.54545454545454541</v>
      </c>
      <c r="X11" s="3"/>
      <c r="Y11" s="1"/>
      <c r="Z11" s="3">
        <v>-4.5649999999999995</v>
      </c>
      <c r="AA11" s="1">
        <v>0.18181818181818182</v>
      </c>
      <c r="AB11" s="3">
        <v>2.2050000000000001</v>
      </c>
      <c r="AC11" s="1">
        <v>0.5</v>
      </c>
      <c r="AD11" s="3">
        <v>1.355</v>
      </c>
      <c r="AE11" s="1">
        <v>0.5</v>
      </c>
      <c r="AF11" s="3"/>
      <c r="AG11" s="1"/>
      <c r="AH11" s="3">
        <v>-0.29999999999999993</v>
      </c>
      <c r="AI11" s="1">
        <v>0.5</v>
      </c>
      <c r="AJ11" s="3">
        <v>-3.5699999999999994</v>
      </c>
      <c r="AK11" s="1">
        <v>0.41666666666666669</v>
      </c>
      <c r="AL11" s="3">
        <v>1.5149999999999997</v>
      </c>
      <c r="AM11" s="1">
        <v>0.58333333333333337</v>
      </c>
      <c r="AN11" s="3">
        <v>-2.9049999999999998</v>
      </c>
      <c r="AO11" s="1">
        <v>0.16666666666666666</v>
      </c>
      <c r="AP11" s="3">
        <v>-6.0850000000000009</v>
      </c>
      <c r="AQ11" s="1">
        <v>0.16666666666666666</v>
      </c>
      <c r="AR11" s="3">
        <v>3.12</v>
      </c>
      <c r="AS11" s="1">
        <v>0.66666666666666663</v>
      </c>
      <c r="AT11" s="3">
        <v>0.95999999999999908</v>
      </c>
      <c r="AU11" s="1">
        <v>0.33333333333333331</v>
      </c>
      <c r="AV11" s="3">
        <v>-0.85999999999999988</v>
      </c>
      <c r="AW11" s="1">
        <v>0.5</v>
      </c>
      <c r="AX11" s="3">
        <v>4.21</v>
      </c>
      <c r="AY11" s="1">
        <v>0.75</v>
      </c>
      <c r="AZ11" s="3">
        <v>-1.7800000000000002</v>
      </c>
      <c r="BA11" s="1">
        <v>0.5</v>
      </c>
      <c r="BB11" s="3">
        <v>-2.2799999999999994</v>
      </c>
      <c r="BC11" s="1">
        <v>0.33333333333333331</v>
      </c>
      <c r="BD11" s="3">
        <v>3.0949999999999998</v>
      </c>
      <c r="BE11" s="1">
        <v>0.75</v>
      </c>
      <c r="BF11" s="3">
        <v>-1.4250000000000005</v>
      </c>
      <c r="BG11" s="1">
        <v>0.45454545454545453</v>
      </c>
      <c r="BH11" s="3">
        <v>-7.7600000000000007</v>
      </c>
      <c r="BI11" s="1">
        <v>8.3333333333333329E-2</v>
      </c>
      <c r="BJ11" s="3">
        <v>-4.6749999999999998</v>
      </c>
      <c r="BK11" s="1">
        <v>0.25</v>
      </c>
      <c r="BL11" s="3">
        <v>-1.04</v>
      </c>
      <c r="BM11" s="1">
        <v>0.25</v>
      </c>
      <c r="BN11" s="3"/>
      <c r="BO11" s="1"/>
      <c r="BP11" s="3">
        <v>2.85</v>
      </c>
      <c r="BQ11" s="1">
        <v>0.5</v>
      </c>
      <c r="BR11" s="3">
        <v>-3.92</v>
      </c>
      <c r="BS11" s="1">
        <v>0.25</v>
      </c>
      <c r="BT11" s="3"/>
      <c r="BU11" s="1"/>
      <c r="BV11" s="3">
        <v>0.34999999999999987</v>
      </c>
      <c r="BW11" s="1">
        <v>0.66666666666666663</v>
      </c>
      <c r="BX11" s="3">
        <v>-4.5549999999999997</v>
      </c>
      <c r="BY11" s="1">
        <v>0.33333333333333331</v>
      </c>
      <c r="BZ11" s="3">
        <v>-1.5099999999999998</v>
      </c>
      <c r="CA11" s="1">
        <v>0.5</v>
      </c>
      <c r="CB11" s="3">
        <v>-0.80500000000000005</v>
      </c>
      <c r="CC11" s="1">
        <v>0.66666666666666663</v>
      </c>
      <c r="CD11" s="3">
        <v>-1.115</v>
      </c>
      <c r="CE11" s="1">
        <v>0.33333333333333331</v>
      </c>
      <c r="CF11" s="3">
        <v>1.0999999999999999</v>
      </c>
      <c r="CG11" s="1">
        <v>0.58333333333333337</v>
      </c>
      <c r="CH11" s="3"/>
      <c r="CI11" s="1"/>
      <c r="CJ11" s="3">
        <v>4.5199999999999987</v>
      </c>
      <c r="CK11" s="1">
        <v>0.58333333333333337</v>
      </c>
      <c r="CL11" s="3">
        <v>-1.3599999999999999</v>
      </c>
      <c r="CM11" s="1">
        <v>0.41666666666666669</v>
      </c>
      <c r="CN11" s="3">
        <v>-0.99500000000000011</v>
      </c>
      <c r="CO11" s="1">
        <v>0.41666666666666669</v>
      </c>
      <c r="CP11" s="3">
        <v>-0.69000000000000006</v>
      </c>
      <c r="CQ11" s="1">
        <v>0.33333333333333331</v>
      </c>
      <c r="CR11" s="3">
        <v>0.38500000000000001</v>
      </c>
      <c r="CS11" s="1">
        <v>0.63636363636363635</v>
      </c>
      <c r="CT11" s="3">
        <v>-5.9499999999999984</v>
      </c>
      <c r="CU11" s="1">
        <v>0.36363636363636365</v>
      </c>
      <c r="CV11" s="3">
        <v>1.9750000000000005</v>
      </c>
      <c r="CW11" s="1">
        <v>0.58333333333333337</v>
      </c>
      <c r="CX11" s="3">
        <v>0.36500000000000044</v>
      </c>
      <c r="CY11" s="1">
        <v>0.41666666666666669</v>
      </c>
      <c r="CZ11" s="3">
        <v>-0.21000000000000046</v>
      </c>
      <c r="DA11" s="1">
        <v>0.33333333333333331</v>
      </c>
      <c r="DB11" s="3">
        <v>-8.44</v>
      </c>
      <c r="DC11" s="1">
        <v>0.41666666666666669</v>
      </c>
      <c r="DD11" s="3">
        <v>-1.9049999999999998</v>
      </c>
      <c r="DE11" s="1">
        <v>0.5</v>
      </c>
      <c r="DF11" s="3">
        <v>-3.1450000000000005</v>
      </c>
      <c r="DG11" s="1">
        <v>0.41666666666666669</v>
      </c>
      <c r="DH11" s="3">
        <v>-4.8650000000000002</v>
      </c>
      <c r="DI11" s="1">
        <v>0.36363636363636365</v>
      </c>
      <c r="DJ11" s="3">
        <v>-3.17</v>
      </c>
      <c r="DK11" s="1">
        <v>0.41666666666666669</v>
      </c>
      <c r="DL11" s="3">
        <v>7.8450000000000015</v>
      </c>
      <c r="DM11" s="1">
        <v>0.5</v>
      </c>
      <c r="DN11" s="3">
        <v>-2.82</v>
      </c>
      <c r="DO11" s="1">
        <v>0.41666666666666669</v>
      </c>
      <c r="DP11" s="3">
        <v>-5.6349999999999989</v>
      </c>
      <c r="DQ11" s="1">
        <v>0.5</v>
      </c>
      <c r="DR11" s="3"/>
      <c r="DS11" s="1"/>
      <c r="DT11" s="3">
        <v>-1.4550000000000001</v>
      </c>
      <c r="DU11" s="1">
        <v>0.5</v>
      </c>
      <c r="DV11" s="3">
        <v>5.5650000000000004</v>
      </c>
      <c r="DW11" s="1">
        <v>0.45454545454545453</v>
      </c>
      <c r="DX11" s="3">
        <v>5.5650000000000004</v>
      </c>
      <c r="DY11" s="1">
        <v>0.45454545454545453</v>
      </c>
      <c r="DZ11" s="3">
        <v>-3.33</v>
      </c>
      <c r="EA11" s="1">
        <v>0.27272727272727271</v>
      </c>
      <c r="EB11" s="3">
        <v>0.96999999999999975</v>
      </c>
      <c r="EC11" s="1">
        <v>0.5</v>
      </c>
      <c r="ED11" s="3">
        <v>2.1900000000000004</v>
      </c>
      <c r="EE11" s="1">
        <v>0.5</v>
      </c>
      <c r="EF11" s="3">
        <v>1.83</v>
      </c>
      <c r="EG11" s="1">
        <v>0.58333333333333337</v>
      </c>
      <c r="EH11" s="3">
        <v>-3.67</v>
      </c>
      <c r="EI11" s="1">
        <v>0.25</v>
      </c>
      <c r="EJ11" s="3">
        <v>-0.29999999999999982</v>
      </c>
      <c r="EK11" s="1">
        <v>0.45454545454545453</v>
      </c>
      <c r="EL11" s="3"/>
      <c r="EM11" s="1"/>
      <c r="EN11" s="3">
        <v>-6.35</v>
      </c>
      <c r="EO11" s="1">
        <v>0.41666666666666669</v>
      </c>
      <c r="EP11" s="3"/>
      <c r="EQ11" s="1"/>
      <c r="ER11" s="3">
        <v>-6.65</v>
      </c>
      <c r="ES11" s="1">
        <v>0.41666666666666669</v>
      </c>
      <c r="ET11" s="3">
        <v>3.8899999999999997</v>
      </c>
      <c r="EU11" s="1">
        <v>0.58333333333333337</v>
      </c>
      <c r="EV11" s="3">
        <v>-5.47</v>
      </c>
      <c r="EW11" s="1">
        <v>0.5</v>
      </c>
      <c r="EX11" s="3">
        <v>-6.5850000000000009</v>
      </c>
      <c r="EY11" s="1">
        <v>0.33333333333333331</v>
      </c>
      <c r="EZ11" s="3">
        <v>-1.7449999999999997</v>
      </c>
      <c r="FA11" s="1">
        <v>0.41666666666666669</v>
      </c>
      <c r="FB11" s="3">
        <v>-2.4900000000000011</v>
      </c>
      <c r="FC11" s="1">
        <v>0.5</v>
      </c>
      <c r="FD11" s="3">
        <v>8.08</v>
      </c>
      <c r="FE11" s="1">
        <v>0.54545454545454541</v>
      </c>
      <c r="FF11" s="3">
        <v>-8.2900000000000009</v>
      </c>
      <c r="FG11" s="1">
        <v>0.25</v>
      </c>
      <c r="FH11" s="3">
        <v>-3.8999999999999995</v>
      </c>
      <c r="FI11" s="1">
        <v>0.41666666666666669</v>
      </c>
      <c r="FJ11" s="3">
        <v>-4.0699999999999994</v>
      </c>
      <c r="FK11" s="1">
        <v>0.41666666666666669</v>
      </c>
      <c r="FL11" s="3">
        <v>5.410000000000001</v>
      </c>
      <c r="FM11" s="1">
        <v>0.58333333333333337</v>
      </c>
      <c r="FN11" s="3">
        <v>-2.75</v>
      </c>
      <c r="FO11" s="1">
        <v>0.25</v>
      </c>
      <c r="FP11" s="3">
        <v>-8.2499999999999982</v>
      </c>
      <c r="FQ11" s="1">
        <v>0.41666666666666669</v>
      </c>
      <c r="FR11" s="3">
        <v>4.3599999999999985</v>
      </c>
      <c r="FS11" s="1">
        <v>0.66666666666666663</v>
      </c>
      <c r="FT11" s="3">
        <v>-7.2200000000000006</v>
      </c>
      <c r="FU11" s="1">
        <v>0.33333333333333331</v>
      </c>
      <c r="FV11" s="3">
        <v>2.02</v>
      </c>
      <c r="FW11" s="1">
        <v>0.75</v>
      </c>
      <c r="FX11" s="3">
        <v>-4.9800000000000013</v>
      </c>
      <c r="FY11" s="1">
        <v>0.25</v>
      </c>
      <c r="FZ11" s="3">
        <v>-1.74</v>
      </c>
      <c r="GA11" s="1">
        <v>0.33333333333333331</v>
      </c>
      <c r="GB11" s="3">
        <v>-2.8599999999999994</v>
      </c>
      <c r="GC11" s="1">
        <v>0.5</v>
      </c>
      <c r="GD11" s="3">
        <v>2.4500000000000002</v>
      </c>
      <c r="GE11" s="1">
        <v>0.66666666666666663</v>
      </c>
      <c r="GF11" s="3">
        <v>-1.07</v>
      </c>
      <c r="GG11" s="1">
        <v>0.41666666666666669</v>
      </c>
      <c r="GH11" s="3">
        <v>-2.5099999999999998</v>
      </c>
      <c r="GI11" s="1">
        <v>0.41666666666666669</v>
      </c>
      <c r="GJ11" s="3">
        <v>0.50999999999999979</v>
      </c>
      <c r="GK11" s="1">
        <v>0.63636363636363635</v>
      </c>
      <c r="GL11" s="3">
        <v>-0.52000000000000068</v>
      </c>
      <c r="GM11" s="1">
        <v>0.54545454545454541</v>
      </c>
      <c r="GN11" s="3">
        <v>-3.96</v>
      </c>
      <c r="GO11" s="1">
        <v>0.33333333333333331</v>
      </c>
      <c r="GP11" s="3">
        <v>-0.67000000000000015</v>
      </c>
      <c r="GQ11" s="1">
        <v>0.41666666666666669</v>
      </c>
      <c r="GR11" s="3">
        <v>-5.9999999999999887E-2</v>
      </c>
      <c r="GS11" s="1">
        <v>0.58333333333333337</v>
      </c>
      <c r="GT11" s="3">
        <v>1.2600000000000005</v>
      </c>
      <c r="GU11" s="1">
        <v>0.33333333333333331</v>
      </c>
      <c r="GV11" s="3">
        <v>-3.9599999999999995</v>
      </c>
      <c r="GW11" s="1">
        <v>0.33333333333333331</v>
      </c>
      <c r="GX11" s="3"/>
      <c r="GY11" s="1"/>
      <c r="GZ11" s="3">
        <v>0.83000000000000007</v>
      </c>
      <c r="HA11" s="1">
        <v>0.58333333333333337</v>
      </c>
      <c r="HB11" s="3">
        <v>-3.2</v>
      </c>
      <c r="HC11" s="1">
        <v>0.41666666666666669</v>
      </c>
      <c r="HD11" s="76">
        <v>-4.33</v>
      </c>
      <c r="HE11" s="1">
        <v>0.25</v>
      </c>
      <c r="HF11" s="78">
        <v>3.8899999999999997</v>
      </c>
      <c r="HG11" s="1">
        <v>0.58333333333333337</v>
      </c>
      <c r="HH11" s="79">
        <v>-0.48</v>
      </c>
      <c r="HI11" s="1">
        <v>0.41666666666666669</v>
      </c>
      <c r="HJ11" s="80">
        <v>-1.3799999999999997</v>
      </c>
      <c r="HK11" s="1">
        <v>0.58333333333333337</v>
      </c>
      <c r="HL11" s="81">
        <v>-0.75000000000000011</v>
      </c>
      <c r="HM11" s="1">
        <v>0.5</v>
      </c>
      <c r="HN11" s="82">
        <v>-4.75</v>
      </c>
      <c r="HO11" s="1">
        <v>0.33333333333333331</v>
      </c>
      <c r="HP11" s="83">
        <v>1.48</v>
      </c>
      <c r="HQ11" s="1">
        <v>0.33333333333333331</v>
      </c>
      <c r="HR11" s="84">
        <v>-2.7499999999999991</v>
      </c>
      <c r="HS11" s="1">
        <v>0.25</v>
      </c>
      <c r="HT11" s="85">
        <v>-1.28</v>
      </c>
      <c r="HU11" s="1">
        <v>0.33333333333333331</v>
      </c>
      <c r="HV11" s="88">
        <v>2.3599999999999994</v>
      </c>
      <c r="HW11" s="1">
        <v>0.54545454545454541</v>
      </c>
      <c r="HX11" s="89">
        <v>-8.1799999999999979</v>
      </c>
      <c r="HY11" s="1">
        <v>0.33333333333333331</v>
      </c>
      <c r="HZ11" s="91"/>
      <c r="IA11" s="1"/>
      <c r="IB11" s="92">
        <v>-0.87000000000000011</v>
      </c>
      <c r="IC11" s="1">
        <v>0.33333333333333331</v>
      </c>
      <c r="ID11" s="93">
        <v>7.759999999999998</v>
      </c>
      <c r="IE11" s="1">
        <v>0.63636363636363635</v>
      </c>
      <c r="IF11" s="94">
        <v>1.79</v>
      </c>
      <c r="IG11" s="1">
        <v>0.5</v>
      </c>
      <c r="IH11" s="97">
        <v>1.2799999999999998</v>
      </c>
      <c r="II11" s="1">
        <v>0.54545454545454541</v>
      </c>
      <c r="IJ11" s="98">
        <v>-9.14</v>
      </c>
      <c r="IK11" s="1">
        <v>0.25</v>
      </c>
      <c r="IL11" s="99">
        <v>1.5999999999999999</v>
      </c>
      <c r="IM11" s="1">
        <v>0.66666666666666663</v>
      </c>
      <c r="IN11" s="100">
        <v>-1.5099999999999998</v>
      </c>
      <c r="IO11" s="1">
        <v>0.41666666666666669</v>
      </c>
      <c r="IP11" s="101">
        <v>1.8400000000000005</v>
      </c>
      <c r="IQ11" s="1">
        <v>0.41666666666666669</v>
      </c>
      <c r="IR11" s="102"/>
      <c r="IS11" s="1"/>
      <c r="IT11" s="103"/>
      <c r="IU11" s="1"/>
      <c r="IV11" s="104">
        <v>6.3100000000000005</v>
      </c>
      <c r="IW11" s="1">
        <v>0.66666666666666663</v>
      </c>
      <c r="IX11" s="104">
        <v>-0.39999999999999991</v>
      </c>
      <c r="IY11" s="1">
        <v>0.5</v>
      </c>
      <c r="IZ11" s="105"/>
      <c r="JA11" s="1"/>
      <c r="JB11" s="112"/>
      <c r="JC11" s="1"/>
      <c r="JD11" s="113"/>
      <c r="JE11" s="1"/>
      <c r="JF11" s="114">
        <v>-1.4600000000000002</v>
      </c>
      <c r="JG11" s="1">
        <v>0.41666666666666669</v>
      </c>
      <c r="JH11" s="115">
        <v>0.68000000000000038</v>
      </c>
      <c r="JI11" s="1">
        <v>0.5</v>
      </c>
      <c r="JJ11" s="116">
        <v>3.7100000000000004</v>
      </c>
      <c r="JK11" s="1">
        <v>0.66666666666666663</v>
      </c>
      <c r="JL11" s="117">
        <v>-1.4499999999999997</v>
      </c>
      <c r="JM11" s="1">
        <v>0.5</v>
      </c>
      <c r="JN11" s="118">
        <v>1.1199999999999999</v>
      </c>
      <c r="JO11" s="1">
        <v>0.58333333333333337</v>
      </c>
      <c r="JP11" s="119">
        <v>2.9999999999999971E-2</v>
      </c>
      <c r="JQ11" s="1">
        <v>0.41666666666666669</v>
      </c>
      <c r="JR11" s="120"/>
      <c r="JS11" s="1"/>
      <c r="JT11" s="122"/>
      <c r="JU11" s="1"/>
      <c r="JV11" s="126"/>
      <c r="JW11" s="1"/>
      <c r="JX11" s="132"/>
      <c r="JY11" s="1"/>
      <c r="JZ11" s="133">
        <v>-5.5399999999999991</v>
      </c>
      <c r="KA11" s="1">
        <v>0.33333333333333331</v>
      </c>
      <c r="KB11" s="138">
        <v>-5.6099999999999994</v>
      </c>
      <c r="KC11" s="1">
        <v>0.25</v>
      </c>
      <c r="KD11" s="140">
        <v>0.10000000000000042</v>
      </c>
      <c r="KE11" s="1">
        <v>0.5</v>
      </c>
      <c r="KF11" s="144">
        <v>-0.18000000000000016</v>
      </c>
      <c r="KG11" s="1">
        <v>0.58333333333333337</v>
      </c>
      <c r="KH11" s="148">
        <v>-1.6700000000000004</v>
      </c>
      <c r="KI11" s="1">
        <v>0.33333333333333331</v>
      </c>
      <c r="KJ11" s="152">
        <v>-2.0200000000000005</v>
      </c>
      <c r="KK11" s="1">
        <v>0.5</v>
      </c>
      <c r="KL11" s="156">
        <v>-1.3899999999999997</v>
      </c>
      <c r="KM11" s="1">
        <v>0.41666666666666669</v>
      </c>
      <c r="KN11" s="160">
        <v>1.37</v>
      </c>
      <c r="KO11" s="1">
        <v>0.66666666666666663</v>
      </c>
      <c r="KP11" s="163">
        <v>-3.36</v>
      </c>
      <c r="KQ11" s="1">
        <v>0.33333333333333331</v>
      </c>
      <c r="KR11" s="165">
        <v>-2.7800000000000002</v>
      </c>
      <c r="KS11" s="1">
        <v>0.58333333333333337</v>
      </c>
      <c r="KT11" s="168">
        <v>3.2099999999999995</v>
      </c>
      <c r="KU11" s="1">
        <v>0.58333333333333337</v>
      </c>
      <c r="KV11" s="171">
        <v>-5.6500000000000012</v>
      </c>
      <c r="KW11" s="1">
        <v>0.41666666666666669</v>
      </c>
      <c r="KX11" s="174">
        <v>-13.599999999999998</v>
      </c>
      <c r="KY11" s="1">
        <v>0.16666666666666666</v>
      </c>
      <c r="KZ11" s="179">
        <v>-2.62</v>
      </c>
      <c r="LA11" s="1">
        <v>0.5</v>
      </c>
      <c r="LB11" s="183">
        <v>-1.0000000000000231E-2</v>
      </c>
      <c r="LC11" s="1">
        <v>0.5</v>
      </c>
      <c r="LD11" s="187">
        <v>3.61</v>
      </c>
      <c r="LE11" s="1">
        <v>0.58333333333333337</v>
      </c>
      <c r="LF11" s="189">
        <v>4.629999999999999</v>
      </c>
      <c r="LG11" s="1">
        <v>0.54545454545454541</v>
      </c>
      <c r="LH11" s="191">
        <v>-6.5400000000000009</v>
      </c>
      <c r="LI11" s="1">
        <v>0.33333333333333331</v>
      </c>
      <c r="LJ11" s="194">
        <v>1.9699999999999998</v>
      </c>
      <c r="LK11" s="1">
        <v>0.5</v>
      </c>
      <c r="LL11" s="196"/>
      <c r="LM11" s="1"/>
      <c r="LN11" s="198">
        <v>-9.9499999999999993</v>
      </c>
      <c r="LO11" s="1">
        <v>0.25</v>
      </c>
      <c r="LP11" s="200">
        <v>-6.53</v>
      </c>
      <c r="LQ11" s="1">
        <v>0.5</v>
      </c>
      <c r="LR11" s="202">
        <v>-3.9200000000000004</v>
      </c>
      <c r="LS11" s="1">
        <v>0.5</v>
      </c>
      <c r="LT11" s="204">
        <v>-3.3299999999999992</v>
      </c>
      <c r="LU11" s="1">
        <v>0.41666666666666669</v>
      </c>
      <c r="LV11" s="206">
        <v>7.2899999999999983</v>
      </c>
      <c r="LW11" s="1">
        <v>0.58333333333333337</v>
      </c>
      <c r="LX11" s="208">
        <v>-0.80000000000000071</v>
      </c>
      <c r="LY11" s="1">
        <v>0.45454545454545453</v>
      </c>
      <c r="LZ11" s="210">
        <v>-11.16</v>
      </c>
      <c r="MA11" s="1">
        <v>0.41666666666666669</v>
      </c>
      <c r="MB11" s="212">
        <v>-3.16</v>
      </c>
      <c r="MC11" s="1">
        <v>0.58333333333333337</v>
      </c>
      <c r="MD11" s="214">
        <v>-5.41</v>
      </c>
      <c r="ME11" s="1">
        <v>0.33333333333333331</v>
      </c>
      <c r="MF11" s="216">
        <v>-6.6899999999999995</v>
      </c>
      <c r="MG11" s="1">
        <v>0.41666666666666669</v>
      </c>
      <c r="MH11" s="218">
        <v>2.9800000000000004</v>
      </c>
      <c r="MI11" s="1">
        <v>0.54545454545454541</v>
      </c>
      <c r="MJ11" s="220">
        <v>0.91000000000000103</v>
      </c>
      <c r="MK11" s="1">
        <v>0.46153846153846156</v>
      </c>
      <c r="ML11" s="222">
        <v>5.16</v>
      </c>
      <c r="MM11" s="1">
        <v>0.54545454545454541</v>
      </c>
      <c r="MN11" s="224">
        <v>-8.129999999999999</v>
      </c>
      <c r="MO11" s="1">
        <v>0.38461538461538464</v>
      </c>
      <c r="MP11" s="226">
        <v>-4.7799999999999994</v>
      </c>
      <c r="MQ11" s="1">
        <v>0.46153846153846156</v>
      </c>
      <c r="MR11" s="228">
        <v>-2.0999999999999992</v>
      </c>
      <c r="MS11" s="1">
        <v>0.25</v>
      </c>
      <c r="MT11" s="230">
        <v>7.0199999999999987</v>
      </c>
      <c r="MU11" s="1">
        <v>0.66666666666666663</v>
      </c>
      <c r="MV11" s="232">
        <v>0.45999999999999996</v>
      </c>
      <c r="MW11" s="1">
        <v>0.58333333333333337</v>
      </c>
      <c r="MX11" s="234">
        <v>-8.8500000000000014</v>
      </c>
      <c r="MY11" s="1">
        <v>0.33333333333333331</v>
      </c>
      <c r="MZ11" s="236">
        <v>-2.7199999999999998</v>
      </c>
      <c r="NA11" s="1">
        <v>0.25</v>
      </c>
      <c r="NB11" s="238">
        <v>-4.200000000000002</v>
      </c>
      <c r="NC11" s="1">
        <v>0.5</v>
      </c>
      <c r="ND11" s="240">
        <v>-13.709999999999999</v>
      </c>
      <c r="NE11" s="1">
        <v>0.16666666666666666</v>
      </c>
      <c r="NF11" s="242">
        <v>2.5100000000000007</v>
      </c>
      <c r="NG11" s="1">
        <v>0.58333333333333337</v>
      </c>
      <c r="NH11" s="244">
        <v>2.5100000000000007</v>
      </c>
      <c r="NI11" s="1">
        <v>0.58333333333333337</v>
      </c>
      <c r="NJ11" s="244">
        <v>3.14</v>
      </c>
      <c r="NK11" s="1">
        <v>0.33333333333333331</v>
      </c>
      <c r="NL11" s="246"/>
      <c r="NM11" s="1"/>
      <c r="NN11" s="248">
        <v>5.88</v>
      </c>
      <c r="NO11" s="1">
        <v>0.63636363636363635</v>
      </c>
      <c r="NP11" s="250">
        <v>-5.2500000000000009</v>
      </c>
      <c r="NQ11" s="1">
        <v>0.42857142857142855</v>
      </c>
      <c r="NR11" s="252">
        <v>4.8900000000000006</v>
      </c>
      <c r="NS11" s="1">
        <v>1</v>
      </c>
      <c r="NT11" s="254">
        <v>-6.6400000000000006</v>
      </c>
      <c r="NU11" s="1">
        <v>0.2</v>
      </c>
      <c r="NV11" s="256">
        <v>-3.88</v>
      </c>
      <c r="NW11" s="1">
        <v>0.42857142857142855</v>
      </c>
      <c r="NX11" s="258">
        <v>4.7300000000000004</v>
      </c>
      <c r="NY11" s="1">
        <v>0.8571428571428571</v>
      </c>
      <c r="NZ11" s="260">
        <v>-3.1199999999999997</v>
      </c>
      <c r="OA11" s="1">
        <v>0.33333333333333331</v>
      </c>
      <c r="OB11" s="262">
        <v>2.4499999999999993</v>
      </c>
      <c r="OC11" s="1">
        <v>0.5714285714285714</v>
      </c>
      <c r="OD11" s="264">
        <v>0.81000000000000028</v>
      </c>
      <c r="OE11" s="1">
        <v>0.5714285714285714</v>
      </c>
      <c r="OF11" s="266">
        <v>-5.4899999999999993</v>
      </c>
      <c r="OG11" s="1">
        <v>0.2857142857142857</v>
      </c>
      <c r="OH11" s="268">
        <v>-7.169999999999999</v>
      </c>
      <c r="OI11" s="1">
        <v>0.22222222222222221</v>
      </c>
      <c r="OJ11" s="270">
        <v>-0.52999999999999992</v>
      </c>
      <c r="OK11" s="1">
        <v>0.53846153846153844</v>
      </c>
      <c r="OL11" s="272">
        <v>-0.21000000000000052</v>
      </c>
      <c r="OM11" s="1">
        <v>0.58333333333333337</v>
      </c>
      <c r="ON11" s="274">
        <v>-7.31</v>
      </c>
      <c r="OO11" s="1">
        <v>0.5</v>
      </c>
      <c r="OP11" s="276">
        <v>-2.3999999999999995</v>
      </c>
      <c r="OQ11" s="1">
        <v>0.41666666666666669</v>
      </c>
      <c r="OR11" s="278">
        <v>5.5</v>
      </c>
      <c r="OS11" s="1">
        <v>0.41666666666666669</v>
      </c>
      <c r="OT11" s="280">
        <v>-3.1199999999999997</v>
      </c>
      <c r="OU11" s="1">
        <v>0.25</v>
      </c>
      <c r="OV11" s="282">
        <v>-3.0100000000000002</v>
      </c>
      <c r="OW11" s="1">
        <v>0.33333333333333331</v>
      </c>
      <c r="OX11" s="285">
        <v>-4.26</v>
      </c>
      <c r="OY11" s="1">
        <v>0.33333333333333331</v>
      </c>
      <c r="OZ11" s="288">
        <v>-7.6199999999999992</v>
      </c>
      <c r="PA11" s="1">
        <v>0.25</v>
      </c>
      <c r="PB11" s="292">
        <v>-4.4399999999999995</v>
      </c>
      <c r="PC11" s="1">
        <v>0.5</v>
      </c>
      <c r="PD11" s="297">
        <v>1.0900000000000003</v>
      </c>
      <c r="PE11" s="1">
        <v>0.41666666666666669</v>
      </c>
      <c r="PF11" s="298">
        <v>-3.53</v>
      </c>
      <c r="PG11" s="1">
        <v>0.41666666666666669</v>
      </c>
      <c r="PH11" s="301">
        <v>-9.8299999999999983</v>
      </c>
      <c r="PI11" s="1">
        <v>0.5</v>
      </c>
      <c r="PJ11" s="302">
        <v>0.63000000000000012</v>
      </c>
      <c r="PK11" s="1">
        <v>0.53846153846153844</v>
      </c>
      <c r="PL11" s="309"/>
      <c r="PM11" s="1"/>
      <c r="PN11" s="313"/>
      <c r="PO11" s="1"/>
      <c r="PP11" s="313">
        <v>-1.18</v>
      </c>
      <c r="PQ11" s="1">
        <v>0.5</v>
      </c>
      <c r="PR11" s="315">
        <v>-13.979999999999997</v>
      </c>
      <c r="PS11" s="1">
        <v>0.23076923076923078</v>
      </c>
      <c r="PT11" s="318">
        <v>5.4899999999999993</v>
      </c>
      <c r="PU11" s="1">
        <v>0.83333333333333337</v>
      </c>
      <c r="PV11" s="321">
        <v>-5.2000000000000011</v>
      </c>
      <c r="PW11" s="1">
        <v>0.5</v>
      </c>
      <c r="PX11" s="323">
        <v>0.81000000000000028</v>
      </c>
      <c r="PY11" s="1">
        <v>0.33333333333333331</v>
      </c>
      <c r="PZ11" s="325"/>
      <c r="QA11" s="1"/>
      <c r="QB11" s="327">
        <v>0.17000000000000037</v>
      </c>
      <c r="QC11" s="1">
        <v>0.5</v>
      </c>
      <c r="QD11" s="334">
        <v>-1.3000000000000005</v>
      </c>
      <c r="QE11" s="1">
        <v>0.41666666666666669</v>
      </c>
      <c r="QF11" s="339">
        <v>2.8899999999999997</v>
      </c>
      <c r="QG11" s="1">
        <v>0.58333333333333337</v>
      </c>
      <c r="QH11" s="345">
        <v>6.0400000000000009</v>
      </c>
      <c r="QI11" s="1">
        <v>0.53846153846153844</v>
      </c>
      <c r="QJ11" s="352">
        <v>-1.1700000000000002</v>
      </c>
      <c r="QK11" s="1">
        <v>0.5</v>
      </c>
      <c r="QL11" s="356">
        <v>1.5400000000000003</v>
      </c>
      <c r="QM11" s="1">
        <v>0.46153846153846156</v>
      </c>
      <c r="QN11" s="360">
        <v>-4.4900000000000011</v>
      </c>
      <c r="QO11" s="1">
        <v>0.25</v>
      </c>
      <c r="QP11" s="363">
        <v>-6.6</v>
      </c>
      <c r="QQ11" s="1">
        <v>0.33333333333333331</v>
      </c>
      <c r="QR11" s="366">
        <v>0.3300000000000014</v>
      </c>
      <c r="QS11" s="1">
        <v>0.5</v>
      </c>
      <c r="QT11" s="371">
        <v>-0.12000000000000016</v>
      </c>
      <c r="QU11" s="1">
        <v>0.54545454545454541</v>
      </c>
      <c r="QV11" s="374">
        <v>4.2900000000000009</v>
      </c>
      <c r="QW11" s="1">
        <v>0.58333333333333337</v>
      </c>
      <c r="QX11" s="378">
        <v>-3.0599999999999996</v>
      </c>
      <c r="QY11" s="1">
        <v>0.25</v>
      </c>
      <c r="QZ11" s="386">
        <v>1.2100000000000004</v>
      </c>
      <c r="RA11" s="1">
        <v>0.5</v>
      </c>
      <c r="RB11" s="395">
        <v>-0.69999999999999951</v>
      </c>
      <c r="RC11" s="1">
        <v>0.25</v>
      </c>
      <c r="RD11" s="399">
        <v>0.94000000000000039</v>
      </c>
      <c r="RE11" s="1">
        <v>0.25</v>
      </c>
      <c r="RF11" s="399">
        <v>3.76</v>
      </c>
      <c r="RG11" s="1">
        <v>0.66666666666666663</v>
      </c>
      <c r="RH11" s="403">
        <v>4.3100000000000005</v>
      </c>
      <c r="RI11" s="1">
        <v>0.58333333333333337</v>
      </c>
      <c r="RJ11" s="405">
        <v>-4.5600000000000005</v>
      </c>
      <c r="RK11" s="1">
        <v>0.30769230769230771</v>
      </c>
      <c r="RL11" s="407"/>
      <c r="RM11" s="1"/>
      <c r="RN11" s="410">
        <v>-0.92</v>
      </c>
      <c r="RO11" s="1">
        <v>0.5</v>
      </c>
      <c r="RP11" s="412">
        <v>-6.4399999999999995</v>
      </c>
      <c r="RQ11" s="1">
        <v>0.33333333333333331</v>
      </c>
      <c r="RR11" s="415"/>
      <c r="RS11" s="1"/>
      <c r="RT11" s="417">
        <v>-4.4999999999999982</v>
      </c>
      <c r="RU11" s="1">
        <v>0.58333333333333337</v>
      </c>
      <c r="RV11" s="422">
        <v>-4.339999999999999</v>
      </c>
      <c r="RW11" s="1">
        <v>0.53846153846153844</v>
      </c>
      <c r="RX11" s="427">
        <v>-3.78</v>
      </c>
      <c r="RY11" s="1">
        <v>0.41666666666666669</v>
      </c>
      <c r="RZ11" s="433">
        <v>-5.8099999999999987</v>
      </c>
      <c r="SA11" s="1">
        <v>0.30769230769230771</v>
      </c>
      <c r="SB11" s="436">
        <v>-3.8999999999999995</v>
      </c>
      <c r="SC11" s="1">
        <v>0.5</v>
      </c>
      <c r="SD11" s="443">
        <v>-6.45</v>
      </c>
      <c r="SE11" s="1">
        <v>0.16666666666666666</v>
      </c>
      <c r="SF11" s="445">
        <v>-0.65000000000000036</v>
      </c>
      <c r="SG11" s="1">
        <v>0.33333333333333331</v>
      </c>
      <c r="SH11" s="450">
        <v>-4.8600000000000012</v>
      </c>
      <c r="SI11" s="1">
        <v>0.33333333333333331</v>
      </c>
      <c r="SJ11" s="452">
        <v>-5.2299999999999995</v>
      </c>
      <c r="SK11" s="1">
        <v>0.25</v>
      </c>
      <c r="SL11" s="457">
        <v>3.28</v>
      </c>
      <c r="SM11" s="1">
        <v>0.75</v>
      </c>
      <c r="SN11" s="459">
        <v>-2.5300000000000002</v>
      </c>
      <c r="SO11" s="1">
        <v>0.41666666666666669</v>
      </c>
      <c r="SP11" s="461">
        <v>4.259999999999998</v>
      </c>
      <c r="SQ11" s="1">
        <v>0.58333333333333337</v>
      </c>
      <c r="SR11" s="463">
        <v>-8.379999999999999</v>
      </c>
      <c r="SS11" s="1">
        <v>0.33333333333333331</v>
      </c>
      <c r="ST11" s="464">
        <v>2.5099999999999989</v>
      </c>
      <c r="SU11" s="1">
        <v>0.53846153846153844</v>
      </c>
      <c r="SV11" s="466">
        <v>-0.83000000000000007</v>
      </c>
      <c r="SW11" s="1">
        <v>0.41666666666666669</v>
      </c>
      <c r="SX11" s="467">
        <v>-1.52</v>
      </c>
      <c r="SY11" s="1">
        <v>0.41666666666666669</v>
      </c>
      <c r="SZ11" s="469">
        <v>-1.41</v>
      </c>
      <c r="TA11" s="1">
        <v>0.41666666666666669</v>
      </c>
      <c r="TB11" s="471">
        <v>-3.4899999999999998</v>
      </c>
      <c r="TC11" s="1">
        <v>0.33333333333333331</v>
      </c>
      <c r="TD11" s="472">
        <v>-2.1800000000000002</v>
      </c>
      <c r="TE11" s="1">
        <v>0.5</v>
      </c>
      <c r="TF11" s="474">
        <v>-2.83</v>
      </c>
      <c r="TG11" s="1">
        <v>0.25</v>
      </c>
      <c r="TH11" s="488">
        <v>-5.8800000000000008</v>
      </c>
      <c r="TI11" s="1">
        <v>0.38461538461538464</v>
      </c>
      <c r="TJ11" s="489">
        <v>-0.94</v>
      </c>
      <c r="TK11" s="1">
        <v>0.53846153846153844</v>
      </c>
      <c r="TL11" s="490">
        <v>-12.24</v>
      </c>
      <c r="TM11" s="1">
        <v>0.23076923076923078</v>
      </c>
      <c r="TN11" s="495">
        <v>-0.96000000000000041</v>
      </c>
      <c r="TO11" s="1">
        <v>0.5</v>
      </c>
      <c r="TP11" s="500">
        <v>-5.6900000000000013</v>
      </c>
      <c r="TQ11" s="1">
        <v>0.16666666666666666</v>
      </c>
      <c r="TR11" s="511">
        <v>-2.23</v>
      </c>
      <c r="TS11" s="1">
        <v>0.41666666666666669</v>
      </c>
      <c r="TT11" s="515">
        <v>-1.2799999999999998</v>
      </c>
      <c r="TU11" s="1">
        <v>0.30769230769230771</v>
      </c>
      <c r="TV11" s="518">
        <v>5.4000000000000012</v>
      </c>
      <c r="TW11" s="1">
        <v>0.69230769230769229</v>
      </c>
      <c r="TX11" s="521"/>
      <c r="TY11" s="1"/>
      <c r="TZ11" s="524">
        <v>-6.03</v>
      </c>
      <c r="UA11" s="1">
        <v>9.0909090909090912E-2</v>
      </c>
      <c r="UB11" s="527">
        <v>1.08</v>
      </c>
      <c r="UC11" s="1">
        <v>0.30769230769230771</v>
      </c>
      <c r="UD11" s="530">
        <v>-8.51</v>
      </c>
      <c r="UE11" s="1">
        <v>0.30769230769230771</v>
      </c>
      <c r="UF11" s="533">
        <v>6.2700000000000005</v>
      </c>
      <c r="UG11" s="1">
        <v>0.53846153846153844</v>
      </c>
      <c r="UH11" s="536">
        <v>-3.21</v>
      </c>
      <c r="UI11" s="1">
        <v>0.23076923076923078</v>
      </c>
      <c r="UJ11" s="539">
        <v>-6.31</v>
      </c>
      <c r="UK11" s="1">
        <v>0.30769230769230771</v>
      </c>
      <c r="UL11" s="540">
        <v>-0.41999999999999982</v>
      </c>
      <c r="UM11" s="1">
        <v>0.46153846153846156</v>
      </c>
      <c r="UN11" s="543">
        <v>-2.2999999999999998</v>
      </c>
      <c r="UO11" s="1">
        <v>0.38461538461538464</v>
      </c>
      <c r="UP11" s="544">
        <v>-3.9400000000000004</v>
      </c>
      <c r="UQ11" s="1">
        <v>0.38461538461538464</v>
      </c>
      <c r="UR11" s="551">
        <v>-7.8600000000000012</v>
      </c>
      <c r="US11" s="1">
        <v>0.30769230769230771</v>
      </c>
      <c r="UT11" s="551">
        <v>-2.36</v>
      </c>
      <c r="UU11" s="1">
        <v>0.46153846153846156</v>
      </c>
      <c r="UV11" s="562">
        <v>1.3400000000000005</v>
      </c>
      <c r="UW11" s="1">
        <v>0.53846153846153844</v>
      </c>
      <c r="UX11" s="566">
        <v>-0.95000000000000018</v>
      </c>
      <c r="UY11" s="1">
        <v>0.38461538461538464</v>
      </c>
      <c r="UZ11" s="568">
        <v>-1.5999999999999999</v>
      </c>
      <c r="VA11" s="1">
        <v>0.53846153846153844</v>
      </c>
      <c r="VB11" s="572">
        <v>1.3000000000000005</v>
      </c>
      <c r="VC11" s="1">
        <v>0.30769230769230771</v>
      </c>
      <c r="VD11" s="576">
        <v>-0.15000000000000058</v>
      </c>
      <c r="VE11" s="1">
        <v>0.38461538461538464</v>
      </c>
      <c r="VF11" s="580">
        <v>-3.06</v>
      </c>
      <c r="VG11" s="1">
        <v>0.53846153846153844</v>
      </c>
      <c r="VH11" s="584">
        <v>0.62999999999999989</v>
      </c>
      <c r="VI11" s="1">
        <v>0.61538461538461542</v>
      </c>
      <c r="VJ11" s="589">
        <v>-6.7600000000000007</v>
      </c>
      <c r="VK11" s="1">
        <v>0.23076923076923078</v>
      </c>
      <c r="VL11" s="593">
        <v>-5.0900000000000007</v>
      </c>
      <c r="VM11" s="1">
        <v>0.30769230769230771</v>
      </c>
      <c r="VN11" s="597">
        <v>1.2400000000000007</v>
      </c>
      <c r="VO11" s="1">
        <v>0.53846153846153844</v>
      </c>
      <c r="VP11" s="601">
        <v>-5.2700000000000005</v>
      </c>
      <c r="VQ11" s="1">
        <v>0.23076923076923078</v>
      </c>
      <c r="VR11" s="603">
        <v>-4.6899999999999995</v>
      </c>
      <c r="VS11" s="1">
        <v>0.46153846153846156</v>
      </c>
      <c r="VT11" s="607">
        <v>-4.5200000000000014</v>
      </c>
      <c r="VU11" s="1">
        <v>0.30769230769230771</v>
      </c>
      <c r="VV11" s="609">
        <v>-4.21</v>
      </c>
      <c r="VW11" s="1">
        <v>0.46153846153846156</v>
      </c>
      <c r="VX11" s="613">
        <v>-1.0300000000000002</v>
      </c>
      <c r="VY11" s="1">
        <v>0.38461538461538464</v>
      </c>
      <c r="VZ11" s="617">
        <v>0.38000000000000012</v>
      </c>
      <c r="WA11" s="1">
        <v>0.46153846153846156</v>
      </c>
      <c r="WB11" s="619"/>
      <c r="WC11" s="1"/>
      <c r="WD11" s="624">
        <v>-7.4600000000000009</v>
      </c>
      <c r="WE11" s="1">
        <v>0.38461538461538464</v>
      </c>
      <c r="WF11" s="626">
        <v>0.29999999999999993</v>
      </c>
      <c r="WG11" s="1">
        <v>0.25</v>
      </c>
      <c r="WH11" s="630">
        <v>-4.33</v>
      </c>
      <c r="WI11" s="1">
        <v>0.38461538461538464</v>
      </c>
      <c r="WJ11" s="636">
        <v>-2.5499999999999998</v>
      </c>
      <c r="WK11" s="1">
        <v>0.38461538461538464</v>
      </c>
      <c r="WL11" s="638">
        <v>-1.5</v>
      </c>
      <c r="WM11" s="1">
        <v>0.30769230769230771</v>
      </c>
      <c r="WN11" s="642">
        <v>1.2</v>
      </c>
      <c r="WO11" s="1">
        <v>0.53846153846153844</v>
      </c>
      <c r="WP11" s="646">
        <v>0.83999999999999986</v>
      </c>
      <c r="WQ11" s="1">
        <v>0.5</v>
      </c>
      <c r="WR11" s="652">
        <v>-4.59</v>
      </c>
      <c r="WS11" s="1">
        <v>0.23076923076923078</v>
      </c>
      <c r="WT11" s="659">
        <v>1.4400000000000004</v>
      </c>
      <c r="WU11" s="1">
        <v>0.61538461538461542</v>
      </c>
      <c r="WV11" s="659">
        <v>-8.2900000000000009</v>
      </c>
      <c r="WW11" s="1">
        <v>0.15384615384615385</v>
      </c>
      <c r="WX11" s="672">
        <v>0.44000000000000056</v>
      </c>
      <c r="WY11" s="1">
        <v>0.58333333333333337</v>
      </c>
      <c r="WZ11" s="677"/>
      <c r="XA11" s="1"/>
      <c r="XB11" s="681">
        <v>1.1199999999999997</v>
      </c>
      <c r="XC11" s="1">
        <v>0.46153846153846156</v>
      </c>
      <c r="XD11" s="683">
        <v>-2.4599999999999991</v>
      </c>
      <c r="XE11" s="1">
        <v>0.30769230769230771</v>
      </c>
      <c r="XF11" s="687">
        <v>-4.67</v>
      </c>
      <c r="XG11" s="1">
        <v>0.15384615384615385</v>
      </c>
      <c r="XH11" s="689">
        <v>-3.5400000000000005</v>
      </c>
      <c r="XI11" s="1">
        <v>0.46153846153846156</v>
      </c>
      <c r="XJ11" s="696">
        <v>-0.50000000000000022</v>
      </c>
      <c r="XK11" s="1">
        <v>0.46153846153846156</v>
      </c>
      <c r="XL11" s="696">
        <v>-4.91</v>
      </c>
      <c r="XM11" s="1">
        <v>0.30769230769230771</v>
      </c>
      <c r="XN11" s="696">
        <v>-2.93</v>
      </c>
      <c r="XO11" s="1">
        <v>0.42307692307692307</v>
      </c>
      <c r="XP11" s="700">
        <v>4.3400000000000007</v>
      </c>
      <c r="XQ11" s="1">
        <v>0.61538461538461542</v>
      </c>
      <c r="XR11" s="705">
        <v>2.46</v>
      </c>
      <c r="XS11" s="1">
        <v>0.53846153846153844</v>
      </c>
      <c r="XT11" s="709">
        <v>-6.080000000000001</v>
      </c>
      <c r="XU11" s="1">
        <v>0.30769230769230771</v>
      </c>
      <c r="XV11" s="715"/>
      <c r="XW11" s="1"/>
    </row>
    <row r="12" spans="2:647" x14ac:dyDescent="0.25">
      <c r="B12" s="755"/>
      <c r="C12" s="763"/>
      <c r="D12" s="757" t="s">
        <v>7</v>
      </c>
      <c r="E12" s="757"/>
      <c r="F12" s="57">
        <v>0.2</v>
      </c>
      <c r="G12" s="768"/>
      <c r="H12" s="3">
        <v>4.4999999999999984E-2</v>
      </c>
      <c r="I12" s="1">
        <v>0.42857142857142855</v>
      </c>
      <c r="J12" s="3">
        <v>1.95625</v>
      </c>
      <c r="K12" s="1">
        <v>0.66666666666666663</v>
      </c>
      <c r="L12" s="3">
        <v>-4.4562499999999989</v>
      </c>
      <c r="M12" s="1">
        <v>0.2857142857142857</v>
      </c>
      <c r="N12" s="3">
        <v>-7.9999999999999988E-2</v>
      </c>
      <c r="O12" s="1">
        <v>0.5</v>
      </c>
      <c r="P12" s="3">
        <v>0.16500000000000001</v>
      </c>
      <c r="Q12" s="1">
        <v>0.66666666666666663</v>
      </c>
      <c r="R12" s="3">
        <v>-1.4824999999999999</v>
      </c>
      <c r="S12" s="1">
        <v>0</v>
      </c>
      <c r="T12" s="3"/>
      <c r="U12" s="1"/>
      <c r="V12" s="3">
        <v>-0.41999999999999993</v>
      </c>
      <c r="W12" s="1">
        <v>0.5</v>
      </c>
      <c r="X12" s="3"/>
      <c r="Y12" s="1"/>
      <c r="Z12" s="3">
        <v>-1.1637500000000001</v>
      </c>
      <c r="AA12" s="1">
        <v>0.33333333333333331</v>
      </c>
      <c r="AB12" s="3">
        <v>0.36125000000000002</v>
      </c>
      <c r="AC12" s="1">
        <v>0.66666666666666663</v>
      </c>
      <c r="AD12" s="3">
        <v>2.13625</v>
      </c>
      <c r="AE12" s="1">
        <v>0.7142857142857143</v>
      </c>
      <c r="AF12" s="3"/>
      <c r="AG12" s="1"/>
      <c r="AH12" s="3">
        <v>0.12749999999999995</v>
      </c>
      <c r="AI12" s="1">
        <v>0.6</v>
      </c>
      <c r="AJ12" s="3">
        <v>-0.68499999999999994</v>
      </c>
      <c r="AK12" s="1">
        <v>0.44444444444444442</v>
      </c>
      <c r="AL12" s="3">
        <v>1.44625</v>
      </c>
      <c r="AM12" s="1">
        <v>0.5</v>
      </c>
      <c r="AN12" s="3">
        <v>1.2262499999999998</v>
      </c>
      <c r="AO12" s="1">
        <v>0.66666666666666663</v>
      </c>
      <c r="AP12" s="3">
        <v>-0.26124999999999987</v>
      </c>
      <c r="AQ12" s="1">
        <v>0.5</v>
      </c>
      <c r="AR12" s="3">
        <v>0.51374999999999993</v>
      </c>
      <c r="AS12" s="1">
        <v>0.4</v>
      </c>
      <c r="AT12" s="3">
        <v>-1.4124999999999999</v>
      </c>
      <c r="AU12" s="1">
        <v>0.2857142857142857</v>
      </c>
      <c r="AV12" s="3">
        <v>0.10499999999999998</v>
      </c>
      <c r="AW12" s="1">
        <v>0.5</v>
      </c>
      <c r="AX12" s="3">
        <v>0.86875000000000002</v>
      </c>
      <c r="AY12" s="1">
        <v>0.75</v>
      </c>
      <c r="AZ12" s="3">
        <v>-2.8149999999999995</v>
      </c>
      <c r="BA12" s="1">
        <v>0.44444444444444442</v>
      </c>
      <c r="BB12" s="3">
        <v>-1.0299999999999998</v>
      </c>
      <c r="BC12" s="1">
        <v>0.33333333333333331</v>
      </c>
      <c r="BD12" s="3">
        <v>1.9225000000000003</v>
      </c>
      <c r="BE12" s="1">
        <v>0.625</v>
      </c>
      <c r="BF12" s="3">
        <v>-0.40500000000000003</v>
      </c>
      <c r="BG12" s="1">
        <v>0.33333333333333331</v>
      </c>
      <c r="BH12" s="3">
        <v>-2.9312499999999999</v>
      </c>
      <c r="BI12" s="1">
        <v>0.16666666666666666</v>
      </c>
      <c r="BJ12" s="3">
        <v>-1.105</v>
      </c>
      <c r="BK12" s="1">
        <v>0.4</v>
      </c>
      <c r="BL12" s="3">
        <v>-0.76750000000000007</v>
      </c>
      <c r="BM12" s="1">
        <v>0.33333333333333331</v>
      </c>
      <c r="BN12" s="3"/>
      <c r="BO12" s="1"/>
      <c r="BP12" s="3">
        <v>0.43375000000000008</v>
      </c>
      <c r="BQ12" s="1">
        <v>0.5</v>
      </c>
      <c r="BR12" s="3">
        <v>-1.6537500000000001</v>
      </c>
      <c r="BS12" s="1">
        <v>0.16666666666666666</v>
      </c>
      <c r="BT12" s="3"/>
      <c r="BU12" s="1"/>
      <c r="BV12" s="3">
        <v>3.8625000000000003</v>
      </c>
      <c r="BW12" s="1">
        <v>1</v>
      </c>
      <c r="BX12" s="3">
        <v>4.3750000000000067E-2</v>
      </c>
      <c r="BY12" s="1">
        <v>0.66666666666666663</v>
      </c>
      <c r="BZ12" s="3">
        <v>-0.20374999999999999</v>
      </c>
      <c r="CA12" s="1">
        <v>0.4</v>
      </c>
      <c r="CB12" s="3">
        <v>1.8287500000000001</v>
      </c>
      <c r="CC12" s="1">
        <v>1</v>
      </c>
      <c r="CD12" s="3">
        <v>-0.15625</v>
      </c>
      <c r="CE12" s="1">
        <v>0.33333333333333331</v>
      </c>
      <c r="CF12" s="3">
        <v>-0.94375000000000009</v>
      </c>
      <c r="CG12" s="1">
        <v>0.5</v>
      </c>
      <c r="CH12" s="3"/>
      <c r="CI12" s="1"/>
      <c r="CJ12" s="3">
        <v>-0.98124999999999996</v>
      </c>
      <c r="CK12" s="1">
        <v>0.42857142857142855</v>
      </c>
      <c r="CL12" s="3">
        <v>0.58250000000000002</v>
      </c>
      <c r="CM12" s="1">
        <v>0.6</v>
      </c>
      <c r="CN12" s="3">
        <v>-1.7375</v>
      </c>
      <c r="CO12" s="1">
        <v>0.33333333333333331</v>
      </c>
      <c r="CP12" s="3">
        <v>-1.085</v>
      </c>
      <c r="CQ12" s="1">
        <v>0.4</v>
      </c>
      <c r="CR12" s="3">
        <v>-0.75375000000000003</v>
      </c>
      <c r="CS12" s="1">
        <v>0.5</v>
      </c>
      <c r="CT12" s="3">
        <v>-3.5300000000000002</v>
      </c>
      <c r="CU12" s="1">
        <v>0.2</v>
      </c>
      <c r="CV12" s="3">
        <v>0.44125000000000003</v>
      </c>
      <c r="CW12" s="1">
        <v>0.4</v>
      </c>
      <c r="CX12" s="3">
        <v>-2.7125000000000004</v>
      </c>
      <c r="CY12" s="1">
        <v>0.5</v>
      </c>
      <c r="CZ12" s="3">
        <v>-0.90875000000000006</v>
      </c>
      <c r="DA12" s="1">
        <v>0.6</v>
      </c>
      <c r="DB12" s="3">
        <v>0.30500000000000038</v>
      </c>
      <c r="DC12" s="1">
        <v>0.66666666666666663</v>
      </c>
      <c r="DD12" s="3">
        <v>0.71250000000000002</v>
      </c>
      <c r="DE12" s="1">
        <v>0.55555555555555558</v>
      </c>
      <c r="DF12" s="3">
        <v>0.89249999999999996</v>
      </c>
      <c r="DG12" s="1">
        <v>0.6</v>
      </c>
      <c r="DH12" s="3">
        <v>-3.0999999999999996</v>
      </c>
      <c r="DI12" s="1">
        <v>0.4</v>
      </c>
      <c r="DJ12" s="3">
        <v>-3.8162500000000001</v>
      </c>
      <c r="DK12" s="1">
        <v>0.25</v>
      </c>
      <c r="DL12" s="3">
        <v>2.8475000000000001</v>
      </c>
      <c r="DM12" s="1">
        <v>0.8571428571428571</v>
      </c>
      <c r="DN12" s="3">
        <v>-1.8762500000000002</v>
      </c>
      <c r="DO12" s="1">
        <v>0.33333333333333331</v>
      </c>
      <c r="DP12" s="3">
        <v>-1.3449999999999998</v>
      </c>
      <c r="DQ12" s="1">
        <v>0.5714285714285714</v>
      </c>
      <c r="DR12" s="3"/>
      <c r="DS12" s="1"/>
      <c r="DT12" s="3">
        <v>0.68625000000000003</v>
      </c>
      <c r="DU12" s="1">
        <v>0.5</v>
      </c>
      <c r="DV12" s="3">
        <v>-0.94624999999999981</v>
      </c>
      <c r="DW12" s="1">
        <v>0.5</v>
      </c>
      <c r="DX12" s="3">
        <v>-0.94624999999999981</v>
      </c>
      <c r="DY12" s="1">
        <v>0.5</v>
      </c>
      <c r="DZ12" s="3">
        <v>1.3325</v>
      </c>
      <c r="EA12" s="1">
        <v>0.66666666666666663</v>
      </c>
      <c r="EB12" s="3">
        <v>1.3787499999999999</v>
      </c>
      <c r="EC12" s="1">
        <v>0.75</v>
      </c>
      <c r="ED12" s="3">
        <v>-0.74249999999999994</v>
      </c>
      <c r="EE12" s="1">
        <v>0.5</v>
      </c>
      <c r="EF12" s="3">
        <v>5.4999999999999938E-2</v>
      </c>
      <c r="EG12" s="1">
        <v>0.5</v>
      </c>
      <c r="EH12" s="3">
        <v>0.43124999999999991</v>
      </c>
      <c r="EI12" s="1">
        <v>0.5</v>
      </c>
      <c r="EJ12" s="3">
        <v>0.17874999999999999</v>
      </c>
      <c r="EK12" s="1">
        <v>0.4</v>
      </c>
      <c r="EL12" s="3"/>
      <c r="EM12" s="1"/>
      <c r="EN12" s="3">
        <v>1.93</v>
      </c>
      <c r="EO12" s="1">
        <v>1</v>
      </c>
      <c r="EP12" s="3"/>
      <c r="EQ12" s="1"/>
      <c r="ER12" s="3">
        <v>-2.7937500000000002</v>
      </c>
      <c r="ES12" s="1">
        <v>0.42857142857142855</v>
      </c>
      <c r="ET12" s="3">
        <v>-0.97875000000000012</v>
      </c>
      <c r="EU12" s="1">
        <v>0.5</v>
      </c>
      <c r="EV12" s="3">
        <v>0.40750000000000003</v>
      </c>
      <c r="EW12" s="1">
        <v>0.8</v>
      </c>
      <c r="EX12" s="3">
        <v>-3.8062499999999999</v>
      </c>
      <c r="EY12" s="1">
        <v>0.375</v>
      </c>
      <c r="EZ12" s="3">
        <v>-1.6900000000000002</v>
      </c>
      <c r="FA12" s="1">
        <v>0.33333333333333331</v>
      </c>
      <c r="FB12" s="3">
        <v>-0.56999999999999995</v>
      </c>
      <c r="FC12" s="1">
        <v>0.5714285714285714</v>
      </c>
      <c r="FD12" s="3">
        <v>4.8</v>
      </c>
      <c r="FE12" s="1">
        <v>0.66666666666666663</v>
      </c>
      <c r="FF12" s="3">
        <v>-3.41</v>
      </c>
      <c r="FG12" s="1">
        <v>0.4</v>
      </c>
      <c r="FH12" s="3">
        <v>-6.66</v>
      </c>
      <c r="FI12" s="1">
        <v>0</v>
      </c>
      <c r="FJ12" s="3">
        <v>-2.88</v>
      </c>
      <c r="FK12" s="1">
        <v>0.33333333333333331</v>
      </c>
      <c r="FL12" s="3">
        <v>3.0399999999999996</v>
      </c>
      <c r="FM12" s="1">
        <v>0.5714285714285714</v>
      </c>
      <c r="FN12" s="3">
        <v>-6.6400000000000006</v>
      </c>
      <c r="FO12" s="1">
        <v>0.125</v>
      </c>
      <c r="FP12" s="3">
        <v>-7.0000000000000062E-2</v>
      </c>
      <c r="FQ12" s="1">
        <v>0.4</v>
      </c>
      <c r="FR12" s="3">
        <v>3.51</v>
      </c>
      <c r="FS12" s="1">
        <v>0.7142857142857143</v>
      </c>
      <c r="FT12" s="3">
        <v>0.33999999999999986</v>
      </c>
      <c r="FU12" s="1">
        <v>0.5</v>
      </c>
      <c r="FV12" s="3">
        <v>4.2</v>
      </c>
      <c r="FW12" s="1">
        <v>0.8571428571428571</v>
      </c>
      <c r="FX12" s="3">
        <v>1.0699999999999996</v>
      </c>
      <c r="FY12" s="1">
        <v>0.4</v>
      </c>
      <c r="FZ12" s="3">
        <v>-0.14999999999999997</v>
      </c>
      <c r="GA12" s="1">
        <v>0.66666666666666663</v>
      </c>
      <c r="GB12" s="3">
        <v>1.8399999999999999</v>
      </c>
      <c r="GC12" s="1">
        <v>1</v>
      </c>
      <c r="GD12" s="3">
        <v>1.58</v>
      </c>
      <c r="GE12" s="1">
        <v>0.5</v>
      </c>
      <c r="GF12" s="3">
        <v>-4.96</v>
      </c>
      <c r="GG12" s="1">
        <v>0.2</v>
      </c>
      <c r="GH12" s="3">
        <v>-2.17</v>
      </c>
      <c r="GI12" s="1">
        <v>0</v>
      </c>
      <c r="GJ12" s="3">
        <v>7.0000000000000062E-2</v>
      </c>
      <c r="GK12" s="1">
        <v>0.6</v>
      </c>
      <c r="GL12" s="3">
        <v>4.74</v>
      </c>
      <c r="GM12" s="1">
        <v>0.7142857142857143</v>
      </c>
      <c r="GN12" s="3">
        <v>-4.29</v>
      </c>
      <c r="GO12" s="1">
        <v>0</v>
      </c>
      <c r="GP12" s="3">
        <v>-2.4499999999999997</v>
      </c>
      <c r="GQ12" s="1">
        <v>0.44444444444444442</v>
      </c>
      <c r="GR12" s="3">
        <v>1.46</v>
      </c>
      <c r="GS12" s="1">
        <v>0.66666666666666663</v>
      </c>
      <c r="GT12" s="3">
        <v>-5.870000000000001</v>
      </c>
      <c r="GU12" s="1">
        <v>0.22222222222222221</v>
      </c>
      <c r="GV12" s="3">
        <v>-1.38</v>
      </c>
      <c r="GW12" s="1">
        <v>0.25</v>
      </c>
      <c r="GX12" s="3"/>
      <c r="GY12" s="1"/>
      <c r="GZ12" s="3">
        <v>0.44000000000000006</v>
      </c>
      <c r="HA12" s="1">
        <v>0.66666666666666663</v>
      </c>
      <c r="HB12" s="3">
        <v>-0.22999999999999987</v>
      </c>
      <c r="HC12" s="1">
        <v>0.5</v>
      </c>
      <c r="HD12" s="76">
        <v>-1.35</v>
      </c>
      <c r="HE12" s="1">
        <v>0.25</v>
      </c>
      <c r="HF12" s="78">
        <v>1.37</v>
      </c>
      <c r="HG12" s="1">
        <v>0.66666666666666663</v>
      </c>
      <c r="HH12" s="79">
        <v>-1.3599999999999999</v>
      </c>
      <c r="HI12" s="1">
        <v>0.5</v>
      </c>
      <c r="HJ12" s="80">
        <v>1.4899999999999998</v>
      </c>
      <c r="HK12" s="1">
        <v>0.5714285714285714</v>
      </c>
      <c r="HL12" s="81">
        <v>-0.52999999999999992</v>
      </c>
      <c r="HM12" s="1">
        <v>0.5</v>
      </c>
      <c r="HN12" s="82">
        <v>-3.37</v>
      </c>
      <c r="HO12" s="1">
        <v>0.16666666666666666</v>
      </c>
      <c r="HP12" s="83">
        <v>-1.19</v>
      </c>
      <c r="HQ12" s="1">
        <v>0.2857142857142857</v>
      </c>
      <c r="HR12" s="84">
        <v>-1.8000000000000003</v>
      </c>
      <c r="HS12" s="1">
        <v>0.2</v>
      </c>
      <c r="HT12" s="85">
        <v>-0.35000000000000009</v>
      </c>
      <c r="HU12" s="1">
        <v>0.33333333333333331</v>
      </c>
      <c r="HV12" s="88">
        <v>-0.72</v>
      </c>
      <c r="HW12" s="1">
        <v>0.5</v>
      </c>
      <c r="HX12" s="89">
        <v>1.94</v>
      </c>
      <c r="HY12" s="1">
        <v>0.75</v>
      </c>
      <c r="HZ12" s="91"/>
      <c r="IA12" s="1"/>
      <c r="IB12" s="92">
        <v>0.37999999999999989</v>
      </c>
      <c r="IC12" s="1">
        <v>0.5</v>
      </c>
      <c r="ID12" s="93">
        <v>-1.27</v>
      </c>
      <c r="IE12" s="1">
        <v>0</v>
      </c>
      <c r="IF12" s="94">
        <v>-1.46</v>
      </c>
      <c r="IG12" s="1">
        <v>0.5</v>
      </c>
      <c r="IH12" s="97">
        <v>-0.33</v>
      </c>
      <c r="II12" s="1">
        <v>0.33333333333333331</v>
      </c>
      <c r="IJ12" s="98">
        <v>-2.4</v>
      </c>
      <c r="IK12" s="1">
        <v>0</v>
      </c>
      <c r="IL12" s="99">
        <v>1.33</v>
      </c>
      <c r="IM12" s="1">
        <v>0.75</v>
      </c>
      <c r="IN12" s="100">
        <v>-0.12000000000000022</v>
      </c>
      <c r="IO12" s="1">
        <v>0.5</v>
      </c>
      <c r="IP12" s="101">
        <v>-3.03</v>
      </c>
      <c r="IQ12" s="1">
        <v>0</v>
      </c>
      <c r="IR12" s="102"/>
      <c r="IS12" s="1"/>
      <c r="IT12" s="103"/>
      <c r="IU12" s="1"/>
      <c r="IV12" s="104">
        <v>-0.40000000000000013</v>
      </c>
      <c r="IW12" s="1">
        <v>0.5</v>
      </c>
      <c r="IX12" s="104">
        <v>-5.08</v>
      </c>
      <c r="IY12" s="1">
        <v>0</v>
      </c>
      <c r="IZ12" s="105"/>
      <c r="JA12" s="1"/>
      <c r="JB12" s="112"/>
      <c r="JC12" s="1"/>
      <c r="JD12" s="113"/>
      <c r="JE12" s="1"/>
      <c r="JF12" s="114">
        <v>-1.7499999999999998</v>
      </c>
      <c r="JG12" s="1">
        <v>0.5</v>
      </c>
      <c r="JH12" s="115">
        <v>2.54</v>
      </c>
      <c r="JI12" s="1">
        <v>1</v>
      </c>
      <c r="JJ12" s="116">
        <v>0.64</v>
      </c>
      <c r="JK12" s="1">
        <v>0.5</v>
      </c>
      <c r="JL12" s="117">
        <v>-9.9999999999998979E-3</v>
      </c>
      <c r="JM12" s="1">
        <v>0.5</v>
      </c>
      <c r="JN12" s="118">
        <v>-1.71</v>
      </c>
      <c r="JO12" s="1">
        <v>0.5</v>
      </c>
      <c r="JP12" s="119">
        <v>2.0499999999999998</v>
      </c>
      <c r="JQ12" s="1">
        <v>0.75</v>
      </c>
      <c r="JR12" s="120"/>
      <c r="JS12" s="1"/>
      <c r="JT12" s="122"/>
      <c r="JU12" s="1"/>
      <c r="JV12" s="126"/>
      <c r="JW12" s="1"/>
      <c r="JX12" s="132"/>
      <c r="JY12" s="1"/>
      <c r="JZ12" s="133">
        <v>-4.0000000000000258E-2</v>
      </c>
      <c r="KA12" s="1">
        <v>0.66666666666666663</v>
      </c>
      <c r="KB12" s="138">
        <v>-3.61</v>
      </c>
      <c r="KC12" s="1">
        <v>0</v>
      </c>
      <c r="KD12" s="140">
        <v>2.6100000000000003</v>
      </c>
      <c r="KE12" s="1">
        <v>0.6</v>
      </c>
      <c r="KF12" s="144">
        <v>3.14</v>
      </c>
      <c r="KG12" s="1">
        <v>1</v>
      </c>
      <c r="KH12" s="148">
        <v>0.48</v>
      </c>
      <c r="KI12" s="1">
        <v>0.5</v>
      </c>
      <c r="KJ12" s="152">
        <v>-6.0400000000000009</v>
      </c>
      <c r="KK12" s="1">
        <v>0.25</v>
      </c>
      <c r="KL12" s="156">
        <v>-2.4299999999999997</v>
      </c>
      <c r="KM12" s="1">
        <v>0.25</v>
      </c>
      <c r="KN12" s="160">
        <v>-0.8600000000000001</v>
      </c>
      <c r="KO12" s="1">
        <v>0.33333333333333331</v>
      </c>
      <c r="KP12" s="163">
        <v>0.16999999999999993</v>
      </c>
      <c r="KQ12" s="1">
        <v>0.5</v>
      </c>
      <c r="KR12" s="165">
        <v>1.7099999999999997</v>
      </c>
      <c r="KS12" s="1">
        <v>0.75</v>
      </c>
      <c r="KT12" s="168">
        <v>2.63</v>
      </c>
      <c r="KU12" s="1">
        <v>0.66666666666666663</v>
      </c>
      <c r="KV12" s="171">
        <v>-6.83</v>
      </c>
      <c r="KW12" s="1">
        <v>0</v>
      </c>
      <c r="KX12" s="174">
        <v>-8.8000000000000007</v>
      </c>
      <c r="KY12" s="1">
        <v>0</v>
      </c>
      <c r="KZ12" s="179">
        <v>2.82</v>
      </c>
      <c r="LA12" s="1">
        <v>1</v>
      </c>
      <c r="LB12" s="183">
        <v>-7.42</v>
      </c>
      <c r="LC12" s="1">
        <v>0.2857142857142857</v>
      </c>
      <c r="LD12" s="187">
        <v>-6.06</v>
      </c>
      <c r="LE12" s="1">
        <v>0</v>
      </c>
      <c r="LF12" s="189">
        <v>4.3</v>
      </c>
      <c r="LG12" s="1">
        <v>1</v>
      </c>
      <c r="LH12" s="191">
        <v>-6.34</v>
      </c>
      <c r="LI12" s="1">
        <v>0.4</v>
      </c>
      <c r="LJ12" s="194">
        <v>2.8899999999999997</v>
      </c>
      <c r="LK12" s="1">
        <v>1</v>
      </c>
      <c r="LL12" s="196"/>
      <c r="LM12" s="1"/>
      <c r="LN12" s="198">
        <v>-0.22999999999999998</v>
      </c>
      <c r="LO12" s="1">
        <v>0.5</v>
      </c>
      <c r="LP12" s="200">
        <v>0.75</v>
      </c>
      <c r="LQ12" s="1">
        <v>0.7142857142857143</v>
      </c>
      <c r="LR12" s="202">
        <v>5.81</v>
      </c>
      <c r="LS12" s="1">
        <v>1</v>
      </c>
      <c r="LT12" s="204">
        <v>-3.37</v>
      </c>
      <c r="LU12" s="1">
        <v>0.5</v>
      </c>
      <c r="LV12" s="206">
        <v>-2.52</v>
      </c>
      <c r="LW12" s="1">
        <v>0.6</v>
      </c>
      <c r="LX12" s="208">
        <v>-2.99</v>
      </c>
      <c r="LY12" s="1">
        <v>0.5</v>
      </c>
      <c r="LZ12" s="210">
        <v>2.7600000000000002</v>
      </c>
      <c r="MA12" s="1">
        <v>0.75</v>
      </c>
      <c r="MB12" s="212">
        <v>-16.05</v>
      </c>
      <c r="MC12" s="1">
        <v>0.14285714285714285</v>
      </c>
      <c r="MD12" s="214">
        <v>-8.93</v>
      </c>
      <c r="ME12" s="1">
        <v>0</v>
      </c>
      <c r="MF12" s="216">
        <v>1.9499999999999995</v>
      </c>
      <c r="MG12" s="1">
        <v>0.7142857142857143</v>
      </c>
      <c r="MH12" s="218">
        <v>-3.03</v>
      </c>
      <c r="MI12" s="1">
        <v>0</v>
      </c>
      <c r="MJ12" s="220">
        <v>1.3099999999999996</v>
      </c>
      <c r="MK12" s="1">
        <v>0.75</v>
      </c>
      <c r="ML12" s="222">
        <v>1.44</v>
      </c>
      <c r="MM12" s="1">
        <v>1</v>
      </c>
      <c r="MN12" s="224">
        <v>-6.12</v>
      </c>
      <c r="MO12" s="1">
        <v>0</v>
      </c>
      <c r="MP12" s="226">
        <v>1.64</v>
      </c>
      <c r="MQ12" s="1">
        <v>0.75</v>
      </c>
      <c r="MR12" s="228">
        <v>0.40999999999999992</v>
      </c>
      <c r="MS12" s="1">
        <v>0.5</v>
      </c>
      <c r="MT12" s="230">
        <v>4.33</v>
      </c>
      <c r="MU12" s="1">
        <v>1</v>
      </c>
      <c r="MV12" s="232">
        <v>1.3799999999999997</v>
      </c>
      <c r="MW12" s="1">
        <v>0.75</v>
      </c>
      <c r="MX12" s="234">
        <v>-6.0600000000000005</v>
      </c>
      <c r="MY12" s="1">
        <v>0</v>
      </c>
      <c r="MZ12" s="236">
        <v>1.2699999999999991</v>
      </c>
      <c r="NA12" s="1">
        <v>0.75</v>
      </c>
      <c r="NB12" s="238">
        <v>-2.21</v>
      </c>
      <c r="NC12" s="1">
        <v>0.5</v>
      </c>
      <c r="ND12" s="240">
        <v>-9.26</v>
      </c>
      <c r="NE12" s="1">
        <v>0</v>
      </c>
      <c r="NF12" s="242">
        <v>-4.7</v>
      </c>
      <c r="NG12" s="1">
        <v>0.33333333333333331</v>
      </c>
      <c r="NH12" s="244">
        <v>-4.7</v>
      </c>
      <c r="NI12" s="1">
        <v>0.33333333333333331</v>
      </c>
      <c r="NJ12" s="244">
        <v>0.19999999999999996</v>
      </c>
      <c r="NK12" s="1">
        <v>0.5</v>
      </c>
      <c r="NL12" s="246"/>
      <c r="NM12" s="1"/>
      <c r="NN12" s="248">
        <v>0.8899999999999999</v>
      </c>
      <c r="NO12" s="1">
        <v>0.66666666666666663</v>
      </c>
      <c r="NP12" s="250">
        <v>-3.03</v>
      </c>
      <c r="NQ12" s="1">
        <v>0</v>
      </c>
      <c r="NR12" s="252"/>
      <c r="NS12" s="1"/>
      <c r="NT12" s="254">
        <v>2.08</v>
      </c>
      <c r="NU12" s="1">
        <v>0.66666666666666663</v>
      </c>
      <c r="NV12" s="256">
        <v>-6.6899999999999995</v>
      </c>
      <c r="NW12" s="1">
        <v>0</v>
      </c>
      <c r="NX12" s="258">
        <v>1.45</v>
      </c>
      <c r="NY12" s="1">
        <v>1</v>
      </c>
      <c r="NZ12" s="260">
        <v>-2.99</v>
      </c>
      <c r="OA12" s="1">
        <v>0</v>
      </c>
      <c r="OB12" s="262">
        <v>1.47</v>
      </c>
      <c r="OC12" s="1">
        <v>0.5</v>
      </c>
      <c r="OD12" s="264">
        <v>7.9999999999999849E-2</v>
      </c>
      <c r="OE12" s="1">
        <v>0.5</v>
      </c>
      <c r="OF12" s="266">
        <v>-2.96</v>
      </c>
      <c r="OG12" s="1">
        <v>0.25</v>
      </c>
      <c r="OH12" s="268">
        <v>2.3099999999999996</v>
      </c>
      <c r="OI12" s="1">
        <v>0.75</v>
      </c>
      <c r="OJ12" s="270">
        <v>-3.49</v>
      </c>
      <c r="OK12" s="1">
        <v>0.33333333333333331</v>
      </c>
      <c r="OL12" s="272">
        <v>2.86</v>
      </c>
      <c r="OM12" s="1">
        <v>1</v>
      </c>
      <c r="ON12" s="274">
        <v>-1.21</v>
      </c>
      <c r="OO12" s="1">
        <v>0.5</v>
      </c>
      <c r="OP12" s="276">
        <v>-1.98</v>
      </c>
      <c r="OQ12" s="1">
        <v>0.33333333333333331</v>
      </c>
      <c r="OR12" s="278">
        <v>-1.4100000000000001</v>
      </c>
      <c r="OS12" s="1">
        <v>0.66666666666666663</v>
      </c>
      <c r="OT12" s="280">
        <v>-0.66999999999999993</v>
      </c>
      <c r="OU12" s="1">
        <v>0.5</v>
      </c>
      <c r="OV12" s="282">
        <v>-5.1999999999999993</v>
      </c>
      <c r="OW12" s="1">
        <v>0</v>
      </c>
      <c r="OX12" s="285">
        <v>-1.1599999999999997</v>
      </c>
      <c r="OY12" s="1">
        <v>0.5</v>
      </c>
      <c r="OZ12" s="288">
        <v>0.25999999999999979</v>
      </c>
      <c r="PA12" s="1">
        <v>0.66666666666666663</v>
      </c>
      <c r="PB12" s="292">
        <v>-1.7000000000000002</v>
      </c>
      <c r="PC12" s="1">
        <v>0.33333333333333331</v>
      </c>
      <c r="PD12" s="297">
        <v>2.08</v>
      </c>
      <c r="PE12" s="1">
        <v>0.66666666666666663</v>
      </c>
      <c r="PF12" s="298">
        <v>0.40999999999999992</v>
      </c>
      <c r="PG12" s="1">
        <v>0.5</v>
      </c>
      <c r="PH12" s="301">
        <v>-4.71</v>
      </c>
      <c r="PI12" s="1">
        <v>0.33333333333333331</v>
      </c>
      <c r="PJ12" s="302">
        <v>0.75999999999999934</v>
      </c>
      <c r="PK12" s="1">
        <v>0.6</v>
      </c>
      <c r="PL12" s="309"/>
      <c r="PM12" s="1"/>
      <c r="PN12" s="313"/>
      <c r="PO12" s="1"/>
      <c r="PP12" s="313">
        <v>-1.7799999999999998</v>
      </c>
      <c r="PQ12" s="1">
        <v>0.6</v>
      </c>
      <c r="PR12" s="315">
        <v>-3.0000000000000027E-2</v>
      </c>
      <c r="PS12" s="1">
        <v>0.5</v>
      </c>
      <c r="PT12" s="318">
        <v>6.0699999999999994</v>
      </c>
      <c r="PU12" s="1">
        <v>1</v>
      </c>
      <c r="PV12" s="321">
        <v>-3.2699999999999996</v>
      </c>
      <c r="PW12" s="1">
        <v>0.5</v>
      </c>
      <c r="PX12" s="323">
        <v>-6.93</v>
      </c>
      <c r="PY12" s="1">
        <v>0.25</v>
      </c>
      <c r="PZ12" s="325"/>
      <c r="QA12" s="1"/>
      <c r="QB12" s="327">
        <v>-1.02</v>
      </c>
      <c r="QC12" s="1">
        <v>0.66666666666666663</v>
      </c>
      <c r="QD12" s="334">
        <v>-1.87</v>
      </c>
      <c r="QE12" s="1">
        <v>0.33333333333333331</v>
      </c>
      <c r="QF12" s="339">
        <v>-2.66</v>
      </c>
      <c r="QG12" s="1">
        <v>0.33333333333333331</v>
      </c>
      <c r="QH12" s="345">
        <v>-9.36</v>
      </c>
      <c r="QI12" s="1">
        <v>0.25</v>
      </c>
      <c r="QJ12" s="352">
        <v>2.67</v>
      </c>
      <c r="QK12" s="1">
        <v>0.66666666666666663</v>
      </c>
      <c r="QL12" s="356">
        <v>2.0999999999999996</v>
      </c>
      <c r="QM12" s="1">
        <v>0.66666666666666663</v>
      </c>
      <c r="QN12" s="360">
        <v>-1.1600000000000001</v>
      </c>
      <c r="QO12" s="1">
        <v>0.33333333333333331</v>
      </c>
      <c r="QP12" s="363">
        <v>-7.35</v>
      </c>
      <c r="QQ12" s="1">
        <v>0.33333333333333331</v>
      </c>
      <c r="QR12" s="366">
        <v>-3.23</v>
      </c>
      <c r="QS12" s="1">
        <v>0.42857142857142855</v>
      </c>
      <c r="QT12" s="371">
        <v>-3.2199999999999998</v>
      </c>
      <c r="QU12" s="1">
        <v>0.25</v>
      </c>
      <c r="QV12" s="374">
        <v>2.8499999999999996</v>
      </c>
      <c r="QW12" s="1">
        <v>1</v>
      </c>
      <c r="QX12" s="378">
        <v>-2.63</v>
      </c>
      <c r="QY12" s="1">
        <v>0.25</v>
      </c>
      <c r="QZ12" s="386">
        <v>0.39</v>
      </c>
      <c r="RA12" s="1">
        <v>1</v>
      </c>
      <c r="RB12" s="395">
        <v>-0.63</v>
      </c>
      <c r="RC12" s="1">
        <v>0</v>
      </c>
      <c r="RD12" s="399">
        <v>-4.71</v>
      </c>
      <c r="RE12" s="1">
        <v>0</v>
      </c>
      <c r="RF12" s="399">
        <v>1.52</v>
      </c>
      <c r="RG12" s="1">
        <v>0.42857142857142855</v>
      </c>
      <c r="RH12" s="403">
        <v>-0.26</v>
      </c>
      <c r="RI12" s="1">
        <v>0</v>
      </c>
      <c r="RJ12" s="405">
        <v>-1.28</v>
      </c>
      <c r="RK12" s="1">
        <v>0.33333333333333331</v>
      </c>
      <c r="RL12" s="407"/>
      <c r="RM12" s="1"/>
      <c r="RN12" s="410">
        <v>-0.7300000000000002</v>
      </c>
      <c r="RO12" s="1">
        <v>0.5</v>
      </c>
      <c r="RP12" s="412">
        <v>-2.3600000000000003</v>
      </c>
      <c r="RQ12" s="1">
        <v>0.5</v>
      </c>
      <c r="RR12" s="415"/>
      <c r="RS12" s="1"/>
      <c r="RT12" s="417">
        <v>-0.28000000000000003</v>
      </c>
      <c r="RU12" s="1">
        <v>0.66666666666666663</v>
      </c>
      <c r="RV12" s="422">
        <v>1.8199999999999998</v>
      </c>
      <c r="RW12" s="1">
        <v>1</v>
      </c>
      <c r="RX12" s="427">
        <v>-1.8599999999999997</v>
      </c>
      <c r="RY12" s="1">
        <v>0.33333333333333331</v>
      </c>
      <c r="RZ12" s="433">
        <v>-3.25</v>
      </c>
      <c r="SA12" s="1">
        <v>0.5</v>
      </c>
      <c r="SB12" s="436">
        <v>-1.6099999999999999</v>
      </c>
      <c r="SC12" s="1">
        <v>0.5</v>
      </c>
      <c r="SD12" s="443">
        <v>-8.08</v>
      </c>
      <c r="SE12" s="1">
        <v>0</v>
      </c>
      <c r="SF12" s="445">
        <v>-3.25</v>
      </c>
      <c r="SG12" s="1">
        <v>0</v>
      </c>
      <c r="SH12" s="450">
        <v>-1.62</v>
      </c>
      <c r="SI12" s="1">
        <v>0.66666666666666663</v>
      </c>
      <c r="SJ12" s="452">
        <v>-4.62</v>
      </c>
      <c r="SK12" s="1">
        <v>0.33333333333333331</v>
      </c>
      <c r="SL12" s="457">
        <v>-1.03</v>
      </c>
      <c r="SM12" s="1">
        <v>0.66666666666666663</v>
      </c>
      <c r="SN12" s="459">
        <v>-2.14</v>
      </c>
      <c r="SO12" s="1">
        <v>0.42857142857142855</v>
      </c>
      <c r="SP12" s="461">
        <v>-2.5299999999999998</v>
      </c>
      <c r="SQ12" s="1">
        <v>0.33333333333333331</v>
      </c>
      <c r="SR12" s="463">
        <v>-0.44999999999999996</v>
      </c>
      <c r="SS12" s="1">
        <v>0.25</v>
      </c>
      <c r="ST12" s="464">
        <v>0.92</v>
      </c>
      <c r="SU12" s="1">
        <v>1</v>
      </c>
      <c r="SV12" s="466">
        <v>-1.1000000000000001</v>
      </c>
      <c r="SW12" s="1">
        <v>0</v>
      </c>
      <c r="SX12" s="467">
        <v>0.39000000000000012</v>
      </c>
      <c r="SY12" s="1">
        <v>0.75</v>
      </c>
      <c r="SZ12" s="469">
        <v>0.59999999999999987</v>
      </c>
      <c r="TA12" s="1">
        <v>0.66666666666666663</v>
      </c>
      <c r="TB12" s="471">
        <v>-3.2</v>
      </c>
      <c r="TC12" s="1">
        <v>0.25</v>
      </c>
      <c r="TD12" s="472">
        <v>0.12999999999999989</v>
      </c>
      <c r="TE12" s="1">
        <v>0.33333333333333331</v>
      </c>
      <c r="TF12" s="474">
        <v>-2.11</v>
      </c>
      <c r="TG12" s="1">
        <v>0.4</v>
      </c>
      <c r="TH12" s="488">
        <v>-6.74</v>
      </c>
      <c r="TI12" s="1">
        <v>0.2</v>
      </c>
      <c r="TJ12" s="489">
        <v>-0.17000000000000015</v>
      </c>
      <c r="TK12" s="1">
        <v>0.5</v>
      </c>
      <c r="TL12" s="490">
        <v>-2.58</v>
      </c>
      <c r="TM12" s="1">
        <v>0.5</v>
      </c>
      <c r="TN12" s="495">
        <v>1.26</v>
      </c>
      <c r="TO12" s="1">
        <v>0.5</v>
      </c>
      <c r="TP12" s="500">
        <v>0.91999999999999993</v>
      </c>
      <c r="TQ12" s="1">
        <v>0.5</v>
      </c>
      <c r="TR12" s="511">
        <v>-1.34</v>
      </c>
      <c r="TS12" s="1">
        <v>0.5</v>
      </c>
      <c r="TT12" s="515">
        <v>-3.5199999999999996</v>
      </c>
      <c r="TU12" s="1">
        <v>0.25</v>
      </c>
      <c r="TV12" s="518">
        <v>-2.08</v>
      </c>
      <c r="TW12" s="1">
        <v>0.33333333333333331</v>
      </c>
      <c r="TX12" s="521"/>
      <c r="TY12" s="1"/>
      <c r="TZ12" s="524">
        <v>-4.62</v>
      </c>
      <c r="UA12" s="1">
        <v>0</v>
      </c>
      <c r="UB12" s="527">
        <v>-4.82</v>
      </c>
      <c r="UC12" s="1">
        <v>0.4</v>
      </c>
      <c r="UD12" s="530">
        <v>-7.4799999999999995</v>
      </c>
      <c r="UE12" s="1">
        <v>0</v>
      </c>
      <c r="UF12" s="533">
        <v>-1.9600000000000002</v>
      </c>
      <c r="UG12" s="1">
        <v>0.5</v>
      </c>
      <c r="UH12" s="536">
        <v>-7.3500000000000005</v>
      </c>
      <c r="UI12" s="1">
        <v>0</v>
      </c>
      <c r="UJ12" s="539">
        <v>-0.62000000000000055</v>
      </c>
      <c r="UK12" s="1">
        <v>0.6</v>
      </c>
      <c r="UL12" s="540">
        <v>1.4699999999999998</v>
      </c>
      <c r="UM12" s="1">
        <v>0.6</v>
      </c>
      <c r="UN12" s="543">
        <v>-1.58</v>
      </c>
      <c r="UO12" s="1">
        <v>0.33333333333333331</v>
      </c>
      <c r="UP12" s="544">
        <v>0.20999999999999996</v>
      </c>
      <c r="UQ12" s="1">
        <v>0.66666666666666663</v>
      </c>
      <c r="UR12" s="551">
        <v>-0.67999999999999994</v>
      </c>
      <c r="US12" s="1">
        <v>0</v>
      </c>
      <c r="UT12" s="551">
        <v>1.1100000000000001</v>
      </c>
      <c r="UU12" s="1">
        <v>1</v>
      </c>
      <c r="UV12" s="562">
        <v>-4.21</v>
      </c>
      <c r="UW12" s="1">
        <v>0</v>
      </c>
      <c r="UX12" s="566">
        <v>-0.86000000000000021</v>
      </c>
      <c r="UY12" s="1">
        <v>0.66666666666666663</v>
      </c>
      <c r="UZ12" s="568">
        <v>1.04</v>
      </c>
      <c r="VA12" s="1">
        <v>1</v>
      </c>
      <c r="VB12" s="572">
        <v>-1.19</v>
      </c>
      <c r="VC12" s="1">
        <v>0</v>
      </c>
      <c r="VD12" s="576">
        <v>2.4399999999999995</v>
      </c>
      <c r="VE12" s="1">
        <v>0.66666666666666663</v>
      </c>
      <c r="VF12" s="580">
        <v>1.5199999999999998</v>
      </c>
      <c r="VG12" s="1">
        <v>0.75</v>
      </c>
      <c r="VH12" s="584">
        <v>1.0899999999999999</v>
      </c>
      <c r="VI12" s="1">
        <v>0.75</v>
      </c>
      <c r="VJ12" s="589">
        <v>-3.31</v>
      </c>
      <c r="VK12" s="1">
        <v>0.2</v>
      </c>
      <c r="VL12" s="593">
        <v>0.40000000000000013</v>
      </c>
      <c r="VM12" s="1">
        <v>0.5</v>
      </c>
      <c r="VN12" s="597">
        <v>-4.3499999999999996</v>
      </c>
      <c r="VO12" s="1">
        <v>0.4</v>
      </c>
      <c r="VP12" s="601">
        <v>-4.0500000000000007</v>
      </c>
      <c r="VQ12" s="1">
        <v>0.4</v>
      </c>
      <c r="VR12" s="603">
        <v>0.97</v>
      </c>
      <c r="VS12" s="1">
        <v>0.5</v>
      </c>
      <c r="VT12" s="607">
        <v>1.24</v>
      </c>
      <c r="VU12" s="1">
        <v>0.5</v>
      </c>
      <c r="VV12" s="609">
        <v>-0.98</v>
      </c>
      <c r="VW12" s="1">
        <v>0.4</v>
      </c>
      <c r="VX12" s="613">
        <v>1.4</v>
      </c>
      <c r="VY12" s="1">
        <v>0.5</v>
      </c>
      <c r="VZ12" s="617">
        <v>1.64</v>
      </c>
      <c r="WA12" s="1">
        <v>0.66666666666666663</v>
      </c>
      <c r="WB12" s="619"/>
      <c r="WC12" s="1"/>
      <c r="WD12" s="624">
        <v>2.33</v>
      </c>
      <c r="WE12" s="1">
        <v>0.75</v>
      </c>
      <c r="WF12" s="626">
        <v>-0.42000000000000015</v>
      </c>
      <c r="WG12" s="1">
        <v>0.5</v>
      </c>
      <c r="WH12" s="630">
        <v>-3.9699999999999998</v>
      </c>
      <c r="WI12" s="1">
        <v>0.33333333333333331</v>
      </c>
      <c r="WJ12" s="636">
        <v>-0.98</v>
      </c>
      <c r="WK12" s="1">
        <v>0.5</v>
      </c>
      <c r="WL12" s="638">
        <v>0.28000000000000003</v>
      </c>
      <c r="WM12" s="1">
        <v>1</v>
      </c>
      <c r="WN12" s="642">
        <v>-0.43000000000000005</v>
      </c>
      <c r="WO12" s="1">
        <v>0.33333333333333331</v>
      </c>
      <c r="WP12" s="646">
        <v>-0.56999999999999984</v>
      </c>
      <c r="WQ12" s="1">
        <v>0.25</v>
      </c>
      <c r="WR12" s="652">
        <v>-2.59</v>
      </c>
      <c r="WS12" s="1">
        <v>0.25</v>
      </c>
      <c r="WT12" s="659">
        <v>1.42</v>
      </c>
      <c r="WU12" s="1">
        <v>1</v>
      </c>
      <c r="WV12" s="659">
        <v>-2.8900000000000006</v>
      </c>
      <c r="WW12" s="1">
        <v>0.16666666666666666</v>
      </c>
      <c r="WX12" s="672">
        <v>0.86</v>
      </c>
      <c r="WY12" s="1">
        <v>1</v>
      </c>
      <c r="WZ12" s="677"/>
      <c r="XA12" s="1"/>
      <c r="XB12" s="681">
        <v>-2.46</v>
      </c>
      <c r="XC12" s="1">
        <v>0.33333333333333331</v>
      </c>
      <c r="XD12" s="683">
        <v>-3.5200000000000005</v>
      </c>
      <c r="XE12" s="1">
        <v>0.25</v>
      </c>
      <c r="XF12" s="687">
        <v>-3.01</v>
      </c>
      <c r="XG12" s="1">
        <v>0.2</v>
      </c>
      <c r="XH12" s="689">
        <v>0.11000000000000001</v>
      </c>
      <c r="XI12" s="1">
        <v>0.66666666666666663</v>
      </c>
      <c r="XJ12" s="696">
        <v>-4.49</v>
      </c>
      <c r="XK12" s="1">
        <v>0.375</v>
      </c>
      <c r="XL12" s="696">
        <v>-7.8</v>
      </c>
      <c r="XM12" s="1">
        <v>0.14285714285714285</v>
      </c>
      <c r="XN12" s="696">
        <v>-5.3100000000000005</v>
      </c>
      <c r="XO12" s="1">
        <v>0.25</v>
      </c>
      <c r="XP12" s="700">
        <v>1.43</v>
      </c>
      <c r="XQ12" s="1">
        <v>1</v>
      </c>
      <c r="XR12" s="705">
        <v>-1.65</v>
      </c>
      <c r="XS12" s="1">
        <v>0.5714285714285714</v>
      </c>
      <c r="XT12" s="709">
        <v>-0.87</v>
      </c>
      <c r="XU12" s="1">
        <v>0.5</v>
      </c>
      <c r="XV12" s="715"/>
      <c r="XW12" s="1"/>
    </row>
    <row r="13" spans="2:647" x14ac:dyDescent="0.25">
      <c r="B13" s="755"/>
      <c r="C13" s="763"/>
      <c r="D13" s="757" t="s">
        <v>16</v>
      </c>
      <c r="E13" s="757"/>
      <c r="F13" s="57">
        <v>0.3</v>
      </c>
      <c r="G13" s="768"/>
      <c r="H13" s="3">
        <v>2.7811111111111111</v>
      </c>
      <c r="I13" s="1">
        <v>0.66666666666666663</v>
      </c>
      <c r="J13" s="3">
        <v>3.4833333333333329</v>
      </c>
      <c r="K13" s="1">
        <v>0.75</v>
      </c>
      <c r="L13" s="3">
        <v>-5.8588888888888899</v>
      </c>
      <c r="M13" s="1">
        <v>0.5</v>
      </c>
      <c r="N13" s="3">
        <v>2.0599999999999996</v>
      </c>
      <c r="O13" s="1">
        <v>0.75</v>
      </c>
      <c r="P13" s="3">
        <v>-0.17888888888888868</v>
      </c>
      <c r="Q13" s="1">
        <v>0.33333333333333331</v>
      </c>
      <c r="R13" s="3">
        <v>-4.7300000000000004</v>
      </c>
      <c r="S13" s="1">
        <v>0.58333333333333337</v>
      </c>
      <c r="T13" s="3"/>
      <c r="U13" s="1"/>
      <c r="V13" s="3">
        <v>-5.7266666666666675</v>
      </c>
      <c r="W13" s="1">
        <v>0.54545454545454541</v>
      </c>
      <c r="X13" s="3"/>
      <c r="Y13" s="1"/>
      <c r="Z13" s="3">
        <v>2.3044444444444445</v>
      </c>
      <c r="AA13" s="1">
        <v>0.81818181818181823</v>
      </c>
      <c r="AB13" s="3">
        <v>7.2611111111111102</v>
      </c>
      <c r="AC13" s="1">
        <v>1</v>
      </c>
      <c r="AD13" s="3">
        <v>0.30777777777777793</v>
      </c>
      <c r="AE13" s="1">
        <v>0.75</v>
      </c>
      <c r="AF13" s="3"/>
      <c r="AG13" s="1"/>
      <c r="AH13" s="3">
        <v>0.37888888888888889</v>
      </c>
      <c r="AI13" s="1">
        <v>0.75</v>
      </c>
      <c r="AJ13" s="3">
        <v>3.7799999999999989</v>
      </c>
      <c r="AK13" s="1">
        <v>0.83333333333333337</v>
      </c>
      <c r="AL13" s="3">
        <v>0.37333333333333329</v>
      </c>
      <c r="AM13" s="1">
        <v>0.75</v>
      </c>
      <c r="AN13" s="3">
        <v>-6.3288888888888888</v>
      </c>
      <c r="AO13" s="1">
        <v>0.5</v>
      </c>
      <c r="AP13" s="3">
        <v>6.7166666666666668</v>
      </c>
      <c r="AQ13" s="1">
        <v>0.91666666666666663</v>
      </c>
      <c r="AR13" s="3">
        <v>-2.0844444444444448</v>
      </c>
      <c r="AS13" s="1">
        <v>0.5</v>
      </c>
      <c r="AT13" s="3">
        <v>-2.5966666666666662</v>
      </c>
      <c r="AU13" s="1">
        <v>0.58333333333333337</v>
      </c>
      <c r="AV13" s="3">
        <v>2.7999999999999989</v>
      </c>
      <c r="AW13" s="1">
        <v>0.75</v>
      </c>
      <c r="AX13" s="3">
        <v>8.517777777777777</v>
      </c>
      <c r="AY13" s="1">
        <v>1</v>
      </c>
      <c r="AZ13" s="3">
        <v>-5.8755555555555539</v>
      </c>
      <c r="BA13" s="1">
        <v>0.5</v>
      </c>
      <c r="BB13" s="3">
        <v>1.9777777777777774</v>
      </c>
      <c r="BC13" s="1">
        <v>0.75</v>
      </c>
      <c r="BD13" s="3">
        <v>-7.3600000000000012</v>
      </c>
      <c r="BE13" s="1">
        <v>0.5</v>
      </c>
      <c r="BF13" s="3">
        <v>-5.3977777777777778</v>
      </c>
      <c r="BG13" s="1">
        <v>0.36363636363636365</v>
      </c>
      <c r="BH13" s="3">
        <v>-3.8388888888888895</v>
      </c>
      <c r="BI13" s="1">
        <v>0.58333333333333337</v>
      </c>
      <c r="BJ13" s="3">
        <v>-7.1966666666666681</v>
      </c>
      <c r="BK13" s="1">
        <v>0.5</v>
      </c>
      <c r="BL13" s="3">
        <v>4.1466666666666656</v>
      </c>
      <c r="BM13" s="1">
        <v>0.75</v>
      </c>
      <c r="BN13" s="3"/>
      <c r="BO13" s="1"/>
      <c r="BP13" s="3">
        <v>-1.231111111111111</v>
      </c>
      <c r="BQ13" s="1">
        <v>0.5</v>
      </c>
      <c r="BR13" s="3">
        <v>0.32333333333333358</v>
      </c>
      <c r="BS13" s="1">
        <v>0.58333333333333337</v>
      </c>
      <c r="BT13" s="3"/>
      <c r="BU13" s="1"/>
      <c r="BV13" s="3">
        <v>6.8777777777777764</v>
      </c>
      <c r="BW13" s="1">
        <v>0.91666666666666663</v>
      </c>
      <c r="BX13" s="3">
        <v>-8.0522222222222215</v>
      </c>
      <c r="BY13" s="1">
        <v>0.33333333333333331</v>
      </c>
      <c r="BZ13" s="3">
        <v>-15.946666666666665</v>
      </c>
      <c r="CA13" s="1">
        <v>8.3333333333333329E-2</v>
      </c>
      <c r="CB13" s="3">
        <v>3.7033333333333349</v>
      </c>
      <c r="CC13" s="1">
        <v>0.83333333333333337</v>
      </c>
      <c r="CD13" s="3">
        <v>8.58</v>
      </c>
      <c r="CE13" s="1">
        <v>1</v>
      </c>
      <c r="CF13" s="3">
        <v>0.42777777777777742</v>
      </c>
      <c r="CG13" s="1">
        <v>0.75</v>
      </c>
      <c r="CH13" s="3"/>
      <c r="CI13" s="1"/>
      <c r="CJ13" s="3">
        <v>-14.206666666666667</v>
      </c>
      <c r="CK13" s="1">
        <v>0.33333333333333331</v>
      </c>
      <c r="CL13" s="3">
        <v>3.0422222222222226</v>
      </c>
      <c r="CM13" s="1">
        <v>0.83333333333333337</v>
      </c>
      <c r="CN13" s="3">
        <v>-0.92666666666666708</v>
      </c>
      <c r="CO13" s="1">
        <v>0.58333333333333337</v>
      </c>
      <c r="CP13" s="3">
        <v>-8.387777777777778</v>
      </c>
      <c r="CQ13" s="1">
        <v>0.25</v>
      </c>
      <c r="CR13" s="3">
        <v>-10.443333333333332</v>
      </c>
      <c r="CS13" s="1">
        <v>0.36363636363636365</v>
      </c>
      <c r="CT13" s="3">
        <v>-10.508888888888887</v>
      </c>
      <c r="CU13" s="1">
        <v>0.36363636363636365</v>
      </c>
      <c r="CV13" s="3">
        <v>-12.13</v>
      </c>
      <c r="CW13" s="1">
        <v>0.33333333333333331</v>
      </c>
      <c r="CX13" s="3">
        <v>-2.359999999999999</v>
      </c>
      <c r="CY13" s="1">
        <v>0.66666666666666663</v>
      </c>
      <c r="CZ13" s="3">
        <v>4.2611111111111093</v>
      </c>
      <c r="DA13" s="1">
        <v>0.83333333333333337</v>
      </c>
      <c r="DB13" s="3">
        <v>0.95333333333333314</v>
      </c>
      <c r="DC13" s="1">
        <v>0.75</v>
      </c>
      <c r="DD13" s="3">
        <v>7.1355555555555572</v>
      </c>
      <c r="DE13" s="1">
        <v>0.91666666666666663</v>
      </c>
      <c r="DF13" s="3">
        <v>3.1577777777777771</v>
      </c>
      <c r="DG13" s="1">
        <v>0.83333333333333337</v>
      </c>
      <c r="DH13" s="3">
        <v>-1.0022222222222212</v>
      </c>
      <c r="DI13" s="1">
        <v>0.7</v>
      </c>
      <c r="DJ13" s="3">
        <v>-13.547777777777776</v>
      </c>
      <c r="DK13" s="1">
        <v>0.33333333333333331</v>
      </c>
      <c r="DL13" s="3">
        <v>0.76</v>
      </c>
      <c r="DM13" s="1">
        <v>0.75</v>
      </c>
      <c r="DN13" s="3">
        <v>-2.5122222222222219</v>
      </c>
      <c r="DO13" s="1">
        <v>0.58333333333333337</v>
      </c>
      <c r="DP13" s="3">
        <v>-4.2</v>
      </c>
      <c r="DQ13" s="1">
        <v>0.5</v>
      </c>
      <c r="DR13" s="3"/>
      <c r="DS13" s="1"/>
      <c r="DT13" s="3">
        <v>2.5211111111111109</v>
      </c>
      <c r="DU13" s="1">
        <v>0.83333333333333337</v>
      </c>
      <c r="DV13" s="3">
        <v>-6.9711111111111101</v>
      </c>
      <c r="DW13" s="1">
        <v>0.44444444444444442</v>
      </c>
      <c r="DX13" s="3">
        <v>-6.9711111111111101</v>
      </c>
      <c r="DY13" s="1">
        <v>0.44444444444444442</v>
      </c>
      <c r="DZ13" s="3">
        <v>2.52</v>
      </c>
      <c r="EA13" s="1">
        <v>0.81818181818181823</v>
      </c>
      <c r="EB13" s="3">
        <v>5.82</v>
      </c>
      <c r="EC13" s="1">
        <v>0.91666666666666663</v>
      </c>
      <c r="ED13" s="3">
        <v>3.0422222222222226</v>
      </c>
      <c r="EE13" s="1">
        <v>0.83333333333333337</v>
      </c>
      <c r="EF13" s="3">
        <v>-1.6188888888888893</v>
      </c>
      <c r="EG13" s="1">
        <v>0.66666666666666663</v>
      </c>
      <c r="EH13" s="3">
        <v>1.0055555555555553</v>
      </c>
      <c r="EI13" s="1">
        <v>0.58333333333333337</v>
      </c>
      <c r="EJ13" s="3">
        <v>-0.8066666666666662</v>
      </c>
      <c r="EK13" s="1">
        <v>0.72727272727272729</v>
      </c>
      <c r="EL13" s="3"/>
      <c r="EM13" s="1"/>
      <c r="EN13" s="3">
        <v>-0.41222222222222205</v>
      </c>
      <c r="EO13" s="1">
        <v>0.66666666666666663</v>
      </c>
      <c r="EP13" s="3"/>
      <c r="EQ13" s="1"/>
      <c r="ER13" s="3">
        <v>1.2700000000000005</v>
      </c>
      <c r="ES13" s="1">
        <v>0.75</v>
      </c>
      <c r="ET13" s="3">
        <v>0.43888888888888883</v>
      </c>
      <c r="EU13" s="1">
        <v>0.75</v>
      </c>
      <c r="EV13" s="3">
        <v>-2.4666666666666668</v>
      </c>
      <c r="EW13" s="1">
        <v>0.66666666666666663</v>
      </c>
      <c r="EX13" s="3">
        <v>1.4255555555555557</v>
      </c>
      <c r="EY13" s="1">
        <v>0.75</v>
      </c>
      <c r="EZ13" s="3">
        <v>-6.2033333333333331</v>
      </c>
      <c r="FA13" s="1">
        <v>0.5</v>
      </c>
      <c r="FB13" s="3">
        <v>17.590000000000003</v>
      </c>
      <c r="FC13" s="1">
        <v>0.83333333333333337</v>
      </c>
      <c r="FD13" s="3">
        <v>-9.4600000000000009</v>
      </c>
      <c r="FE13" s="1">
        <v>0.63636363636363635</v>
      </c>
      <c r="FF13" s="3">
        <v>-8.9499999999999993</v>
      </c>
      <c r="FG13" s="1">
        <v>0.66666666666666663</v>
      </c>
      <c r="FH13" s="3">
        <v>-0.37999999999999945</v>
      </c>
      <c r="FI13" s="1">
        <v>0.66666666666666663</v>
      </c>
      <c r="FJ13" s="3">
        <v>-7.5299999999999985</v>
      </c>
      <c r="FK13" s="1">
        <v>0.66666666666666663</v>
      </c>
      <c r="FL13" s="3">
        <v>-11.560000000000002</v>
      </c>
      <c r="FM13" s="1">
        <v>0.58333333333333337</v>
      </c>
      <c r="FN13" s="3">
        <v>0.59000000000000019</v>
      </c>
      <c r="FO13" s="1">
        <v>0.58333333333333337</v>
      </c>
      <c r="FP13" s="3">
        <v>3.0399999999999991</v>
      </c>
      <c r="FQ13" s="1">
        <v>0.66666666666666663</v>
      </c>
      <c r="FR13" s="3">
        <v>1.2900000000000014</v>
      </c>
      <c r="FS13" s="1">
        <v>0.75</v>
      </c>
      <c r="FT13" s="3">
        <v>18.71</v>
      </c>
      <c r="FU13" s="1">
        <v>0.91666666666666663</v>
      </c>
      <c r="FV13" s="3">
        <v>-13.519999999999994</v>
      </c>
      <c r="FW13" s="1">
        <v>0.58333333333333337</v>
      </c>
      <c r="FX13" s="3">
        <v>25.360000000000003</v>
      </c>
      <c r="FY13" s="1">
        <v>1</v>
      </c>
      <c r="FZ13" s="3">
        <v>12.74</v>
      </c>
      <c r="GA13" s="1">
        <v>0.83333333333333337</v>
      </c>
      <c r="GB13" s="3">
        <v>1.0300000000000011</v>
      </c>
      <c r="GC13" s="1">
        <v>0.75</v>
      </c>
      <c r="GD13" s="3">
        <v>19.939999999999998</v>
      </c>
      <c r="GE13" s="1">
        <v>0.91666666666666663</v>
      </c>
      <c r="GF13" s="3">
        <v>-21.099999999999998</v>
      </c>
      <c r="GG13" s="1">
        <v>0.41666666666666669</v>
      </c>
      <c r="GH13" s="3">
        <v>-20.009999999999994</v>
      </c>
      <c r="GI13" s="1">
        <v>0.5</v>
      </c>
      <c r="GJ13" s="3">
        <v>-0.95000000000000062</v>
      </c>
      <c r="GK13" s="1">
        <v>0.72727272727272729</v>
      </c>
      <c r="GL13" s="3">
        <v>-4.5999999999999979</v>
      </c>
      <c r="GM13" s="1">
        <v>0.54545454545454541</v>
      </c>
      <c r="GN13" s="3">
        <v>1.3599999999999994</v>
      </c>
      <c r="GO13" s="1">
        <v>0.66666666666666663</v>
      </c>
      <c r="GP13" s="3">
        <v>-20.130000000000003</v>
      </c>
      <c r="GQ13" s="1">
        <v>0.5</v>
      </c>
      <c r="GR13" s="3">
        <v>-7.2900000000000009</v>
      </c>
      <c r="GS13" s="1">
        <v>0.66666666666666663</v>
      </c>
      <c r="GT13" s="3">
        <v>0.19999999999999907</v>
      </c>
      <c r="GU13" s="1">
        <v>0.66666666666666663</v>
      </c>
      <c r="GV13" s="3">
        <v>-11.21</v>
      </c>
      <c r="GW13" s="1">
        <v>0.58333333333333337</v>
      </c>
      <c r="GX13" s="3"/>
      <c r="GY13" s="1"/>
      <c r="GZ13" s="3">
        <v>-32.18</v>
      </c>
      <c r="HA13" s="1">
        <v>0.41666666666666669</v>
      </c>
      <c r="HB13" s="3">
        <v>22.7</v>
      </c>
      <c r="HC13" s="1">
        <v>1</v>
      </c>
      <c r="HD13" s="76">
        <v>-0.88999999999999924</v>
      </c>
      <c r="HE13" s="1">
        <v>0.66666666666666663</v>
      </c>
      <c r="HF13" s="78">
        <v>9.26</v>
      </c>
      <c r="HG13" s="1">
        <v>0.83333333333333337</v>
      </c>
      <c r="HH13" s="79">
        <v>-24.009999999999998</v>
      </c>
      <c r="HI13" s="1">
        <v>0.5</v>
      </c>
      <c r="HJ13" s="80">
        <v>-3.7700000000000009</v>
      </c>
      <c r="HK13" s="1">
        <v>0.58333333333333337</v>
      </c>
      <c r="HL13" s="81">
        <v>12.46</v>
      </c>
      <c r="HM13" s="1">
        <v>0.83333333333333337</v>
      </c>
      <c r="HN13" s="82">
        <v>-5.3199999999999994</v>
      </c>
      <c r="HO13" s="1">
        <v>0.66666666666666663</v>
      </c>
      <c r="HP13" s="83">
        <v>-16.649999999999999</v>
      </c>
      <c r="HQ13" s="1">
        <v>0.5</v>
      </c>
      <c r="HR13" s="84">
        <v>-7.71</v>
      </c>
      <c r="HS13" s="1">
        <v>0.41666666666666669</v>
      </c>
      <c r="HT13" s="85">
        <v>5.33</v>
      </c>
      <c r="HU13" s="1">
        <v>0.83333333333333337</v>
      </c>
      <c r="HV13" s="88">
        <v>-21.389999999999997</v>
      </c>
      <c r="HW13" s="1">
        <v>0.45454545454545453</v>
      </c>
      <c r="HX13" s="89">
        <v>8.9699999999999989</v>
      </c>
      <c r="HY13" s="1">
        <v>0.75</v>
      </c>
      <c r="HZ13" s="91"/>
      <c r="IA13" s="1"/>
      <c r="IB13" s="92">
        <v>9.1600000000000019</v>
      </c>
      <c r="IC13" s="1">
        <v>0.83333333333333337</v>
      </c>
      <c r="ID13" s="93">
        <v>-70.509999999999991</v>
      </c>
      <c r="IE13" s="1">
        <v>9.0909090909090912E-2</v>
      </c>
      <c r="IF13" s="94">
        <v>-28.299999999999994</v>
      </c>
      <c r="IG13" s="1">
        <v>0.41666666666666669</v>
      </c>
      <c r="IH13" s="97">
        <v>6.1199999999999992</v>
      </c>
      <c r="II13" s="1">
        <v>0.81818181818181823</v>
      </c>
      <c r="IJ13" s="98">
        <v>9.9700000000000006</v>
      </c>
      <c r="IK13" s="1">
        <v>0.83333333333333337</v>
      </c>
      <c r="IL13" s="99">
        <v>15.479999999999997</v>
      </c>
      <c r="IM13" s="1">
        <v>0.91666666666666663</v>
      </c>
      <c r="IN13" s="100">
        <v>16.150000000000002</v>
      </c>
      <c r="IO13" s="1">
        <v>0.75</v>
      </c>
      <c r="IP13" s="101">
        <v>6.4099999999999993</v>
      </c>
      <c r="IQ13" s="1">
        <v>0.75</v>
      </c>
      <c r="IR13" s="102"/>
      <c r="IS13" s="1"/>
      <c r="IT13" s="103"/>
      <c r="IU13" s="1"/>
      <c r="IV13" s="104">
        <v>3.2200000000000006</v>
      </c>
      <c r="IW13" s="1">
        <v>0.75</v>
      </c>
      <c r="IX13" s="104">
        <v>-13.16</v>
      </c>
      <c r="IY13" s="1">
        <v>0.58333333333333337</v>
      </c>
      <c r="IZ13" s="105"/>
      <c r="JA13" s="1"/>
      <c r="JB13" s="112"/>
      <c r="JC13" s="1"/>
      <c r="JD13" s="113"/>
      <c r="JE13" s="1"/>
      <c r="JF13" s="114">
        <v>3.7199999999999984</v>
      </c>
      <c r="JG13" s="1">
        <v>0.66666666666666663</v>
      </c>
      <c r="JH13" s="115">
        <v>17.48</v>
      </c>
      <c r="JI13" s="1">
        <v>0.91666666666666663</v>
      </c>
      <c r="JJ13" s="116">
        <v>15.729999999999999</v>
      </c>
      <c r="JK13" s="1">
        <v>0.83333333333333337</v>
      </c>
      <c r="JL13" s="117">
        <v>18.55</v>
      </c>
      <c r="JM13" s="1">
        <v>0.91666666666666663</v>
      </c>
      <c r="JN13" s="118">
        <v>-15.280000000000001</v>
      </c>
      <c r="JO13" s="1">
        <v>0.41666666666666669</v>
      </c>
      <c r="JP13" s="119">
        <v>-5.9999999999999498E-2</v>
      </c>
      <c r="JQ13" s="1">
        <v>0.66666666666666663</v>
      </c>
      <c r="JR13" s="120"/>
      <c r="JS13" s="1"/>
      <c r="JT13" s="122"/>
      <c r="JU13" s="1"/>
      <c r="JV13" s="126"/>
      <c r="JW13" s="1"/>
      <c r="JX13" s="132"/>
      <c r="JY13" s="1"/>
      <c r="JZ13" s="133">
        <v>2.6899999999999991</v>
      </c>
      <c r="KA13" s="1">
        <v>0.75</v>
      </c>
      <c r="KB13" s="138">
        <v>-6.8899999999999988</v>
      </c>
      <c r="KC13" s="1">
        <v>0.66666666666666663</v>
      </c>
      <c r="KD13" s="140">
        <v>16.190000000000001</v>
      </c>
      <c r="KE13" s="1">
        <v>0.83333333333333337</v>
      </c>
      <c r="KF13" s="144">
        <v>-0.87999999999999945</v>
      </c>
      <c r="KG13" s="1">
        <v>0.66666666666666663</v>
      </c>
      <c r="KH13" s="148">
        <v>-20.6</v>
      </c>
      <c r="KI13" s="1">
        <v>0.5</v>
      </c>
      <c r="KJ13" s="152">
        <v>3.5399999999999983</v>
      </c>
      <c r="KK13" s="1">
        <v>0.75</v>
      </c>
      <c r="KL13" s="156">
        <v>1.3200000000000005</v>
      </c>
      <c r="KM13" s="1">
        <v>0.66666666666666663</v>
      </c>
      <c r="KN13" s="160">
        <v>-0.87000000000000077</v>
      </c>
      <c r="KO13" s="1">
        <v>0.41666666666666669</v>
      </c>
      <c r="KP13" s="163">
        <v>8.6</v>
      </c>
      <c r="KQ13" s="1">
        <v>0.66666666666666663</v>
      </c>
      <c r="KR13" s="165">
        <v>1.3400000000000012</v>
      </c>
      <c r="KS13" s="1">
        <v>0.75</v>
      </c>
      <c r="KT13" s="168">
        <v>1.0999999999999996</v>
      </c>
      <c r="KU13" s="1">
        <v>0.75</v>
      </c>
      <c r="KV13" s="171">
        <v>3.06</v>
      </c>
      <c r="KW13" s="1">
        <v>0.66666666666666663</v>
      </c>
      <c r="KX13" s="174">
        <v>-39.22</v>
      </c>
      <c r="KY13" s="1">
        <v>0.33333333333333331</v>
      </c>
      <c r="KZ13" s="179">
        <v>5.3800000000000008</v>
      </c>
      <c r="LA13" s="1">
        <v>0.75</v>
      </c>
      <c r="LB13" s="183">
        <v>-15.149999999999999</v>
      </c>
      <c r="LC13" s="1">
        <v>0.58333333333333337</v>
      </c>
      <c r="LD13" s="187">
        <v>-15</v>
      </c>
      <c r="LE13" s="1">
        <v>0.58333333333333337</v>
      </c>
      <c r="LF13" s="189">
        <v>7.23</v>
      </c>
      <c r="LG13" s="1">
        <v>0.81818181818181823</v>
      </c>
      <c r="LH13" s="191">
        <v>-14.629999999999999</v>
      </c>
      <c r="LI13" s="1">
        <v>0.58333333333333337</v>
      </c>
      <c r="LJ13" s="194">
        <v>-16.600000000000005</v>
      </c>
      <c r="LK13" s="1">
        <v>0.58333333333333337</v>
      </c>
      <c r="LL13" s="196"/>
      <c r="LM13" s="1"/>
      <c r="LN13" s="198">
        <v>-15.240000000000002</v>
      </c>
      <c r="LO13" s="1">
        <v>0.58333333333333337</v>
      </c>
      <c r="LP13" s="200">
        <v>8.8400000000000016</v>
      </c>
      <c r="LQ13" s="1">
        <v>0.83333333333333337</v>
      </c>
      <c r="LR13" s="202">
        <v>-5.0600000000000023</v>
      </c>
      <c r="LS13" s="1">
        <v>0.66666666666666663</v>
      </c>
      <c r="LT13" s="204">
        <v>-28.09</v>
      </c>
      <c r="LU13" s="1">
        <v>0.4</v>
      </c>
      <c r="LV13" s="206">
        <v>-27.44</v>
      </c>
      <c r="LW13" s="1">
        <v>0.5</v>
      </c>
      <c r="LX13" s="208">
        <v>-10.620000000000001</v>
      </c>
      <c r="LY13" s="1">
        <v>0.55555555555555558</v>
      </c>
      <c r="LZ13" s="210">
        <v>-15.150000000000004</v>
      </c>
      <c r="MA13" s="1">
        <v>0.5</v>
      </c>
      <c r="MB13" s="212">
        <v>-27.189999999999994</v>
      </c>
      <c r="MC13" s="1">
        <v>0.41666666666666669</v>
      </c>
      <c r="MD13" s="214">
        <v>5.7899999999999974</v>
      </c>
      <c r="ME13" s="1">
        <v>0.8</v>
      </c>
      <c r="MF13" s="216">
        <v>11.37</v>
      </c>
      <c r="MG13" s="1">
        <v>0.81818181818181823</v>
      </c>
      <c r="MH13" s="218">
        <v>-9.9200000000000053</v>
      </c>
      <c r="MI13" s="1">
        <v>0.63636363636363635</v>
      </c>
      <c r="MJ13" s="220">
        <v>-6.73</v>
      </c>
      <c r="MK13" s="1">
        <v>0.66666666666666663</v>
      </c>
      <c r="ML13" s="222">
        <v>5.1099999999999994</v>
      </c>
      <c r="MM13" s="1">
        <v>0.8</v>
      </c>
      <c r="MN13" s="224">
        <v>3.8600000000000008</v>
      </c>
      <c r="MO13" s="1">
        <v>0.76923076923076927</v>
      </c>
      <c r="MP13" s="226">
        <v>-3.2900000000000023</v>
      </c>
      <c r="MQ13" s="1">
        <v>0.69230769230769229</v>
      </c>
      <c r="MR13" s="228">
        <v>-18.79</v>
      </c>
      <c r="MS13" s="1">
        <v>0.5</v>
      </c>
      <c r="MT13" s="230">
        <v>-9.82</v>
      </c>
      <c r="MU13" s="1">
        <v>0.63636363636363635</v>
      </c>
      <c r="MV13" s="232">
        <v>-1.9499999999999975</v>
      </c>
      <c r="MW13" s="1">
        <v>0.72727272727272729</v>
      </c>
      <c r="MX13" s="234">
        <v>-13.959999999999999</v>
      </c>
      <c r="MY13" s="1">
        <v>0.55555555555555558</v>
      </c>
      <c r="MZ13" s="236">
        <v>-23.650000000000002</v>
      </c>
      <c r="NA13" s="1">
        <v>0.5</v>
      </c>
      <c r="NB13" s="238">
        <v>-16.889999999999997</v>
      </c>
      <c r="NC13" s="1">
        <v>0.54545454545454541</v>
      </c>
      <c r="ND13" s="240">
        <v>-23.29</v>
      </c>
      <c r="NE13" s="1">
        <v>0.5</v>
      </c>
      <c r="NF13" s="242">
        <v>0.92000000000000082</v>
      </c>
      <c r="NG13" s="1">
        <v>0.75</v>
      </c>
      <c r="NH13" s="244">
        <v>0.92000000000000082</v>
      </c>
      <c r="NI13" s="1">
        <v>0.75</v>
      </c>
      <c r="NJ13" s="244">
        <v>0.80999999999999872</v>
      </c>
      <c r="NK13" s="1">
        <v>0.75</v>
      </c>
      <c r="NL13" s="246"/>
      <c r="NM13" s="1"/>
      <c r="NN13" s="248">
        <v>-19.41</v>
      </c>
      <c r="NO13" s="1">
        <v>0.5</v>
      </c>
      <c r="NP13" s="250">
        <v>-21.679999999999996</v>
      </c>
      <c r="NQ13" s="1">
        <v>0.44444444444444442</v>
      </c>
      <c r="NR13" s="252">
        <v>4.1899999999999995</v>
      </c>
      <c r="NS13" s="1">
        <v>1</v>
      </c>
      <c r="NT13" s="254">
        <v>-12.339999999999996</v>
      </c>
      <c r="NU13" s="1">
        <v>0.55555555555555558</v>
      </c>
      <c r="NV13" s="256">
        <v>-11.75</v>
      </c>
      <c r="NW13" s="1">
        <v>0.6</v>
      </c>
      <c r="NX13" s="258">
        <v>4.57</v>
      </c>
      <c r="NY13" s="1">
        <v>0.83333333333333337</v>
      </c>
      <c r="NZ13" s="260">
        <v>-6.1599999999999993</v>
      </c>
      <c r="OA13" s="1">
        <v>0.5714285714285714</v>
      </c>
      <c r="OB13" s="262">
        <v>11.03</v>
      </c>
      <c r="OC13" s="1">
        <v>0.8</v>
      </c>
      <c r="OD13" s="264">
        <v>7.5699999999999985</v>
      </c>
      <c r="OE13" s="1">
        <v>0.75</v>
      </c>
      <c r="OF13" s="266">
        <v>-19.86</v>
      </c>
      <c r="OG13" s="1">
        <v>0.33333333333333331</v>
      </c>
      <c r="OH13" s="268">
        <v>-9.06</v>
      </c>
      <c r="OI13" s="1">
        <v>0.5</v>
      </c>
      <c r="OJ13" s="270">
        <v>-21.27</v>
      </c>
      <c r="OK13" s="1">
        <v>0.46153846153846156</v>
      </c>
      <c r="OL13" s="272">
        <v>-14.98</v>
      </c>
      <c r="OM13" s="1">
        <v>0.58333333333333337</v>
      </c>
      <c r="ON13" s="274">
        <v>-2.2699999999999996</v>
      </c>
      <c r="OO13" s="1">
        <v>0.66666666666666663</v>
      </c>
      <c r="OP13" s="276">
        <v>-5.2699999999999951</v>
      </c>
      <c r="OQ13" s="1">
        <v>0.58333333333333337</v>
      </c>
      <c r="OR13" s="278">
        <v>1.2700000000000014</v>
      </c>
      <c r="OS13" s="1">
        <v>0.75</v>
      </c>
      <c r="OT13" s="280">
        <v>25.560000000000002</v>
      </c>
      <c r="OU13" s="1">
        <v>1</v>
      </c>
      <c r="OV13" s="282">
        <v>-7.1400000000000006</v>
      </c>
      <c r="OW13" s="1">
        <v>0.66666666666666663</v>
      </c>
      <c r="OX13" s="285">
        <v>-29.18</v>
      </c>
      <c r="OY13" s="1">
        <v>0.41666666666666669</v>
      </c>
      <c r="OZ13" s="288">
        <v>17.47</v>
      </c>
      <c r="PA13" s="1">
        <v>0.91666666666666663</v>
      </c>
      <c r="PB13" s="292">
        <v>-6.9299999999999979</v>
      </c>
      <c r="PC13" s="1">
        <v>0.66666666666666663</v>
      </c>
      <c r="PD13" s="297">
        <v>-15.14</v>
      </c>
      <c r="PE13" s="1">
        <v>0.58333333333333337</v>
      </c>
      <c r="PF13" s="298">
        <v>0.95000000000000018</v>
      </c>
      <c r="PG13" s="1">
        <v>0.75</v>
      </c>
      <c r="PH13" s="301">
        <v>2.5100000000000016</v>
      </c>
      <c r="PI13" s="1">
        <v>0.75</v>
      </c>
      <c r="PJ13" s="302">
        <v>13.73</v>
      </c>
      <c r="PK13" s="1">
        <v>0.84615384615384615</v>
      </c>
      <c r="PL13" s="309"/>
      <c r="PM13" s="1"/>
      <c r="PN13" s="313"/>
      <c r="PO13" s="1"/>
      <c r="PP13" s="313">
        <v>-15.31</v>
      </c>
      <c r="PQ13" s="1">
        <v>0.58333333333333337</v>
      </c>
      <c r="PR13" s="315">
        <v>-9.1600000000000019</v>
      </c>
      <c r="PS13" s="1">
        <v>0.61538461538461542</v>
      </c>
      <c r="PT13" s="318">
        <v>4.7899999999999991</v>
      </c>
      <c r="PU13" s="1">
        <v>0.75</v>
      </c>
      <c r="PV13" s="321">
        <v>-23.139999999999997</v>
      </c>
      <c r="PW13" s="1">
        <v>0.5</v>
      </c>
      <c r="PX13" s="323">
        <v>-14.94</v>
      </c>
      <c r="PY13" s="1">
        <v>0.58333333333333337</v>
      </c>
      <c r="PZ13" s="325"/>
      <c r="QA13" s="1"/>
      <c r="QB13" s="327">
        <v>9.1499999999999986</v>
      </c>
      <c r="QC13" s="1">
        <v>0.83333333333333337</v>
      </c>
      <c r="QD13" s="334">
        <v>-2.79</v>
      </c>
      <c r="QE13" s="1">
        <v>0.66666666666666663</v>
      </c>
      <c r="QF13" s="339">
        <v>9.24</v>
      </c>
      <c r="QG13" s="1">
        <v>0.83333333333333337</v>
      </c>
      <c r="QH13" s="345">
        <v>-31.45</v>
      </c>
      <c r="QI13" s="1">
        <v>0.38461538461538464</v>
      </c>
      <c r="QJ13" s="352">
        <v>4.1800000000000015</v>
      </c>
      <c r="QK13" s="1">
        <v>0.75</v>
      </c>
      <c r="QL13" s="356">
        <v>-7.4300000000000015</v>
      </c>
      <c r="QM13" s="1">
        <v>0.61538461538461542</v>
      </c>
      <c r="QN13" s="360">
        <v>-31.909999999999997</v>
      </c>
      <c r="QO13" s="1">
        <v>0.41666666666666669</v>
      </c>
      <c r="QP13" s="363">
        <v>-13.600000000000001</v>
      </c>
      <c r="QQ13" s="1">
        <v>0.5</v>
      </c>
      <c r="QR13" s="366">
        <v>9.3500000000000014</v>
      </c>
      <c r="QS13" s="1">
        <v>0.83333333333333337</v>
      </c>
      <c r="QT13" s="371">
        <v>-8.7199999999999989</v>
      </c>
      <c r="QU13" s="1">
        <v>0.54545454545454541</v>
      </c>
      <c r="QV13" s="374">
        <v>-17.11</v>
      </c>
      <c r="QW13" s="1">
        <v>0.5</v>
      </c>
      <c r="QX13" s="378">
        <v>6.18</v>
      </c>
      <c r="QY13" s="1">
        <v>0.75</v>
      </c>
      <c r="QZ13" s="386">
        <v>-24.169999999999998</v>
      </c>
      <c r="RA13" s="1">
        <v>0.41666666666666669</v>
      </c>
      <c r="RB13" s="395">
        <v>0.98000000000000043</v>
      </c>
      <c r="RC13" s="1">
        <v>0.66666666666666663</v>
      </c>
      <c r="RD13" s="399">
        <v>-26.159999999999997</v>
      </c>
      <c r="RE13" s="1">
        <v>0.41666666666666669</v>
      </c>
      <c r="RF13" s="399">
        <v>17.319999999999997</v>
      </c>
      <c r="RG13" s="1">
        <v>0.91666666666666663</v>
      </c>
      <c r="RH13" s="403">
        <v>-22.79</v>
      </c>
      <c r="RI13" s="1">
        <v>0.5</v>
      </c>
      <c r="RJ13" s="405">
        <v>6.52</v>
      </c>
      <c r="RK13" s="1">
        <v>0.76923076923076927</v>
      </c>
      <c r="RL13" s="407"/>
      <c r="RM13" s="1"/>
      <c r="RN13" s="410">
        <v>6.16</v>
      </c>
      <c r="RO13" s="1">
        <v>0.75</v>
      </c>
      <c r="RP13" s="412">
        <v>6.5699999999999994</v>
      </c>
      <c r="RQ13" s="1">
        <v>0.75</v>
      </c>
      <c r="RR13" s="415"/>
      <c r="RS13" s="1"/>
      <c r="RT13" s="417">
        <v>-7.9499999999999993</v>
      </c>
      <c r="RU13" s="1">
        <v>0.58333333333333337</v>
      </c>
      <c r="RV13" s="422">
        <v>-21.33</v>
      </c>
      <c r="RW13" s="1">
        <v>0.53846153846153844</v>
      </c>
      <c r="RX13" s="427">
        <v>-31.510000000000005</v>
      </c>
      <c r="RY13" s="1">
        <v>0.41666666666666669</v>
      </c>
      <c r="RZ13" s="433">
        <v>-21.09</v>
      </c>
      <c r="SA13" s="1">
        <v>0.53846153846153844</v>
      </c>
      <c r="SB13" s="436">
        <v>7.25</v>
      </c>
      <c r="SC13" s="1">
        <v>0.83333333333333337</v>
      </c>
      <c r="SD13" s="443">
        <v>-8.93</v>
      </c>
      <c r="SE13" s="1">
        <v>0.66666666666666663</v>
      </c>
      <c r="SF13" s="445">
        <v>17.11</v>
      </c>
      <c r="SG13" s="1">
        <v>0.91666666666666663</v>
      </c>
      <c r="SH13" s="450">
        <v>-0.30999999999999872</v>
      </c>
      <c r="SI13" s="1">
        <v>0.75</v>
      </c>
      <c r="SJ13" s="452">
        <v>-36.94</v>
      </c>
      <c r="SK13" s="1">
        <v>0.33333333333333331</v>
      </c>
      <c r="SL13" s="457">
        <v>12.049999999999999</v>
      </c>
      <c r="SM13" s="1">
        <v>0.91666666666666663</v>
      </c>
      <c r="SN13" s="459">
        <v>9</v>
      </c>
      <c r="SO13" s="1">
        <v>0.83333333333333337</v>
      </c>
      <c r="SP13" s="461">
        <v>-17.600000000000001</v>
      </c>
      <c r="SQ13" s="1">
        <v>0.5</v>
      </c>
      <c r="SR13" s="463">
        <v>11.709999999999999</v>
      </c>
      <c r="SS13" s="1">
        <v>0.75</v>
      </c>
      <c r="ST13" s="464">
        <v>-33.509999999999991</v>
      </c>
      <c r="SU13" s="1">
        <v>0.30769230769230771</v>
      </c>
      <c r="SV13" s="466">
        <v>-41.74</v>
      </c>
      <c r="SW13" s="1">
        <v>8.3333333333333329E-2</v>
      </c>
      <c r="SX13" s="467">
        <v>-12</v>
      </c>
      <c r="SY13" s="1">
        <v>0.58333333333333337</v>
      </c>
      <c r="SZ13" s="469">
        <v>-6.0900000000000034</v>
      </c>
      <c r="TA13" s="1">
        <v>0.58333333333333337</v>
      </c>
      <c r="TB13" s="471">
        <v>-10.45</v>
      </c>
      <c r="TC13" s="1">
        <v>0.58333333333333337</v>
      </c>
      <c r="TD13" s="472">
        <v>3.7499999999999973</v>
      </c>
      <c r="TE13" s="1">
        <v>0.75</v>
      </c>
      <c r="TF13" s="474">
        <v>3.4299999999999988</v>
      </c>
      <c r="TG13" s="1">
        <v>0.75</v>
      </c>
      <c r="TH13" s="488">
        <v>5.9399999999999986</v>
      </c>
      <c r="TI13" s="1">
        <v>0.69230769230769229</v>
      </c>
      <c r="TJ13" s="489">
        <v>-29.799999999999997</v>
      </c>
      <c r="TK13" s="1">
        <v>0.38461538461538464</v>
      </c>
      <c r="TL13" s="490">
        <v>-1.680000000000001</v>
      </c>
      <c r="TM13" s="1">
        <v>0.69230769230769229</v>
      </c>
      <c r="TN13" s="495">
        <v>-23.46</v>
      </c>
      <c r="TO13" s="1">
        <v>0.5</v>
      </c>
      <c r="TP13" s="500">
        <v>25.970000000000002</v>
      </c>
      <c r="TQ13" s="1">
        <v>1</v>
      </c>
      <c r="TR13" s="511">
        <v>-15.510000000000002</v>
      </c>
      <c r="TS13" s="1">
        <v>0.58333333333333337</v>
      </c>
      <c r="TT13" s="515">
        <v>3.5</v>
      </c>
      <c r="TU13" s="1">
        <v>0.76923076923076927</v>
      </c>
      <c r="TV13" s="518">
        <v>-52.71</v>
      </c>
      <c r="TW13" s="1">
        <v>0.23076923076923078</v>
      </c>
      <c r="TX13" s="521"/>
      <c r="TY13" s="1"/>
      <c r="TZ13" s="524">
        <v>-17.740000000000002</v>
      </c>
      <c r="UA13" s="1">
        <v>0.45454545454545453</v>
      </c>
      <c r="UB13" s="527">
        <v>-19.88</v>
      </c>
      <c r="UC13" s="1">
        <v>0.46153846153846156</v>
      </c>
      <c r="UD13" s="530">
        <v>-21.85</v>
      </c>
      <c r="UE13" s="1">
        <v>0.38461538461538464</v>
      </c>
      <c r="UF13" s="533">
        <v>-24.349999999999994</v>
      </c>
      <c r="UG13" s="1">
        <v>0.38461538461538464</v>
      </c>
      <c r="UH13" s="536">
        <v>-9.7800000000000011</v>
      </c>
      <c r="UI13" s="1">
        <v>0.61538461538461542</v>
      </c>
      <c r="UJ13" s="539">
        <v>12.7</v>
      </c>
      <c r="UK13" s="1">
        <v>0.84615384615384615</v>
      </c>
      <c r="UL13" s="540">
        <v>19.600000000000001</v>
      </c>
      <c r="UM13" s="1">
        <v>0.92307692307692313</v>
      </c>
      <c r="UN13" s="543">
        <v>8.5</v>
      </c>
      <c r="UO13" s="1">
        <v>0.76923076923076927</v>
      </c>
      <c r="UP13" s="544">
        <v>-17.080000000000002</v>
      </c>
      <c r="UQ13" s="1">
        <v>0.53846153846153844</v>
      </c>
      <c r="UR13" s="551">
        <v>7.8400000000000007</v>
      </c>
      <c r="US13" s="1">
        <v>0.76923076923076927</v>
      </c>
      <c r="UT13" s="551">
        <v>1.9200000000000006</v>
      </c>
      <c r="UU13" s="1">
        <v>0.53846153846153844</v>
      </c>
      <c r="UV13" s="562">
        <v>5.5500000000000007</v>
      </c>
      <c r="UW13" s="1">
        <v>0.75</v>
      </c>
      <c r="UX13" s="566">
        <v>11.509999999999998</v>
      </c>
      <c r="UY13" s="1">
        <v>0.76923076923076927</v>
      </c>
      <c r="UZ13" s="568">
        <v>-27.400000000000006</v>
      </c>
      <c r="VA13" s="1">
        <v>0.53846153846153844</v>
      </c>
      <c r="VB13" s="572">
        <v>12.930000000000001</v>
      </c>
      <c r="VC13" s="1">
        <v>0.84615384615384615</v>
      </c>
      <c r="VD13" s="576">
        <v>27.810000000000002</v>
      </c>
      <c r="VE13" s="1">
        <v>1</v>
      </c>
      <c r="VF13" s="580">
        <v>1.5099999999999998</v>
      </c>
      <c r="VG13" s="1">
        <v>0.61538461538461542</v>
      </c>
      <c r="VH13" s="584">
        <v>-10.29</v>
      </c>
      <c r="VI13" s="1">
        <v>0.46153846153846156</v>
      </c>
      <c r="VJ13" s="589">
        <v>-42.959999999999994</v>
      </c>
      <c r="VK13" s="1">
        <v>0.30769230769230771</v>
      </c>
      <c r="VL13" s="593">
        <v>-4.9000000000000004</v>
      </c>
      <c r="VM13" s="1">
        <v>0.69230769230769229</v>
      </c>
      <c r="VN13" s="597">
        <v>-5.2699999999999987</v>
      </c>
      <c r="VO13" s="1">
        <v>0.61538461538461542</v>
      </c>
      <c r="VP13" s="601">
        <v>-29.39</v>
      </c>
      <c r="VQ13" s="1">
        <v>0.46153846153846156</v>
      </c>
      <c r="VR13" s="603">
        <v>2.8299999999999992</v>
      </c>
      <c r="VS13" s="1">
        <v>0.69230769230769229</v>
      </c>
      <c r="VT13" s="607">
        <v>-30.329999999999995</v>
      </c>
      <c r="VU13" s="1">
        <v>0.30769230769230771</v>
      </c>
      <c r="VV13" s="609">
        <v>-1.3199999999999987</v>
      </c>
      <c r="VW13" s="1">
        <v>0.69230769230769229</v>
      </c>
      <c r="VX13" s="613">
        <v>-1.9600000000000006</v>
      </c>
      <c r="VY13" s="1">
        <v>0.53846153846153844</v>
      </c>
      <c r="VZ13" s="617">
        <v>-23.720000000000002</v>
      </c>
      <c r="WA13" s="1">
        <v>0.46153846153846156</v>
      </c>
      <c r="WB13" s="619"/>
      <c r="WC13" s="1"/>
      <c r="WD13" s="624">
        <v>17.97</v>
      </c>
      <c r="WE13" s="1">
        <v>0.92307692307692313</v>
      </c>
      <c r="WF13" s="626">
        <v>-15.330000000000002</v>
      </c>
      <c r="WG13" s="1">
        <v>0.58333333333333337</v>
      </c>
      <c r="WH13" s="630">
        <v>-4.8500000000000005</v>
      </c>
      <c r="WI13" s="1">
        <v>0.69230769230769229</v>
      </c>
      <c r="WJ13" s="636">
        <v>19.86</v>
      </c>
      <c r="WK13" s="1">
        <v>0.92307692307692313</v>
      </c>
      <c r="WL13" s="638">
        <v>14.009999999999998</v>
      </c>
      <c r="WM13" s="1">
        <v>0.84615384615384615</v>
      </c>
      <c r="WN13" s="642">
        <v>1.1099999999999972</v>
      </c>
      <c r="WO13" s="1">
        <v>0.69230769230769229</v>
      </c>
      <c r="WP13" s="646">
        <v>24.8</v>
      </c>
      <c r="WQ13" s="1">
        <v>1</v>
      </c>
      <c r="WR13" s="652">
        <v>14.360000000000001</v>
      </c>
      <c r="WS13" s="1">
        <v>0.84615384615384615</v>
      </c>
      <c r="WT13" s="659">
        <v>-29.6</v>
      </c>
      <c r="WU13" s="1">
        <v>0.46153846153846156</v>
      </c>
      <c r="WV13" s="659">
        <v>-14.02</v>
      </c>
      <c r="WW13" s="1">
        <v>0.61538461538461542</v>
      </c>
      <c r="WX13" s="672">
        <v>-0.81999999999999962</v>
      </c>
      <c r="WY13" s="1">
        <v>0.66666666666666663</v>
      </c>
      <c r="WZ13" s="677"/>
      <c r="XA13" s="1"/>
      <c r="XB13" s="681">
        <v>-24.8</v>
      </c>
      <c r="XC13" s="1">
        <v>0.46153846153846156</v>
      </c>
      <c r="XD13" s="683">
        <v>-10.23</v>
      </c>
      <c r="XE13" s="1">
        <v>0.61538461538461542</v>
      </c>
      <c r="XF13" s="687">
        <v>8.85</v>
      </c>
      <c r="XG13" s="1">
        <v>0.76923076923076927</v>
      </c>
      <c r="XH13" s="689">
        <v>6.0999999999999979</v>
      </c>
      <c r="XI13" s="1">
        <v>0.76923076923076927</v>
      </c>
      <c r="XJ13" s="696">
        <v>-13.049999999999997</v>
      </c>
      <c r="XK13" s="1">
        <v>0.61538461538461542</v>
      </c>
      <c r="XL13" s="696">
        <v>-22.96</v>
      </c>
      <c r="XM13" s="1">
        <v>0.53846153846153844</v>
      </c>
      <c r="XN13" s="696">
        <v>-35.129999999999995</v>
      </c>
      <c r="XO13" s="1">
        <v>0.46153846153846156</v>
      </c>
      <c r="XP13" s="700">
        <v>15.029999999999998</v>
      </c>
      <c r="XQ13" s="1">
        <v>0.84615384615384615</v>
      </c>
      <c r="XR13" s="705">
        <v>-26.990000000000002</v>
      </c>
      <c r="XS13" s="1">
        <v>0.57692307692307687</v>
      </c>
      <c r="XT13" s="709">
        <v>-26.83</v>
      </c>
      <c r="XU13" s="1">
        <v>0.46153846153846156</v>
      </c>
      <c r="XV13" s="715"/>
      <c r="XW13" s="1"/>
    </row>
    <row r="14" spans="2:647" x14ac:dyDescent="0.25">
      <c r="B14" s="755"/>
      <c r="C14" s="723"/>
      <c r="D14" s="725" t="s">
        <v>17</v>
      </c>
      <c r="E14" s="725"/>
      <c r="F14" s="55">
        <v>0.4</v>
      </c>
      <c r="G14" s="769"/>
      <c r="H14" s="4">
        <v>-2.0640000000000001</v>
      </c>
      <c r="I14" s="5">
        <v>0.33333333333333331</v>
      </c>
      <c r="J14" s="4">
        <v>0.91700000000000004</v>
      </c>
      <c r="K14" s="5">
        <v>0.5</v>
      </c>
      <c r="L14" s="4">
        <v>-2.2560000000000002</v>
      </c>
      <c r="M14" s="5">
        <v>0.42857142857142855</v>
      </c>
      <c r="N14" s="4">
        <v>3.1000000000000073E-2</v>
      </c>
      <c r="O14" s="5">
        <v>0.44444444444444442</v>
      </c>
      <c r="P14" s="4">
        <v>-0.66700000000000004</v>
      </c>
      <c r="Q14" s="5">
        <v>0.33333333333333331</v>
      </c>
      <c r="R14" s="4">
        <v>-2.3270000000000004</v>
      </c>
      <c r="S14" s="5">
        <v>0.22222222222222221</v>
      </c>
      <c r="T14" s="4"/>
      <c r="U14" s="5"/>
      <c r="V14" s="4">
        <v>-1.3210000000000002</v>
      </c>
      <c r="W14" s="5">
        <v>0.25</v>
      </c>
      <c r="X14" s="4"/>
      <c r="Y14" s="5"/>
      <c r="Z14" s="4">
        <v>-1.1739999999999999</v>
      </c>
      <c r="AA14" s="5">
        <v>0.33333333333333331</v>
      </c>
      <c r="AB14" s="4">
        <v>0.7390000000000001</v>
      </c>
      <c r="AC14" s="5">
        <v>0.5</v>
      </c>
      <c r="AD14" s="4">
        <v>0.6030000000000002</v>
      </c>
      <c r="AE14" s="5">
        <v>0.625</v>
      </c>
      <c r="AF14" s="4"/>
      <c r="AG14" s="5"/>
      <c r="AH14" s="4">
        <v>1.0870000000000002</v>
      </c>
      <c r="AI14" s="5">
        <v>0.625</v>
      </c>
      <c r="AJ14" s="4">
        <v>-0.96700000000000019</v>
      </c>
      <c r="AK14" s="5">
        <v>0.2</v>
      </c>
      <c r="AL14" s="4">
        <v>3.016</v>
      </c>
      <c r="AM14" s="5">
        <v>0.625</v>
      </c>
      <c r="AN14" s="4">
        <v>-2.3619999999999997</v>
      </c>
      <c r="AO14" s="5">
        <v>0.125</v>
      </c>
      <c r="AP14" s="4">
        <v>-1.9310000000000003</v>
      </c>
      <c r="AQ14" s="5">
        <v>0.16666666666666666</v>
      </c>
      <c r="AR14" s="4">
        <v>1.113</v>
      </c>
      <c r="AS14" s="5">
        <v>0.6</v>
      </c>
      <c r="AT14" s="4">
        <v>0.31399999999999995</v>
      </c>
      <c r="AU14" s="5">
        <v>0.5</v>
      </c>
      <c r="AV14" s="4">
        <v>0.10199999999999991</v>
      </c>
      <c r="AW14" s="5">
        <v>0.5</v>
      </c>
      <c r="AX14" s="4">
        <v>2.2610000000000001</v>
      </c>
      <c r="AY14" s="5">
        <v>0.77777777777777779</v>
      </c>
      <c r="AZ14" s="4">
        <v>-4.8040000000000003</v>
      </c>
      <c r="BA14" s="5">
        <v>0.16666666666666666</v>
      </c>
      <c r="BB14" s="4">
        <v>0.49099999999999994</v>
      </c>
      <c r="BC14" s="5">
        <v>0.5</v>
      </c>
      <c r="BD14" s="4">
        <v>1.2260000000000002</v>
      </c>
      <c r="BE14" s="5">
        <v>0.66666666666666663</v>
      </c>
      <c r="BF14" s="4">
        <v>-1.1719999999999999</v>
      </c>
      <c r="BG14" s="5">
        <v>0.4</v>
      </c>
      <c r="BH14" s="4">
        <v>-0.14000000000000004</v>
      </c>
      <c r="BI14" s="5">
        <v>0.2</v>
      </c>
      <c r="BJ14" s="4">
        <v>-0.24900000000000019</v>
      </c>
      <c r="BK14" s="5">
        <v>0.66666666666666663</v>
      </c>
      <c r="BL14" s="4">
        <v>-1.335</v>
      </c>
      <c r="BM14" s="5">
        <v>0.16666666666666666</v>
      </c>
      <c r="BN14" s="4"/>
      <c r="BO14" s="5"/>
      <c r="BP14" s="4">
        <v>1.3350000000000002</v>
      </c>
      <c r="BQ14" s="5">
        <v>0.66666666666666663</v>
      </c>
      <c r="BR14" s="4">
        <v>-1.085</v>
      </c>
      <c r="BS14" s="5">
        <v>0.33333333333333331</v>
      </c>
      <c r="BT14" s="4"/>
      <c r="BU14" s="5"/>
      <c r="BV14" s="4">
        <v>3.8679999999999999</v>
      </c>
      <c r="BW14" s="5">
        <v>0.875</v>
      </c>
      <c r="BX14" s="4">
        <v>-0.38099999999999995</v>
      </c>
      <c r="BY14" s="5">
        <v>0.33333333333333331</v>
      </c>
      <c r="BZ14" s="4">
        <v>0.22300000000000003</v>
      </c>
      <c r="CA14" s="5">
        <v>0.5</v>
      </c>
      <c r="CB14" s="4">
        <v>1.2390000000000001</v>
      </c>
      <c r="CC14" s="5">
        <v>1</v>
      </c>
      <c r="CD14" s="4">
        <v>-0.23899999999999988</v>
      </c>
      <c r="CE14" s="5">
        <v>0.5</v>
      </c>
      <c r="CF14" s="4">
        <v>0.53799999999999992</v>
      </c>
      <c r="CG14" s="5">
        <v>0.75</v>
      </c>
      <c r="CH14" s="4"/>
      <c r="CI14" s="5"/>
      <c r="CJ14" s="4">
        <v>-0.32300000000000001</v>
      </c>
      <c r="CK14" s="5">
        <v>0.54545454545454541</v>
      </c>
      <c r="CL14" s="4">
        <v>-1.026</v>
      </c>
      <c r="CM14" s="5">
        <v>0</v>
      </c>
      <c r="CN14" s="4">
        <v>-1.2579999999999996</v>
      </c>
      <c r="CO14" s="5">
        <v>0.2857142857142857</v>
      </c>
      <c r="CP14" s="4">
        <v>-0.89399999999999991</v>
      </c>
      <c r="CQ14" s="5">
        <v>0.2</v>
      </c>
      <c r="CR14" s="4">
        <v>-0.95600000000000007</v>
      </c>
      <c r="CS14" s="5">
        <v>0.5</v>
      </c>
      <c r="CT14" s="4">
        <v>-0.32399999999999984</v>
      </c>
      <c r="CU14" s="5">
        <v>0.4</v>
      </c>
      <c r="CV14" s="4">
        <v>0.44900000000000012</v>
      </c>
      <c r="CW14" s="5">
        <v>0.4</v>
      </c>
      <c r="CX14" s="4">
        <v>-2.6579999999999999</v>
      </c>
      <c r="CY14" s="5">
        <v>0.5</v>
      </c>
      <c r="CZ14" s="4">
        <v>0.41200000000000003</v>
      </c>
      <c r="DA14" s="5">
        <v>0.5</v>
      </c>
      <c r="DB14" s="4">
        <v>-2.7869999999999999</v>
      </c>
      <c r="DC14" s="5">
        <v>0.42857142857142855</v>
      </c>
      <c r="DD14" s="4">
        <v>-2.613</v>
      </c>
      <c r="DE14" s="5">
        <v>0</v>
      </c>
      <c r="DF14" s="4">
        <v>-1.7900000000000003</v>
      </c>
      <c r="DG14" s="5">
        <v>0.33333333333333331</v>
      </c>
      <c r="DH14" s="4">
        <v>2.8250000000000002</v>
      </c>
      <c r="DI14" s="5">
        <v>1</v>
      </c>
      <c r="DJ14" s="4">
        <v>1.9319999999999999</v>
      </c>
      <c r="DK14" s="5">
        <v>0.75</v>
      </c>
      <c r="DL14" s="4">
        <v>2.8769999999999993</v>
      </c>
      <c r="DM14" s="5">
        <v>0.8571428571428571</v>
      </c>
      <c r="DN14" s="4">
        <v>-1.0410000000000001</v>
      </c>
      <c r="DO14" s="5">
        <v>0.6</v>
      </c>
      <c r="DP14" s="4">
        <v>0.51600000000000013</v>
      </c>
      <c r="DQ14" s="5">
        <v>0.75</v>
      </c>
      <c r="DR14" s="4"/>
      <c r="DS14" s="5"/>
      <c r="DT14" s="4">
        <v>0.28200000000000003</v>
      </c>
      <c r="DU14" s="5">
        <v>0.33333333333333331</v>
      </c>
      <c r="DV14" s="4">
        <v>-0.375</v>
      </c>
      <c r="DW14" s="5">
        <v>0.25</v>
      </c>
      <c r="DX14" s="4">
        <v>-0.375</v>
      </c>
      <c r="DY14" s="5">
        <v>0.25</v>
      </c>
      <c r="DZ14" s="4">
        <v>-1.5769999999999995</v>
      </c>
      <c r="EA14" s="5">
        <v>0.375</v>
      </c>
      <c r="EB14" s="4">
        <v>-0.91600000000000004</v>
      </c>
      <c r="EC14" s="5">
        <v>0.33333333333333331</v>
      </c>
      <c r="ED14" s="4">
        <v>1.7849999999999995</v>
      </c>
      <c r="EE14" s="5">
        <v>0.75</v>
      </c>
      <c r="EF14" s="4">
        <v>1.9759999999999998</v>
      </c>
      <c r="EG14" s="5">
        <v>0.66666666666666663</v>
      </c>
      <c r="EH14" s="4">
        <v>-2.036</v>
      </c>
      <c r="EI14" s="5">
        <v>0.33333333333333331</v>
      </c>
      <c r="EJ14" s="4">
        <v>-0.433</v>
      </c>
      <c r="EK14" s="5">
        <v>0.5</v>
      </c>
      <c r="EL14" s="4"/>
      <c r="EM14" s="5"/>
      <c r="EN14" s="4">
        <v>-0.24300000000000019</v>
      </c>
      <c r="EO14" s="5">
        <v>0.66666666666666663</v>
      </c>
      <c r="EP14" s="4"/>
      <c r="EQ14" s="5"/>
      <c r="ER14" s="4">
        <v>-1.5050000000000001</v>
      </c>
      <c r="ES14" s="5">
        <v>0.4</v>
      </c>
      <c r="ET14" s="4">
        <v>-0.23600000000000021</v>
      </c>
      <c r="EU14" s="5">
        <v>0.55555555555555558</v>
      </c>
      <c r="EV14" s="4">
        <v>-2.8130000000000002</v>
      </c>
      <c r="EW14" s="5">
        <v>0.4</v>
      </c>
      <c r="EX14" s="4">
        <v>-1.8039999999999998</v>
      </c>
      <c r="EY14" s="5">
        <v>0.375</v>
      </c>
      <c r="EZ14" s="4">
        <v>-2.125</v>
      </c>
      <c r="FA14" s="5">
        <v>0.2857142857142857</v>
      </c>
      <c r="FB14" s="4">
        <v>-2.6599999999999997</v>
      </c>
      <c r="FC14" s="5">
        <v>0.55555555555555558</v>
      </c>
      <c r="FD14" s="4">
        <v>8.67</v>
      </c>
      <c r="FE14" s="5">
        <v>0.8</v>
      </c>
      <c r="FF14" s="4">
        <v>-3.4099999999999993</v>
      </c>
      <c r="FG14" s="5">
        <v>0.5</v>
      </c>
      <c r="FH14" s="4">
        <v>0.44999999999999929</v>
      </c>
      <c r="FI14" s="5">
        <v>0.5</v>
      </c>
      <c r="FJ14" s="4">
        <v>-3.94</v>
      </c>
      <c r="FK14" s="5">
        <v>0.25</v>
      </c>
      <c r="FL14" s="4">
        <v>3.01</v>
      </c>
      <c r="FM14" s="5">
        <v>0.5</v>
      </c>
      <c r="FN14" s="4">
        <v>-13.430000000000001</v>
      </c>
      <c r="FO14" s="5">
        <v>0.22222222222222221</v>
      </c>
      <c r="FP14" s="4">
        <v>-4.5900000000000007</v>
      </c>
      <c r="FQ14" s="5">
        <v>0.44444444444444442</v>
      </c>
      <c r="FR14" s="4">
        <v>-1.1999999999999997</v>
      </c>
      <c r="FS14" s="5">
        <v>0.42857142857142855</v>
      </c>
      <c r="FT14" s="4">
        <v>-12.83</v>
      </c>
      <c r="FU14" s="5">
        <v>0.2</v>
      </c>
      <c r="FV14" s="4">
        <v>0.67000000000000037</v>
      </c>
      <c r="FW14" s="5">
        <v>0.5</v>
      </c>
      <c r="FX14" s="4">
        <v>-0.66999999999999971</v>
      </c>
      <c r="FY14" s="5">
        <v>0.33333333333333331</v>
      </c>
      <c r="FZ14" s="4">
        <v>-1.8199999999999996</v>
      </c>
      <c r="GA14" s="5">
        <v>0.33333333333333331</v>
      </c>
      <c r="GB14" s="4">
        <v>3.3000000000000003</v>
      </c>
      <c r="GC14" s="5">
        <v>0.5714285714285714</v>
      </c>
      <c r="GD14" s="4">
        <v>-2.39</v>
      </c>
      <c r="GE14" s="5">
        <v>0.2857142857142857</v>
      </c>
      <c r="GF14" s="4">
        <v>-12.299999999999999</v>
      </c>
      <c r="GG14" s="5">
        <v>0.5</v>
      </c>
      <c r="GH14" s="4">
        <v>-1.65</v>
      </c>
      <c r="GI14" s="5">
        <v>0.33333333333333331</v>
      </c>
      <c r="GJ14" s="4">
        <v>-6.4399999999999995</v>
      </c>
      <c r="GK14" s="5">
        <v>0.25</v>
      </c>
      <c r="GL14" s="4">
        <v>-2.59</v>
      </c>
      <c r="GM14" s="5">
        <v>0.33333333333333331</v>
      </c>
      <c r="GN14" s="4">
        <v>-13.71</v>
      </c>
      <c r="GO14" s="5">
        <v>0.125</v>
      </c>
      <c r="GP14" s="4">
        <v>-6.51</v>
      </c>
      <c r="GQ14" s="5">
        <v>0.25</v>
      </c>
      <c r="GR14" s="4">
        <v>1.4699999999999998</v>
      </c>
      <c r="GS14" s="5">
        <v>0.66666666666666663</v>
      </c>
      <c r="GT14" s="4">
        <v>-9.73</v>
      </c>
      <c r="GU14" s="5">
        <v>0.16666666666666666</v>
      </c>
      <c r="GV14" s="4">
        <v>2.5299999999999998</v>
      </c>
      <c r="GW14" s="5">
        <v>0.5</v>
      </c>
      <c r="GX14" s="4"/>
      <c r="GY14" s="5"/>
      <c r="GZ14" s="4">
        <v>5.69</v>
      </c>
      <c r="HA14" s="5">
        <v>0.8571428571428571</v>
      </c>
      <c r="HB14" s="4">
        <v>-6.12</v>
      </c>
      <c r="HC14" s="5">
        <v>0.5</v>
      </c>
      <c r="HD14" s="4">
        <v>-8.8199999999999985</v>
      </c>
      <c r="HE14" s="5">
        <v>0.2857142857142857</v>
      </c>
      <c r="HF14" s="4">
        <v>-9.0500000000000007</v>
      </c>
      <c r="HG14" s="5">
        <v>0.5</v>
      </c>
      <c r="HH14" s="4">
        <v>0.80999999999999961</v>
      </c>
      <c r="HI14" s="5">
        <v>0.42857142857142855</v>
      </c>
      <c r="HJ14" s="4">
        <v>5.71</v>
      </c>
      <c r="HK14" s="5">
        <v>1</v>
      </c>
      <c r="HL14" s="4">
        <v>-1.5899999999999999</v>
      </c>
      <c r="HM14" s="5">
        <v>0.6</v>
      </c>
      <c r="HN14" s="4">
        <v>-1.03</v>
      </c>
      <c r="HO14" s="5">
        <v>0.33333333333333331</v>
      </c>
      <c r="HP14" s="4">
        <v>2.61</v>
      </c>
      <c r="HQ14" s="5">
        <v>0.6</v>
      </c>
      <c r="HR14" s="4">
        <v>-3.7600000000000002</v>
      </c>
      <c r="HS14" s="5">
        <v>0.2</v>
      </c>
      <c r="HT14" s="4">
        <v>1.0499999999999998</v>
      </c>
      <c r="HU14" s="5">
        <v>0.5</v>
      </c>
      <c r="HV14" s="4">
        <v>-6.7100000000000009</v>
      </c>
      <c r="HW14" s="5">
        <v>0.4</v>
      </c>
      <c r="HX14" s="4">
        <v>-13.95</v>
      </c>
      <c r="HY14" s="5">
        <v>0</v>
      </c>
      <c r="HZ14" s="4"/>
      <c r="IA14" s="5"/>
      <c r="IB14" s="4">
        <v>0.34000000000000025</v>
      </c>
      <c r="IC14" s="5">
        <v>0.33333333333333331</v>
      </c>
      <c r="ID14" s="4">
        <v>4.3499999999999996</v>
      </c>
      <c r="IE14" s="5">
        <v>0.75</v>
      </c>
      <c r="IF14" s="4">
        <v>1.8199999999999998</v>
      </c>
      <c r="IG14" s="5">
        <v>0.5</v>
      </c>
      <c r="IH14" s="4">
        <v>2.9</v>
      </c>
      <c r="II14" s="5">
        <v>0.5</v>
      </c>
      <c r="IJ14" s="4">
        <v>2.5199999999999996</v>
      </c>
      <c r="IK14" s="5">
        <v>0.6</v>
      </c>
      <c r="IL14" s="4">
        <v>4.3100000000000005</v>
      </c>
      <c r="IM14" s="5">
        <v>0.75</v>
      </c>
      <c r="IN14" s="4">
        <v>4.95</v>
      </c>
      <c r="IO14" s="5">
        <v>0.5714285714285714</v>
      </c>
      <c r="IP14" s="4">
        <v>-7.2999999999999989</v>
      </c>
      <c r="IQ14" s="5">
        <v>0.25</v>
      </c>
      <c r="IR14" s="4"/>
      <c r="IS14" s="5"/>
      <c r="IT14" s="4"/>
      <c r="IU14" s="5"/>
      <c r="IV14" s="4">
        <v>9.8699999999999992</v>
      </c>
      <c r="IW14" s="5">
        <v>0.7142857142857143</v>
      </c>
      <c r="IX14" s="4">
        <v>-7.0799999999999983</v>
      </c>
      <c r="IY14" s="5">
        <v>0.4</v>
      </c>
      <c r="IZ14" s="4"/>
      <c r="JA14" s="5"/>
      <c r="JB14" s="4"/>
      <c r="JC14" s="5"/>
      <c r="JD14" s="4"/>
      <c r="JE14" s="5"/>
      <c r="JF14" s="4">
        <v>-2.4699999999999993</v>
      </c>
      <c r="JG14" s="5">
        <v>0.42857142857142855</v>
      </c>
      <c r="JH14" s="4">
        <v>-5.7199999999999989</v>
      </c>
      <c r="JI14" s="5">
        <v>0.375</v>
      </c>
      <c r="JJ14" s="4">
        <v>7.04</v>
      </c>
      <c r="JK14" s="5">
        <v>0.7142857142857143</v>
      </c>
      <c r="JL14" s="4">
        <v>-2.4300000000000006</v>
      </c>
      <c r="JM14" s="5">
        <v>0.4</v>
      </c>
      <c r="JN14" s="4">
        <v>-0.87999999999999989</v>
      </c>
      <c r="JO14" s="5">
        <v>0.33333333333333331</v>
      </c>
      <c r="JP14" s="4">
        <v>3.6500000000000004</v>
      </c>
      <c r="JQ14" s="5">
        <v>0.5</v>
      </c>
      <c r="JR14" s="4"/>
      <c r="JS14" s="5"/>
      <c r="JT14" s="4"/>
      <c r="JU14" s="5"/>
      <c r="JV14" s="4"/>
      <c r="JW14" s="5"/>
      <c r="JX14" s="4"/>
      <c r="JY14" s="5"/>
      <c r="JZ14" s="4">
        <v>1.1399999999999997</v>
      </c>
      <c r="KA14" s="5">
        <v>0.66666666666666663</v>
      </c>
      <c r="KB14" s="4">
        <v>-4.49</v>
      </c>
      <c r="KC14" s="5">
        <v>0.33333333333333331</v>
      </c>
      <c r="KD14" s="4">
        <v>4.6399999999999997</v>
      </c>
      <c r="KE14" s="5">
        <v>0.6</v>
      </c>
      <c r="KF14" s="4">
        <v>3.0300000000000007</v>
      </c>
      <c r="KG14" s="5">
        <v>0.66666666666666663</v>
      </c>
      <c r="KH14" s="4">
        <v>-3.35</v>
      </c>
      <c r="KI14" s="5">
        <v>0.2</v>
      </c>
      <c r="KJ14" s="4">
        <v>-3.58</v>
      </c>
      <c r="KK14" s="5">
        <v>0.25</v>
      </c>
      <c r="KL14" s="4">
        <v>-9.2899999999999991</v>
      </c>
      <c r="KM14" s="5">
        <v>0.2</v>
      </c>
      <c r="KN14" s="4">
        <v>1.75</v>
      </c>
      <c r="KO14" s="5">
        <v>0.5</v>
      </c>
      <c r="KP14" s="4">
        <v>-1.9700000000000002</v>
      </c>
      <c r="KQ14" s="5">
        <v>0.33333333333333331</v>
      </c>
      <c r="KR14" s="4">
        <v>-7.1999999999999993</v>
      </c>
      <c r="KS14" s="5">
        <v>0.4</v>
      </c>
      <c r="KT14" s="4">
        <v>-2.8299999999999987</v>
      </c>
      <c r="KU14" s="5">
        <v>0.4</v>
      </c>
      <c r="KV14" s="4">
        <v>4.32</v>
      </c>
      <c r="KW14" s="5">
        <v>0.6</v>
      </c>
      <c r="KX14" s="4">
        <v>-27.020000000000007</v>
      </c>
      <c r="KY14" s="5">
        <v>0.125</v>
      </c>
      <c r="KZ14" s="4">
        <v>1.3800000000000003</v>
      </c>
      <c r="LA14" s="5">
        <v>0.6</v>
      </c>
      <c r="LB14" s="4">
        <v>-15.28</v>
      </c>
      <c r="LC14" s="5">
        <v>0.16666666666666666</v>
      </c>
      <c r="LD14" s="4">
        <v>-6.4499999999999993</v>
      </c>
      <c r="LE14" s="5">
        <v>0.5</v>
      </c>
      <c r="LF14" s="4">
        <v>-1.2899999999999991</v>
      </c>
      <c r="LG14" s="5">
        <v>0.6</v>
      </c>
      <c r="LH14" s="4">
        <v>-0.32000000000000028</v>
      </c>
      <c r="LI14" s="5">
        <v>0.66666666666666663</v>
      </c>
      <c r="LJ14" s="4">
        <v>5.4</v>
      </c>
      <c r="LK14" s="5">
        <v>0.8</v>
      </c>
      <c r="LL14" s="4"/>
      <c r="LM14" s="5"/>
      <c r="LN14" s="4">
        <v>-16.16</v>
      </c>
      <c r="LO14" s="5">
        <v>0.16666666666666666</v>
      </c>
      <c r="LP14" s="4">
        <v>-9.51</v>
      </c>
      <c r="LQ14" s="5">
        <v>0.5</v>
      </c>
      <c r="LR14" s="4">
        <v>11.27</v>
      </c>
      <c r="LS14" s="5">
        <v>1</v>
      </c>
      <c r="LT14" s="4">
        <v>8.36</v>
      </c>
      <c r="LU14" s="5">
        <v>1</v>
      </c>
      <c r="LV14" s="4">
        <v>0.17999999999999972</v>
      </c>
      <c r="LW14" s="5">
        <v>0.75</v>
      </c>
      <c r="LX14" s="4">
        <v>-22.64</v>
      </c>
      <c r="LY14" s="5">
        <v>0.2857142857142857</v>
      </c>
      <c r="LZ14" s="4">
        <v>-0.89999999999999991</v>
      </c>
      <c r="MA14" s="5">
        <v>0.66666666666666663</v>
      </c>
      <c r="MB14" s="4">
        <v>-41.96</v>
      </c>
      <c r="MC14" s="5">
        <v>0</v>
      </c>
      <c r="MD14" s="4">
        <v>-27.33</v>
      </c>
      <c r="ME14" s="5">
        <v>0.16666666666666666</v>
      </c>
      <c r="MF14" s="4">
        <v>9</v>
      </c>
      <c r="MG14" s="5">
        <v>0.83333333333333337</v>
      </c>
      <c r="MH14" s="4">
        <v>-24.909999999999997</v>
      </c>
      <c r="MI14" s="5">
        <v>0.2857142857142857</v>
      </c>
      <c r="MJ14" s="4">
        <v>-2.9700000000000015</v>
      </c>
      <c r="MK14" s="5">
        <v>0.625</v>
      </c>
      <c r="ML14" s="4">
        <v>15.39</v>
      </c>
      <c r="MM14" s="5">
        <v>0.8571428571428571</v>
      </c>
      <c r="MN14" s="4">
        <v>5.5400000000000009</v>
      </c>
      <c r="MO14" s="5">
        <v>0.8</v>
      </c>
      <c r="MP14" s="4">
        <v>17.89</v>
      </c>
      <c r="MQ14" s="5">
        <v>1</v>
      </c>
      <c r="MR14" s="4">
        <v>4.7700000000000014</v>
      </c>
      <c r="MS14" s="5">
        <v>0.625</v>
      </c>
      <c r="MT14" s="4">
        <v>11.010000000000002</v>
      </c>
      <c r="MU14" s="5">
        <v>0.8571428571428571</v>
      </c>
      <c r="MV14" s="4">
        <v>8.7100000000000009</v>
      </c>
      <c r="MW14" s="5">
        <v>1</v>
      </c>
      <c r="MX14" s="4">
        <v>-15.320000000000004</v>
      </c>
      <c r="MY14" s="5">
        <v>0.5</v>
      </c>
      <c r="MZ14" s="4">
        <v>-18.63</v>
      </c>
      <c r="NA14" s="5">
        <v>0.33333333333333331</v>
      </c>
      <c r="NB14" s="4">
        <v>-9.34</v>
      </c>
      <c r="NC14" s="5">
        <v>0.33333333333333331</v>
      </c>
      <c r="ND14" s="4">
        <v>-26.919999999999998</v>
      </c>
      <c r="NE14" s="5">
        <v>0.14285714285714285</v>
      </c>
      <c r="NF14" s="4">
        <v>-18.62</v>
      </c>
      <c r="NG14" s="5">
        <v>0.33333333333333331</v>
      </c>
      <c r="NH14" s="4">
        <v>-18.62</v>
      </c>
      <c r="NI14" s="5">
        <v>0.33333333333333331</v>
      </c>
      <c r="NJ14" s="4">
        <v>-0.22000000000000064</v>
      </c>
      <c r="NK14" s="5">
        <v>0.5</v>
      </c>
      <c r="NL14" s="4"/>
      <c r="NM14" s="5"/>
      <c r="NN14" s="4">
        <v>6.26</v>
      </c>
      <c r="NO14" s="5">
        <v>0.75</v>
      </c>
      <c r="NP14" s="4">
        <v>-2.11</v>
      </c>
      <c r="NQ14" s="5">
        <v>0.5</v>
      </c>
      <c r="NR14" s="4">
        <v>-4.34</v>
      </c>
      <c r="NS14" s="5">
        <v>0</v>
      </c>
      <c r="NT14" s="4">
        <v>-9.5200000000000014</v>
      </c>
      <c r="NU14" s="5">
        <v>0.4</v>
      </c>
      <c r="NV14" s="4">
        <v>-13.9</v>
      </c>
      <c r="NW14" s="5">
        <v>0.33333333333333331</v>
      </c>
      <c r="NX14" s="4">
        <v>-0.20999999999999952</v>
      </c>
      <c r="NY14" s="5">
        <v>0.66666666666666663</v>
      </c>
      <c r="NZ14" s="4">
        <v>-9.9999999999999645E-2</v>
      </c>
      <c r="OA14" s="5">
        <v>0.75</v>
      </c>
      <c r="OB14" s="4">
        <v>-5.76</v>
      </c>
      <c r="OC14" s="5">
        <v>0.25</v>
      </c>
      <c r="OD14" s="4">
        <v>8.0000000000000099E-2</v>
      </c>
      <c r="OE14" s="5">
        <v>0.6</v>
      </c>
      <c r="OF14" s="4">
        <v>1.3599999999999999</v>
      </c>
      <c r="OG14" s="5">
        <v>0.5</v>
      </c>
      <c r="OH14" s="4">
        <v>-13.690000000000001</v>
      </c>
      <c r="OI14" s="5">
        <v>0.42857142857142855</v>
      </c>
      <c r="OJ14" s="4">
        <v>-8.4699999999999989</v>
      </c>
      <c r="OK14" s="5">
        <v>0.4</v>
      </c>
      <c r="OL14" s="4">
        <v>-1.6500000000000004</v>
      </c>
      <c r="OM14" s="5">
        <v>0.4</v>
      </c>
      <c r="ON14" s="4">
        <v>3.3899999999999997</v>
      </c>
      <c r="OO14" s="5">
        <v>0.7142857142857143</v>
      </c>
      <c r="OP14" s="4">
        <v>-7.2</v>
      </c>
      <c r="OQ14" s="5">
        <v>0.25</v>
      </c>
      <c r="OR14" s="4">
        <v>-1.1899999999999995</v>
      </c>
      <c r="OS14" s="5">
        <v>0.42857142857142855</v>
      </c>
      <c r="OT14" s="4">
        <v>-12.479999999999999</v>
      </c>
      <c r="OU14" s="5">
        <v>0.2857142857142857</v>
      </c>
      <c r="OV14" s="4">
        <v>-2.2199999999999998</v>
      </c>
      <c r="OW14" s="5">
        <v>0.5</v>
      </c>
      <c r="OX14" s="4">
        <v>-10.24</v>
      </c>
      <c r="OY14" s="5">
        <v>0.42857142857142855</v>
      </c>
      <c r="OZ14" s="4">
        <v>2.1099999999999994</v>
      </c>
      <c r="PA14" s="5">
        <v>0.66666666666666663</v>
      </c>
      <c r="PB14" s="4">
        <v>-15.499999999999998</v>
      </c>
      <c r="PC14" s="5">
        <v>0.25</v>
      </c>
      <c r="PD14" s="4">
        <v>-2.79</v>
      </c>
      <c r="PE14" s="5">
        <v>0.33333333333333331</v>
      </c>
      <c r="PF14" s="4">
        <v>14.899999999999999</v>
      </c>
      <c r="PG14" s="5">
        <v>1</v>
      </c>
      <c r="PH14" s="4">
        <v>-7.6499999999999995</v>
      </c>
      <c r="PI14" s="5">
        <v>0.5</v>
      </c>
      <c r="PJ14" s="4">
        <v>8.5500000000000007</v>
      </c>
      <c r="PK14" s="5">
        <v>1</v>
      </c>
      <c r="PL14" s="4"/>
      <c r="PM14" s="5"/>
      <c r="PN14" s="4"/>
      <c r="PO14" s="5"/>
      <c r="PP14" s="4">
        <v>-0.20000000000000018</v>
      </c>
      <c r="PQ14" s="5">
        <v>0.66666666666666663</v>
      </c>
      <c r="PR14" s="4">
        <v>-15.23</v>
      </c>
      <c r="PS14" s="5">
        <v>0.33333333333333331</v>
      </c>
      <c r="PT14" s="4">
        <v>8.64</v>
      </c>
      <c r="PU14" s="5">
        <v>1</v>
      </c>
      <c r="PV14" s="4">
        <v>-0.16000000000000014</v>
      </c>
      <c r="PW14" s="5">
        <v>0.66666666666666663</v>
      </c>
      <c r="PX14" s="4">
        <v>-11.62</v>
      </c>
      <c r="PY14" s="5">
        <v>0.42857142857142855</v>
      </c>
      <c r="PZ14" s="4"/>
      <c r="QA14" s="5"/>
      <c r="QB14" s="4">
        <v>-12.12</v>
      </c>
      <c r="QC14" s="5">
        <v>0.25</v>
      </c>
      <c r="QD14" s="4">
        <v>1.1299999999999994</v>
      </c>
      <c r="QE14" s="5">
        <v>0.5714285714285714</v>
      </c>
      <c r="QF14" s="4">
        <v>5.05</v>
      </c>
      <c r="QG14" s="5">
        <v>0.83333333333333337</v>
      </c>
      <c r="QH14" s="4">
        <v>-21.890000000000004</v>
      </c>
      <c r="QI14" s="5">
        <v>0.25</v>
      </c>
      <c r="QJ14" s="4">
        <v>-5.0199999999999996</v>
      </c>
      <c r="QK14" s="5">
        <v>0.42857142857142855</v>
      </c>
      <c r="QL14" s="4">
        <v>5.07</v>
      </c>
      <c r="QM14" s="5">
        <v>0.5714285714285714</v>
      </c>
      <c r="QN14" s="4">
        <v>0.37999999999999989</v>
      </c>
      <c r="QO14" s="5">
        <v>0.5</v>
      </c>
      <c r="QP14" s="4">
        <v>-6.5</v>
      </c>
      <c r="QQ14" s="5">
        <v>0.25</v>
      </c>
      <c r="QR14" s="4">
        <v>2.0799999999999996</v>
      </c>
      <c r="QS14" s="5">
        <v>0.5</v>
      </c>
      <c r="QT14" s="4">
        <v>-6.51</v>
      </c>
      <c r="QU14" s="5">
        <v>0.4</v>
      </c>
      <c r="QV14" s="4">
        <v>10.93</v>
      </c>
      <c r="QW14" s="5">
        <v>1</v>
      </c>
      <c r="QX14" s="4">
        <v>-5.32</v>
      </c>
      <c r="QY14" s="5">
        <v>0.2</v>
      </c>
      <c r="QZ14" s="4">
        <v>-4.8000000000000007</v>
      </c>
      <c r="RA14" s="5">
        <v>0.375</v>
      </c>
      <c r="RB14" s="4">
        <v>-6.9300000000000006</v>
      </c>
      <c r="RC14" s="5">
        <v>0.2857142857142857</v>
      </c>
      <c r="RD14" s="4">
        <v>-8.2800000000000011</v>
      </c>
      <c r="RE14" s="5">
        <v>0.16666666666666666</v>
      </c>
      <c r="RF14" s="4">
        <v>-0.96999999999999975</v>
      </c>
      <c r="RG14" s="5">
        <v>0.6</v>
      </c>
      <c r="RH14" s="4">
        <v>5.2799999999999994</v>
      </c>
      <c r="RI14" s="5">
        <v>0.5714285714285714</v>
      </c>
      <c r="RJ14" s="4">
        <v>-9.19</v>
      </c>
      <c r="RK14" s="5">
        <v>0.42857142857142855</v>
      </c>
      <c r="RL14" s="4"/>
      <c r="RM14" s="5"/>
      <c r="RN14" s="4">
        <v>-0.81999999999999973</v>
      </c>
      <c r="RO14" s="5">
        <v>0.45454545454545453</v>
      </c>
      <c r="RP14" s="4">
        <v>-3.46</v>
      </c>
      <c r="RQ14" s="5">
        <v>0.33333333333333331</v>
      </c>
      <c r="RR14" s="4"/>
      <c r="RS14" s="5"/>
      <c r="RT14" s="4">
        <v>9.0300000000000011</v>
      </c>
      <c r="RU14" s="5">
        <v>0.88888888888888884</v>
      </c>
      <c r="RV14" s="4">
        <v>10.43</v>
      </c>
      <c r="RW14" s="5">
        <v>0.7142857142857143</v>
      </c>
      <c r="RX14" s="4">
        <v>3.72</v>
      </c>
      <c r="RY14" s="5">
        <v>0.6</v>
      </c>
      <c r="RZ14" s="4">
        <v>-9.0299999999999994</v>
      </c>
      <c r="SA14" s="5">
        <v>0.4</v>
      </c>
      <c r="SB14" s="4">
        <v>9.0300000000000011</v>
      </c>
      <c r="SC14" s="5">
        <v>0.8</v>
      </c>
      <c r="SD14" s="4">
        <v>-16.099999999999998</v>
      </c>
      <c r="SE14" s="5">
        <v>0.16666666666666666</v>
      </c>
      <c r="SF14" s="4">
        <v>3.4500000000000006</v>
      </c>
      <c r="SG14" s="5">
        <v>0.5</v>
      </c>
      <c r="SH14" s="4">
        <v>-7.24</v>
      </c>
      <c r="SI14" s="5">
        <v>0.25</v>
      </c>
      <c r="SJ14" s="4">
        <v>-7.169999999999999</v>
      </c>
      <c r="SK14" s="5">
        <v>0.25</v>
      </c>
      <c r="SL14" s="4">
        <v>8.77</v>
      </c>
      <c r="SM14" s="5">
        <v>0.83333333333333337</v>
      </c>
      <c r="SN14" s="4">
        <v>1.8399999999999999</v>
      </c>
      <c r="SO14" s="5">
        <v>0.6</v>
      </c>
      <c r="SP14" s="4">
        <v>0.96999999999999975</v>
      </c>
      <c r="SQ14" s="5">
        <v>0.5714285714285714</v>
      </c>
      <c r="SR14" s="4">
        <v>-11.04</v>
      </c>
      <c r="SS14" s="5">
        <v>0.5714285714285714</v>
      </c>
      <c r="ST14" s="4">
        <v>-3.0499999999999994</v>
      </c>
      <c r="SU14" s="5">
        <v>0.55555555555555558</v>
      </c>
      <c r="SV14" s="4">
        <v>-3.78</v>
      </c>
      <c r="SW14" s="5">
        <v>0.33333333333333331</v>
      </c>
      <c r="SX14" s="4">
        <v>-6.99</v>
      </c>
      <c r="SY14" s="5">
        <v>0.33333333333333331</v>
      </c>
      <c r="SZ14" s="4">
        <v>3.14</v>
      </c>
      <c r="TA14" s="5">
        <v>0.75</v>
      </c>
      <c r="TB14" s="4">
        <v>-3.1799999999999997</v>
      </c>
      <c r="TC14" s="5">
        <v>0.5</v>
      </c>
      <c r="TD14" s="4">
        <v>-9.0000000000000746E-2</v>
      </c>
      <c r="TE14" s="5">
        <v>0.42857142857142855</v>
      </c>
      <c r="TF14" s="4">
        <v>-11.370000000000001</v>
      </c>
      <c r="TG14" s="5">
        <v>0</v>
      </c>
      <c r="TH14" s="4">
        <v>-13.85</v>
      </c>
      <c r="TI14" s="5">
        <v>0.33333333333333331</v>
      </c>
      <c r="TJ14" s="4">
        <v>5.25</v>
      </c>
      <c r="TK14" s="5">
        <v>0.66666666666666663</v>
      </c>
      <c r="TL14" s="4">
        <v>-12.01</v>
      </c>
      <c r="TM14" s="5">
        <v>0.33333333333333331</v>
      </c>
      <c r="TN14" s="4">
        <v>5.26</v>
      </c>
      <c r="TO14" s="5">
        <v>0.66666666666666663</v>
      </c>
      <c r="TP14" s="4">
        <v>-7.46</v>
      </c>
      <c r="TQ14" s="5">
        <v>0.3</v>
      </c>
      <c r="TR14" s="4">
        <v>-1.4100000000000001</v>
      </c>
      <c r="TS14" s="5">
        <v>0.6</v>
      </c>
      <c r="TT14" s="4">
        <v>-25.130000000000003</v>
      </c>
      <c r="TU14" s="5">
        <v>0.125</v>
      </c>
      <c r="TV14" s="4">
        <v>-1.3100000000000003</v>
      </c>
      <c r="TW14" s="5">
        <v>0.6</v>
      </c>
      <c r="TX14" s="4"/>
      <c r="TY14" s="5"/>
      <c r="TZ14" s="4">
        <v>-11.87</v>
      </c>
      <c r="UA14" s="5">
        <v>0.16666666666666666</v>
      </c>
      <c r="UB14" s="4">
        <v>-2.62</v>
      </c>
      <c r="UC14" s="5">
        <v>0.4</v>
      </c>
      <c r="UD14" s="4">
        <v>-17.909999999999997</v>
      </c>
      <c r="UE14" s="5">
        <v>0.2</v>
      </c>
      <c r="UF14" s="4">
        <v>-0.7200000000000002</v>
      </c>
      <c r="UG14" s="5">
        <v>0.375</v>
      </c>
      <c r="UH14" s="4">
        <v>-12.63</v>
      </c>
      <c r="UI14" s="5">
        <v>0.2857142857142857</v>
      </c>
      <c r="UJ14" s="4">
        <v>-13.85</v>
      </c>
      <c r="UK14" s="5">
        <v>0.2</v>
      </c>
      <c r="UL14" s="4">
        <v>6.27</v>
      </c>
      <c r="UM14" s="5">
        <v>0.5714285714285714</v>
      </c>
      <c r="UN14" s="4">
        <v>-5.26</v>
      </c>
      <c r="UO14" s="5">
        <v>0.2</v>
      </c>
      <c r="UP14" s="4">
        <v>-17.809999999999999</v>
      </c>
      <c r="UQ14" s="5">
        <v>0.22222222222222221</v>
      </c>
      <c r="UR14" s="4">
        <v>-3.4100000000000006</v>
      </c>
      <c r="US14" s="5">
        <v>0.4</v>
      </c>
      <c r="UT14" s="4">
        <v>-3.0700000000000003</v>
      </c>
      <c r="UU14" s="5">
        <v>0.4</v>
      </c>
      <c r="UV14" s="4">
        <v>-4.17</v>
      </c>
      <c r="UW14" s="5">
        <v>0.5</v>
      </c>
      <c r="UX14" s="4">
        <v>-8.98</v>
      </c>
      <c r="UY14" s="5">
        <v>0.22222222222222221</v>
      </c>
      <c r="UZ14" s="4">
        <v>8.98</v>
      </c>
      <c r="VA14" s="5">
        <v>0.7142857142857143</v>
      </c>
      <c r="VB14" s="4">
        <v>-1.71</v>
      </c>
      <c r="VC14" s="5">
        <v>0.42857142857142855</v>
      </c>
      <c r="VD14" s="4">
        <v>1.92</v>
      </c>
      <c r="VE14" s="5">
        <v>0.42857142857142855</v>
      </c>
      <c r="VF14" s="4">
        <v>7.9999999999999946E-2</v>
      </c>
      <c r="VG14" s="5">
        <v>0.33333333333333331</v>
      </c>
      <c r="VH14" s="4">
        <v>1.17</v>
      </c>
      <c r="VI14" s="5">
        <v>0.66666666666666663</v>
      </c>
      <c r="VJ14" s="4">
        <v>-2.34</v>
      </c>
      <c r="VK14" s="5">
        <v>0.33333333333333331</v>
      </c>
      <c r="VL14" s="4">
        <v>-12.039999999999997</v>
      </c>
      <c r="VM14" s="5">
        <v>0.22222222222222221</v>
      </c>
      <c r="VN14" s="4">
        <v>3.0000000000000004</v>
      </c>
      <c r="VO14" s="5">
        <v>0.66666666666666663</v>
      </c>
      <c r="VP14" s="4">
        <v>-16.400000000000002</v>
      </c>
      <c r="VQ14" s="5">
        <v>0.14285714285714285</v>
      </c>
      <c r="VR14" s="4">
        <v>2.34</v>
      </c>
      <c r="VS14" s="5">
        <v>0.5</v>
      </c>
      <c r="VT14" s="4">
        <v>-6.98</v>
      </c>
      <c r="VU14" s="5">
        <v>0.33333333333333331</v>
      </c>
      <c r="VV14" s="4">
        <v>9.8099999999999987</v>
      </c>
      <c r="VW14" s="5">
        <v>0.83333333333333337</v>
      </c>
      <c r="VX14" s="4">
        <v>4.17</v>
      </c>
      <c r="VY14" s="5">
        <v>0.625</v>
      </c>
      <c r="VZ14" s="4">
        <v>8.23</v>
      </c>
      <c r="WA14" s="5">
        <v>0.66666666666666663</v>
      </c>
      <c r="WB14" s="4"/>
      <c r="WC14" s="5"/>
      <c r="WD14" s="4">
        <v>1.2300000000000013</v>
      </c>
      <c r="WE14" s="5">
        <v>0.625</v>
      </c>
      <c r="WF14" s="4">
        <v>-12.22</v>
      </c>
      <c r="WG14" s="5">
        <v>0.16666666666666666</v>
      </c>
      <c r="WH14" s="4">
        <v>-8.5100000000000016</v>
      </c>
      <c r="WI14" s="5">
        <v>0.42857142857142855</v>
      </c>
      <c r="WJ14" s="4">
        <v>-0.25999999999999979</v>
      </c>
      <c r="WK14" s="5">
        <v>0.4</v>
      </c>
      <c r="WL14" s="4">
        <v>1.870000000000001</v>
      </c>
      <c r="WM14" s="5">
        <v>0.375</v>
      </c>
      <c r="WN14" s="4">
        <v>3.46</v>
      </c>
      <c r="WO14" s="5">
        <v>0.4</v>
      </c>
      <c r="WP14" s="4">
        <v>-2.6900000000000008</v>
      </c>
      <c r="WQ14" s="5">
        <v>0.5</v>
      </c>
      <c r="WR14" s="4">
        <v>-15</v>
      </c>
      <c r="WS14" s="5">
        <v>0</v>
      </c>
      <c r="WT14" s="4">
        <v>5.36</v>
      </c>
      <c r="WU14" s="5">
        <v>0.8</v>
      </c>
      <c r="WV14" s="4">
        <v>-3.0500000000000003</v>
      </c>
      <c r="WW14" s="5">
        <v>0.2</v>
      </c>
      <c r="WX14" s="4">
        <v>1.7500000000000004</v>
      </c>
      <c r="WY14" s="5">
        <v>0.55555555555555558</v>
      </c>
      <c r="WZ14" s="4"/>
      <c r="XA14" s="5"/>
      <c r="XB14" s="4">
        <v>-10.549999999999999</v>
      </c>
      <c r="XC14" s="5">
        <v>0.33333333333333331</v>
      </c>
      <c r="XD14" s="4">
        <v>-5.58</v>
      </c>
      <c r="XE14" s="5">
        <v>0.4</v>
      </c>
      <c r="XF14" s="4">
        <v>-2.6700000000000004</v>
      </c>
      <c r="XG14" s="5">
        <v>0.25</v>
      </c>
      <c r="XH14" s="4">
        <v>0.5299999999999998</v>
      </c>
      <c r="XI14" s="5">
        <v>0.4</v>
      </c>
      <c r="XJ14" s="4">
        <v>-11.17</v>
      </c>
      <c r="XK14" s="5">
        <v>0.25</v>
      </c>
      <c r="XL14" s="4">
        <v>-11.72</v>
      </c>
      <c r="XM14" s="5">
        <v>0.33333333333333331</v>
      </c>
      <c r="XN14" s="4">
        <v>-5.1100000000000012</v>
      </c>
      <c r="XO14" s="5">
        <v>0.5714285714285714</v>
      </c>
      <c r="XP14" s="4">
        <v>3.0399999999999996</v>
      </c>
      <c r="XQ14" s="5">
        <v>0.75</v>
      </c>
      <c r="XR14" s="4">
        <v>-15.720000000000004</v>
      </c>
      <c r="XS14" s="5">
        <v>0.41176470588235292</v>
      </c>
      <c r="XT14" s="4">
        <v>-14.35</v>
      </c>
      <c r="XU14" s="5">
        <v>0.4</v>
      </c>
      <c r="XV14" s="4"/>
      <c r="XW14" s="5"/>
    </row>
    <row r="15" spans="2:647" x14ac:dyDescent="0.25">
      <c r="B15" s="755"/>
      <c r="C15" s="743" t="s">
        <v>8</v>
      </c>
      <c r="D15" s="757" t="s">
        <v>14</v>
      </c>
      <c r="E15" s="757"/>
      <c r="F15" s="57">
        <v>0.1</v>
      </c>
      <c r="G15" s="767" t="s">
        <v>5</v>
      </c>
      <c r="H15" s="18"/>
      <c r="I15" s="19"/>
      <c r="J15" s="18"/>
      <c r="K15" s="19"/>
      <c r="L15" s="18"/>
      <c r="M15" s="19"/>
      <c r="N15" s="18"/>
      <c r="O15" s="19"/>
      <c r="P15" s="18"/>
      <c r="Q15" s="19"/>
      <c r="R15" s="18"/>
      <c r="S15" s="19"/>
      <c r="T15" s="18"/>
      <c r="U15" s="19"/>
      <c r="V15" s="18"/>
      <c r="W15" s="19"/>
      <c r="X15" s="18"/>
      <c r="Y15" s="19"/>
      <c r="Z15" s="18"/>
      <c r="AA15" s="19"/>
      <c r="AB15" s="18"/>
      <c r="AC15" s="19"/>
      <c r="AD15" s="18"/>
      <c r="AE15" s="19"/>
      <c r="AF15" s="18"/>
      <c r="AG15" s="19"/>
      <c r="AH15" s="18"/>
      <c r="AI15" s="19"/>
      <c r="AJ15" s="18"/>
      <c r="AK15" s="19"/>
      <c r="AL15" s="18"/>
      <c r="AM15" s="19"/>
      <c r="AN15" s="18"/>
      <c r="AO15" s="19"/>
      <c r="AP15" s="18"/>
      <c r="AQ15" s="19"/>
      <c r="AR15" s="18"/>
      <c r="AS15" s="19"/>
      <c r="AT15" s="18"/>
      <c r="AU15" s="19"/>
      <c r="AV15" s="18"/>
      <c r="AW15" s="19"/>
      <c r="AX15" s="18"/>
      <c r="AY15" s="19"/>
      <c r="AZ15" s="18"/>
      <c r="BA15" s="19"/>
      <c r="BB15" s="18"/>
      <c r="BC15" s="19"/>
      <c r="BD15" s="18"/>
      <c r="BE15" s="19"/>
      <c r="BF15" s="18">
        <v>-4.2839999999999989</v>
      </c>
      <c r="BG15" s="19">
        <v>0.53846153846153844</v>
      </c>
      <c r="BH15" s="18">
        <v>-4.68</v>
      </c>
      <c r="BI15" s="19">
        <v>0.46153846153846156</v>
      </c>
      <c r="BJ15" s="18">
        <v>3.7879999999999994</v>
      </c>
      <c r="BK15" s="19">
        <v>0.66666666666666663</v>
      </c>
      <c r="BL15" s="18">
        <v>-0.72199999999999986</v>
      </c>
      <c r="BM15" s="19">
        <v>0.53846153846153844</v>
      </c>
      <c r="BN15" s="18"/>
      <c r="BO15" s="19"/>
      <c r="BP15" s="18">
        <v>-7.5360000000000014</v>
      </c>
      <c r="BQ15" s="19">
        <v>0.38461538461538464</v>
      </c>
      <c r="BR15" s="18">
        <v>5.1479999999999997</v>
      </c>
      <c r="BS15" s="19">
        <v>0.69230769230769229</v>
      </c>
      <c r="BT15" s="18"/>
      <c r="BU15" s="19"/>
      <c r="BV15" s="18">
        <v>-8.4260000000000019</v>
      </c>
      <c r="BW15" s="19">
        <v>0.23076923076923078</v>
      </c>
      <c r="BX15" s="18">
        <v>-7.2680000000000007</v>
      </c>
      <c r="BY15" s="19">
        <v>0.23076923076923078</v>
      </c>
      <c r="BZ15" s="18">
        <v>0.20800000000000002</v>
      </c>
      <c r="CA15" s="19">
        <v>0.46153846153846156</v>
      </c>
      <c r="CB15" s="18">
        <v>-1.8740000000000006</v>
      </c>
      <c r="CC15" s="19">
        <v>0.53846153846153844</v>
      </c>
      <c r="CD15" s="18">
        <v>-2.6880000000000002</v>
      </c>
      <c r="CE15" s="19">
        <v>0.46153846153846156</v>
      </c>
      <c r="CF15" s="18">
        <v>-2.2440000000000002</v>
      </c>
      <c r="CG15" s="19">
        <v>0.30769230769230771</v>
      </c>
      <c r="CH15" s="18">
        <v>-9.4420000000000002</v>
      </c>
      <c r="CI15" s="19">
        <v>0.15384615384615385</v>
      </c>
      <c r="CJ15" s="18"/>
      <c r="CK15" s="19"/>
      <c r="CL15" s="18">
        <v>3.3440000000000003</v>
      </c>
      <c r="CM15" s="19">
        <v>0.53846153846153844</v>
      </c>
      <c r="CN15" s="18">
        <v>-0.35799999999999932</v>
      </c>
      <c r="CO15" s="19">
        <v>0.38461538461538464</v>
      </c>
      <c r="CP15" s="18">
        <v>-3.6560000000000015</v>
      </c>
      <c r="CQ15" s="19">
        <v>0.33333333333333331</v>
      </c>
      <c r="CR15" s="18">
        <v>-1.8320000000000001</v>
      </c>
      <c r="CS15" s="19">
        <v>0.38461538461538464</v>
      </c>
      <c r="CT15" s="18">
        <v>-4.4159999999999995</v>
      </c>
      <c r="CU15" s="19">
        <v>0.38461538461538464</v>
      </c>
      <c r="CV15" s="18">
        <v>-8.7360000000000007</v>
      </c>
      <c r="CW15" s="19">
        <v>0.23076923076923078</v>
      </c>
      <c r="CX15" s="18">
        <v>1.5159999999999996</v>
      </c>
      <c r="CY15" s="19">
        <v>0.53846153846153844</v>
      </c>
      <c r="CZ15" s="18">
        <v>6.9120000000000008</v>
      </c>
      <c r="DA15" s="19">
        <v>0.61538461538461542</v>
      </c>
      <c r="DB15" s="18">
        <v>-13.030000000000001</v>
      </c>
      <c r="DC15" s="19">
        <v>0.30769230769230771</v>
      </c>
      <c r="DD15" s="18">
        <v>-5.92</v>
      </c>
      <c r="DE15" s="19">
        <v>0.61538461538461542</v>
      </c>
      <c r="DF15" s="18">
        <v>5.089999999999999</v>
      </c>
      <c r="DG15" s="19">
        <v>0.38461538461538464</v>
      </c>
      <c r="DH15" s="18">
        <v>-8.0920000000000005</v>
      </c>
      <c r="DI15" s="19">
        <v>0.46153846153846156</v>
      </c>
      <c r="DJ15" s="18">
        <v>-6.9939999999999998</v>
      </c>
      <c r="DK15" s="19">
        <v>0.33333333333333331</v>
      </c>
      <c r="DL15" s="18">
        <v>-3.374000000000001</v>
      </c>
      <c r="DM15" s="19">
        <v>0.30769230769230771</v>
      </c>
      <c r="DN15" s="18">
        <v>-2.6000000000000155E-2</v>
      </c>
      <c r="DO15" s="19">
        <v>0.58333333333333337</v>
      </c>
      <c r="DP15" s="18"/>
      <c r="DQ15" s="19"/>
      <c r="DR15" s="18">
        <v>-5.242</v>
      </c>
      <c r="DS15" s="19">
        <v>0.30769230769230771</v>
      </c>
      <c r="DT15" s="18">
        <v>-5.242</v>
      </c>
      <c r="DU15" s="19">
        <v>0.30769230769230771</v>
      </c>
      <c r="DV15" s="18">
        <v>0.56799999999999984</v>
      </c>
      <c r="DW15" s="19">
        <v>0.46153846153846156</v>
      </c>
      <c r="DX15" s="18">
        <v>-3.5740000000000007</v>
      </c>
      <c r="DY15" s="19">
        <v>0.23076923076923078</v>
      </c>
      <c r="DZ15" s="18">
        <v>-4.7519999999999998</v>
      </c>
      <c r="EA15" s="19">
        <v>0.53846153846153844</v>
      </c>
      <c r="EB15" s="18">
        <v>-5.1599999999999993</v>
      </c>
      <c r="EC15" s="19">
        <v>0.46153846153846156</v>
      </c>
      <c r="ED15" s="18">
        <v>-7.4640000000000013</v>
      </c>
      <c r="EE15" s="19">
        <v>0.38461538461538464</v>
      </c>
      <c r="EF15" s="18">
        <v>-2.5259999999999998</v>
      </c>
      <c r="EG15" s="19">
        <v>0.46153846153846156</v>
      </c>
      <c r="EH15" s="18">
        <v>-1.1040000000000001</v>
      </c>
      <c r="EI15" s="19">
        <v>0.45454545454545453</v>
      </c>
      <c r="EJ15" s="18">
        <v>-7.6239999999999997</v>
      </c>
      <c r="EK15" s="19">
        <v>0.30769230769230771</v>
      </c>
      <c r="EL15" s="18">
        <v>4.04</v>
      </c>
      <c r="EM15" s="19">
        <v>0.61538461538461542</v>
      </c>
      <c r="EN15" s="18">
        <v>-0.94600000000000029</v>
      </c>
      <c r="EO15" s="19">
        <v>0.30769230769230771</v>
      </c>
      <c r="EP15" s="18">
        <v>-0.59600000000000031</v>
      </c>
      <c r="EQ15" s="19">
        <v>0.38461538461538464</v>
      </c>
      <c r="ER15" s="18">
        <v>-5.9039999999999999</v>
      </c>
      <c r="ES15" s="19">
        <v>0.38461538461538464</v>
      </c>
      <c r="ET15" s="18">
        <v>-0.94600000000000029</v>
      </c>
      <c r="EU15" s="19">
        <v>0.30769230769230771</v>
      </c>
      <c r="EV15" s="18">
        <v>-0.59600000000000031</v>
      </c>
      <c r="EW15" s="19">
        <v>0.38461538461538464</v>
      </c>
      <c r="EX15" s="18">
        <v>-5.9039999999999999</v>
      </c>
      <c r="EY15" s="19">
        <v>0.38461538461538464</v>
      </c>
      <c r="EZ15" s="18"/>
      <c r="FA15" s="19"/>
      <c r="FB15" s="18">
        <v>-6.16</v>
      </c>
      <c r="FC15" s="19">
        <v>0.30769230769230771</v>
      </c>
      <c r="FD15" s="18">
        <v>3.6899999999999995</v>
      </c>
      <c r="FE15" s="19">
        <v>0.53846153846153844</v>
      </c>
      <c r="FF15" s="18">
        <v>-3.8100000000000005</v>
      </c>
      <c r="FG15" s="19">
        <v>0.30769230769230771</v>
      </c>
      <c r="FH15" s="18">
        <v>-0.84999999999999942</v>
      </c>
      <c r="FI15" s="19">
        <v>0.5</v>
      </c>
      <c r="FJ15" s="18">
        <v>1.2399999999999998</v>
      </c>
      <c r="FK15" s="19">
        <v>0.5</v>
      </c>
      <c r="FL15" s="18">
        <v>0.82000000000000006</v>
      </c>
      <c r="FM15" s="19">
        <v>0.58333333333333337</v>
      </c>
      <c r="FN15" s="18">
        <v>3.2200000000000006</v>
      </c>
      <c r="FO15" s="19">
        <v>0.61538461538461542</v>
      </c>
      <c r="FP15" s="18">
        <v>-3.2300000000000004</v>
      </c>
      <c r="FQ15" s="19">
        <v>0.38461538461538464</v>
      </c>
      <c r="FR15" s="18">
        <v>-3.37</v>
      </c>
      <c r="FS15" s="19">
        <v>0.38461538461538464</v>
      </c>
      <c r="FT15" s="18">
        <v>-1.9200000000000004</v>
      </c>
      <c r="FU15" s="19">
        <v>0.46153846153846156</v>
      </c>
      <c r="FV15" s="18">
        <v>3.3999999999999995</v>
      </c>
      <c r="FW15" s="19">
        <v>0.53846153846153844</v>
      </c>
      <c r="FX15" s="18">
        <v>1.2299999999999998</v>
      </c>
      <c r="FY15" s="19">
        <v>0.53846153846153844</v>
      </c>
      <c r="FZ15" s="18">
        <v>-0.6499999999999998</v>
      </c>
      <c r="GA15" s="19">
        <v>0.53846153846153844</v>
      </c>
      <c r="GB15" s="18">
        <v>1.4</v>
      </c>
      <c r="GC15" s="19">
        <v>0.61538461538461542</v>
      </c>
      <c r="GD15" s="18">
        <v>0.85000000000000075</v>
      </c>
      <c r="GE15" s="19">
        <v>0.46153846153846156</v>
      </c>
      <c r="GF15" s="18">
        <v>-4.8699999999999992</v>
      </c>
      <c r="GG15" s="19">
        <v>0.46153846153846156</v>
      </c>
      <c r="GH15" s="18">
        <v>-2.2800000000000007</v>
      </c>
      <c r="GI15" s="19">
        <v>0.38461538461538464</v>
      </c>
      <c r="GJ15" s="18">
        <v>2.0400000000000005</v>
      </c>
      <c r="GK15" s="19">
        <v>0.6</v>
      </c>
      <c r="GL15" s="18">
        <v>-3.8700000000000006</v>
      </c>
      <c r="GM15" s="19">
        <v>0.46153846153846156</v>
      </c>
      <c r="GN15" s="18"/>
      <c r="GO15" s="19"/>
      <c r="GP15" s="18">
        <v>-1.0599999999999998</v>
      </c>
      <c r="GQ15" s="19">
        <v>0.30769230769230771</v>
      </c>
      <c r="GR15" s="18">
        <v>-7.5899999999999981</v>
      </c>
      <c r="GS15" s="19">
        <v>0.30769230769230771</v>
      </c>
      <c r="GT15" s="18">
        <v>-3.78</v>
      </c>
      <c r="GU15" s="19">
        <v>0.38461538461538464</v>
      </c>
      <c r="GV15" s="18">
        <v>-0.42999999999999994</v>
      </c>
      <c r="GW15" s="19">
        <v>0.53846153846153844</v>
      </c>
      <c r="GX15" s="18">
        <v>-2.3500000000000005</v>
      </c>
      <c r="GY15" s="19">
        <v>0.61538461538461542</v>
      </c>
      <c r="GZ15" s="18"/>
      <c r="HA15" s="19"/>
      <c r="HB15" s="18">
        <v>-3.99</v>
      </c>
      <c r="HC15" s="19">
        <v>0.15384615384615385</v>
      </c>
      <c r="HD15" s="18">
        <v>-3.8600000000000008</v>
      </c>
      <c r="HE15" s="19">
        <v>0.30769230769230771</v>
      </c>
      <c r="HF15" s="18">
        <v>-9.34</v>
      </c>
      <c r="HG15" s="19">
        <v>0.23076923076923078</v>
      </c>
      <c r="HH15" s="18">
        <v>4.4200000000000008</v>
      </c>
      <c r="HI15" s="19">
        <v>0.53846153846153844</v>
      </c>
      <c r="HJ15" s="18">
        <v>3.74</v>
      </c>
      <c r="HK15" s="19">
        <v>0.53846153846153844</v>
      </c>
      <c r="HL15" s="18">
        <v>-3.5699999999999994</v>
      </c>
      <c r="HM15" s="19">
        <v>0.33333333333333331</v>
      </c>
      <c r="HN15" s="18">
        <v>-6.2100000000000009</v>
      </c>
      <c r="HO15" s="19">
        <v>0.15384615384615385</v>
      </c>
      <c r="HP15" s="18">
        <v>-2.7800000000000002</v>
      </c>
      <c r="HQ15" s="19">
        <v>0.33333333333333331</v>
      </c>
      <c r="HR15" s="18">
        <v>-1.97</v>
      </c>
      <c r="HS15" s="19">
        <v>0.23076923076923078</v>
      </c>
      <c r="HT15" s="18">
        <v>-6.6899999999999986</v>
      </c>
      <c r="HU15" s="19">
        <v>0.38461538461538464</v>
      </c>
      <c r="HV15" s="18">
        <v>-2.1800000000000002</v>
      </c>
      <c r="HW15" s="19">
        <v>0.38461538461538464</v>
      </c>
      <c r="HX15" s="18"/>
      <c r="HY15" s="19"/>
      <c r="HZ15" s="18">
        <v>-10.180000000000003</v>
      </c>
      <c r="IA15" s="19">
        <v>0.23076923076923078</v>
      </c>
      <c r="IB15" s="18">
        <v>-2.06</v>
      </c>
      <c r="IC15" s="19">
        <v>0.33333333333333331</v>
      </c>
      <c r="ID15" s="18">
        <v>2.85</v>
      </c>
      <c r="IE15" s="19">
        <v>0.46153846153846156</v>
      </c>
      <c r="IF15" s="18">
        <v>1.62</v>
      </c>
      <c r="IG15" s="19">
        <v>0.61538461538461542</v>
      </c>
      <c r="IH15" s="18">
        <v>-1.3800000000000008</v>
      </c>
      <c r="II15" s="19">
        <v>0.53846153846153844</v>
      </c>
      <c r="IJ15" s="18">
        <v>-0.12999999999999987</v>
      </c>
      <c r="IK15" s="19">
        <v>0.33333333333333331</v>
      </c>
      <c r="IL15" s="18">
        <v>-2.7700000000000009</v>
      </c>
      <c r="IM15" s="19">
        <v>0.41666666666666669</v>
      </c>
      <c r="IN15" s="18">
        <v>-5.6000000000000014</v>
      </c>
      <c r="IO15" s="19">
        <v>0.46153846153846156</v>
      </c>
      <c r="IP15" s="18">
        <v>-3.88</v>
      </c>
      <c r="IQ15" s="19">
        <v>0.30769230769230771</v>
      </c>
      <c r="IR15" s="18"/>
      <c r="IS15" s="19"/>
      <c r="IT15" s="18"/>
      <c r="IU15" s="19"/>
      <c r="IV15" s="18">
        <v>0.58999999999999941</v>
      </c>
      <c r="IW15" s="19">
        <v>0.46153846153846156</v>
      </c>
      <c r="IX15" s="18">
        <v>-7.6800000000000015</v>
      </c>
      <c r="IY15" s="19">
        <v>0.46153846153846156</v>
      </c>
      <c r="IZ15" s="18"/>
      <c r="JA15" s="19"/>
      <c r="JB15" s="18"/>
      <c r="JC15" s="19"/>
      <c r="JD15" s="18"/>
      <c r="JE15" s="19"/>
      <c r="JF15" s="18">
        <v>-3.9000000000000008</v>
      </c>
      <c r="JG15" s="19">
        <v>0.53846153846153844</v>
      </c>
      <c r="JH15" s="18">
        <v>-2.19</v>
      </c>
      <c r="JI15" s="19">
        <v>0.53846153846153844</v>
      </c>
      <c r="JJ15" s="18">
        <v>3.17</v>
      </c>
      <c r="JK15" s="19">
        <v>0.53846153846153844</v>
      </c>
      <c r="JL15" s="18"/>
      <c r="JM15" s="19"/>
      <c r="JN15" s="18">
        <v>-1.7599999999999998</v>
      </c>
      <c r="JO15" s="19">
        <v>0.53846153846153844</v>
      </c>
      <c r="JP15" s="18">
        <v>-2.7500000000000004</v>
      </c>
      <c r="JQ15" s="19">
        <v>0.30769230769230771</v>
      </c>
      <c r="JR15" s="18">
        <v>-6.27</v>
      </c>
      <c r="JS15" s="19">
        <v>0.38461538461538464</v>
      </c>
      <c r="JT15" s="18"/>
      <c r="JU15" s="19"/>
      <c r="JV15" s="18"/>
      <c r="JW15" s="19"/>
      <c r="JX15" s="18"/>
      <c r="JY15" s="19"/>
      <c r="JZ15" s="18">
        <v>-3.2800000000000002</v>
      </c>
      <c r="KA15" s="19">
        <v>0.30769230769230771</v>
      </c>
      <c r="KB15" s="18">
        <v>-3.3100000000000014</v>
      </c>
      <c r="KC15" s="19">
        <v>0.38461538461538464</v>
      </c>
      <c r="KD15" s="18">
        <v>-18.37</v>
      </c>
      <c r="KE15" s="19">
        <v>0.16666666666666666</v>
      </c>
      <c r="KF15" s="18">
        <v>0.43000000000000049</v>
      </c>
      <c r="KG15" s="19">
        <v>0.53846153846153844</v>
      </c>
      <c r="KH15" s="18">
        <v>2.5899999999999994</v>
      </c>
      <c r="KI15" s="19">
        <v>0.69230769230769229</v>
      </c>
      <c r="KJ15" s="18">
        <v>-2.91</v>
      </c>
      <c r="KK15" s="19">
        <v>0.38461538461538464</v>
      </c>
      <c r="KL15" s="18">
        <v>-6.7599999999999989</v>
      </c>
      <c r="KM15" s="19">
        <v>0.46153846153846156</v>
      </c>
      <c r="KN15" s="18">
        <v>-2.9000000000000004</v>
      </c>
      <c r="KO15" s="19">
        <v>0.38461538461538464</v>
      </c>
      <c r="KP15" s="18"/>
      <c r="KQ15" s="19"/>
      <c r="KR15" s="18">
        <v>3.73</v>
      </c>
      <c r="KS15" s="19">
        <v>0.53846153846153844</v>
      </c>
      <c r="KT15" s="18"/>
      <c r="KU15" s="19"/>
      <c r="KV15" s="18">
        <v>-1.7199999999999998</v>
      </c>
      <c r="KW15" s="19">
        <v>0.46153846153846156</v>
      </c>
      <c r="KX15" s="18">
        <v>-5.31</v>
      </c>
      <c r="KY15" s="19">
        <v>0.38461538461538464</v>
      </c>
      <c r="KZ15" s="18">
        <v>-11.830000000000002</v>
      </c>
      <c r="LA15" s="19">
        <v>0.46153846153846156</v>
      </c>
      <c r="LB15" s="18">
        <v>-6.3800000000000017</v>
      </c>
      <c r="LC15" s="19">
        <v>0.46153846153846156</v>
      </c>
      <c r="LD15" s="18">
        <v>-7.48</v>
      </c>
      <c r="LE15" s="19">
        <v>0.30769230769230771</v>
      </c>
      <c r="LF15" s="18">
        <v>-18.849999999999994</v>
      </c>
      <c r="LG15" s="19">
        <v>0.25</v>
      </c>
      <c r="LH15" s="18">
        <v>-0.13999999999999946</v>
      </c>
      <c r="LI15" s="19">
        <v>0.46153846153846156</v>
      </c>
      <c r="LJ15" s="18"/>
      <c r="LK15" s="19"/>
      <c r="LL15" s="18">
        <v>5.7400000000000011</v>
      </c>
      <c r="LM15" s="19">
        <v>0.5</v>
      </c>
      <c r="LN15" s="18">
        <v>-13.859999999999996</v>
      </c>
      <c r="LO15" s="19">
        <v>0.23076923076923078</v>
      </c>
      <c r="LP15" s="18">
        <v>-2.2699999999999996</v>
      </c>
      <c r="LQ15" s="19">
        <v>0.38461538461538464</v>
      </c>
      <c r="LR15" s="18">
        <v>-7.55</v>
      </c>
      <c r="LS15" s="19">
        <v>0.45454545454545453</v>
      </c>
      <c r="LT15" s="18">
        <v>20.080000000000002</v>
      </c>
      <c r="LU15" s="19">
        <v>0.75</v>
      </c>
      <c r="LV15" s="18">
        <v>-10.290000000000001</v>
      </c>
      <c r="LW15" s="19">
        <v>0.25</v>
      </c>
      <c r="LX15" s="18">
        <v>-1.9600000000000006</v>
      </c>
      <c r="LY15" s="19">
        <v>0.5</v>
      </c>
      <c r="LZ15" s="18">
        <v>-1.4600000000000004</v>
      </c>
      <c r="MA15" s="19">
        <v>0.5</v>
      </c>
      <c r="MB15" s="18">
        <v>-6.8400000000000025</v>
      </c>
      <c r="MC15" s="19">
        <v>0.4</v>
      </c>
      <c r="MD15" s="18"/>
      <c r="ME15" s="19"/>
      <c r="MF15" s="18">
        <v>-5.37</v>
      </c>
      <c r="MG15" s="19">
        <v>0.5</v>
      </c>
      <c r="MH15" s="18">
        <v>-16.850000000000001</v>
      </c>
      <c r="MI15" s="19">
        <v>0</v>
      </c>
      <c r="MJ15" s="18">
        <v>-13.89</v>
      </c>
      <c r="MK15" s="19">
        <v>0</v>
      </c>
      <c r="ML15" s="18">
        <v>9.7499999999999982</v>
      </c>
      <c r="MM15" s="19">
        <v>0.45454545454545453</v>
      </c>
      <c r="MN15" s="18">
        <v>8.5</v>
      </c>
      <c r="MO15" s="19">
        <v>0.66666666666666663</v>
      </c>
      <c r="MP15" s="18">
        <v>-26.329999999999995</v>
      </c>
      <c r="MQ15" s="19">
        <v>8.3333333333333329E-2</v>
      </c>
      <c r="MR15" s="18">
        <v>19.559999999999995</v>
      </c>
      <c r="MS15" s="19">
        <v>0.69230769230769229</v>
      </c>
      <c r="MT15" s="18">
        <v>-18.96</v>
      </c>
      <c r="MU15" s="19">
        <v>0.33333333333333331</v>
      </c>
      <c r="MV15" s="18">
        <v>4.68</v>
      </c>
      <c r="MW15" s="19">
        <v>0.5</v>
      </c>
      <c r="MX15" s="18">
        <v>-16.22</v>
      </c>
      <c r="MY15" s="19">
        <v>0.22222222222222221</v>
      </c>
      <c r="MZ15" s="18">
        <v>-17.64</v>
      </c>
      <c r="NA15" s="19">
        <v>0.1</v>
      </c>
      <c r="NB15" s="18">
        <v>5.7799999999999976</v>
      </c>
      <c r="NC15" s="19">
        <v>0.45454545454545453</v>
      </c>
      <c r="ND15" s="18"/>
      <c r="NE15" s="19"/>
      <c r="NF15" s="18">
        <v>-5.52</v>
      </c>
      <c r="NG15" s="19">
        <v>0.33333333333333331</v>
      </c>
      <c r="NH15" s="18">
        <v>-5.52</v>
      </c>
      <c r="NI15" s="19">
        <v>0.33333333333333331</v>
      </c>
      <c r="NJ15" s="18">
        <v>-8.0400000000000009</v>
      </c>
      <c r="NK15" s="19">
        <v>0.25</v>
      </c>
      <c r="NL15" s="18">
        <v>0.17999999999999994</v>
      </c>
      <c r="NM15" s="19">
        <v>0.53846153846153844</v>
      </c>
      <c r="NN15" s="18"/>
      <c r="NO15" s="19"/>
      <c r="NP15" s="18">
        <v>2.08</v>
      </c>
      <c r="NQ15" s="19">
        <v>1</v>
      </c>
      <c r="NR15" s="18">
        <v>-3.9299999999999997</v>
      </c>
      <c r="NS15" s="19">
        <v>0.42857142857142855</v>
      </c>
      <c r="NT15" s="18">
        <v>5.2799999999999976</v>
      </c>
      <c r="NU15" s="19">
        <v>0.54545454545454541</v>
      </c>
      <c r="NV15" s="18">
        <v>5.3699999999999983</v>
      </c>
      <c r="NW15" s="19">
        <v>0.5</v>
      </c>
      <c r="NX15" s="18">
        <v>2.0499999999999998</v>
      </c>
      <c r="NY15" s="19">
        <v>0.46153846153846156</v>
      </c>
      <c r="NZ15" s="18">
        <v>0.57000000000000051</v>
      </c>
      <c r="OA15" s="19">
        <v>0.6</v>
      </c>
      <c r="OB15" s="18">
        <v>-3.5500000000000003</v>
      </c>
      <c r="OC15" s="19">
        <v>0.4</v>
      </c>
      <c r="OD15" s="18">
        <v>-6.6999999999999993</v>
      </c>
      <c r="OE15" s="19">
        <v>0.5</v>
      </c>
      <c r="OF15" s="18">
        <v>4.7600000000000007</v>
      </c>
      <c r="OG15" s="19">
        <v>0.83333333333333337</v>
      </c>
      <c r="OH15" s="18">
        <v>17.049999999999997</v>
      </c>
      <c r="OI15" s="19">
        <v>0.61538461538461542</v>
      </c>
      <c r="OJ15" s="18"/>
      <c r="OK15" s="19"/>
      <c r="OL15" s="18">
        <v>3.1500000000000004</v>
      </c>
      <c r="OM15" s="19">
        <v>0.38461538461538464</v>
      </c>
      <c r="ON15" s="18">
        <v>-2.050000000000002</v>
      </c>
      <c r="OO15" s="19">
        <v>0.38461538461538464</v>
      </c>
      <c r="OP15" s="18">
        <v>-19.269999999999996</v>
      </c>
      <c r="OQ15" s="19">
        <v>0.30769230769230771</v>
      </c>
      <c r="OR15" s="18">
        <v>-2.3100000000000005</v>
      </c>
      <c r="OS15" s="19">
        <v>0.46153846153846156</v>
      </c>
      <c r="OT15" s="18">
        <v>-3.930000000000001</v>
      </c>
      <c r="OU15" s="19">
        <v>0.61538461538461542</v>
      </c>
      <c r="OV15" s="18"/>
      <c r="OW15" s="19"/>
      <c r="OX15" s="18">
        <v>4.6500000000000004</v>
      </c>
      <c r="OY15" s="19">
        <v>0.61538461538461542</v>
      </c>
      <c r="OZ15" s="18">
        <v>9.490000000000002</v>
      </c>
      <c r="PA15" s="19">
        <v>0.7857142857142857</v>
      </c>
      <c r="PB15" s="18">
        <v>4.3100000000000014</v>
      </c>
      <c r="PC15" s="19">
        <v>0.46153846153846156</v>
      </c>
      <c r="PD15" s="18">
        <v>-2.2600000000000007</v>
      </c>
      <c r="PE15" s="19">
        <v>0.53846153846153844</v>
      </c>
      <c r="PF15" s="18">
        <v>2.2899999999999987</v>
      </c>
      <c r="PG15" s="19">
        <v>0.46153846153846156</v>
      </c>
      <c r="PH15" s="18">
        <v>-17.200000000000003</v>
      </c>
      <c r="PI15" s="19">
        <v>0.30769230769230771</v>
      </c>
      <c r="PJ15" s="18"/>
      <c r="PK15" s="19"/>
      <c r="PL15" s="18"/>
      <c r="PM15" s="19"/>
      <c r="PN15" s="18">
        <v>8.08</v>
      </c>
      <c r="PO15" s="19">
        <v>0.75</v>
      </c>
      <c r="PP15" s="18">
        <v>-6.01</v>
      </c>
      <c r="PQ15" s="19">
        <v>0.33333333333333331</v>
      </c>
      <c r="PR15" s="18"/>
      <c r="PS15" s="19"/>
      <c r="PT15" s="18">
        <v>-9.1300000000000008</v>
      </c>
      <c r="PU15" s="19">
        <v>0.38461538461538464</v>
      </c>
      <c r="PV15" s="18">
        <v>-6.57</v>
      </c>
      <c r="PW15" s="19">
        <v>0.38461538461538464</v>
      </c>
      <c r="PX15" s="18">
        <v>10.920000000000003</v>
      </c>
      <c r="PY15" s="19">
        <v>0.6428571428571429</v>
      </c>
      <c r="PZ15" s="18">
        <v>-5.2399999999999993</v>
      </c>
      <c r="QA15" s="19">
        <v>0.33333333333333331</v>
      </c>
      <c r="QB15" s="18">
        <v>8.8400000000000016</v>
      </c>
      <c r="QC15" s="19">
        <v>0.53846153846153844</v>
      </c>
      <c r="QD15" s="18">
        <v>-10.41</v>
      </c>
      <c r="QE15" s="19">
        <v>0.38461538461538464</v>
      </c>
      <c r="QF15" s="18">
        <v>-6.5699999999999994</v>
      </c>
      <c r="QG15" s="19">
        <v>0.38461538461538464</v>
      </c>
      <c r="QH15" s="18">
        <v>2.2299999999999995</v>
      </c>
      <c r="QI15" s="19">
        <v>0.53846153846153844</v>
      </c>
      <c r="QJ15" s="18">
        <v>-6.58</v>
      </c>
      <c r="QK15" s="19">
        <v>0.46153846153846156</v>
      </c>
      <c r="QL15" s="18">
        <v>0.99999999999999956</v>
      </c>
      <c r="QM15" s="19">
        <v>0.38461538461538464</v>
      </c>
      <c r="QN15" s="18">
        <v>-11.200000000000003</v>
      </c>
      <c r="QO15" s="19">
        <v>0.23076923076923078</v>
      </c>
      <c r="QP15" s="18">
        <v>2.1100000000000008</v>
      </c>
      <c r="QQ15" s="19">
        <v>0.30769230769230771</v>
      </c>
      <c r="QR15" s="18">
        <v>7.7200000000000006</v>
      </c>
      <c r="QS15" s="19">
        <v>0.76923076923076927</v>
      </c>
      <c r="QT15" s="18"/>
      <c r="QU15" s="19"/>
      <c r="QV15" s="18">
        <v>-3.95</v>
      </c>
      <c r="QW15" s="19">
        <v>0.42857142857142855</v>
      </c>
      <c r="QX15" s="18">
        <v>-2.4099999999999997</v>
      </c>
      <c r="QY15" s="19">
        <v>0.41666666666666669</v>
      </c>
      <c r="QZ15" s="18"/>
      <c r="RA15" s="19"/>
      <c r="RB15" s="18">
        <v>-0.22999999999999959</v>
      </c>
      <c r="RC15" s="19">
        <v>0.46153846153846156</v>
      </c>
      <c r="RD15" s="18">
        <v>-11.659999999999998</v>
      </c>
      <c r="RE15" s="19">
        <v>0.2857142857142857</v>
      </c>
      <c r="RF15" s="18">
        <v>-0.22999999999999945</v>
      </c>
      <c r="RG15" s="19">
        <v>0.69230769230769229</v>
      </c>
      <c r="RH15" s="18">
        <v>3.1600000000000015</v>
      </c>
      <c r="RI15" s="19">
        <v>0.5</v>
      </c>
      <c r="RJ15" s="18">
        <v>2.1400000000000006</v>
      </c>
      <c r="RK15" s="19">
        <v>0.5714285714285714</v>
      </c>
      <c r="RL15" s="18">
        <v>-3.66</v>
      </c>
      <c r="RM15" s="19">
        <v>0.5</v>
      </c>
      <c r="RN15" s="18">
        <v>-10.649999999999999</v>
      </c>
      <c r="RO15" s="19">
        <v>0.30769230769230771</v>
      </c>
      <c r="RP15" s="18">
        <v>-11.020000000000001</v>
      </c>
      <c r="RQ15" s="19">
        <v>0.25</v>
      </c>
      <c r="RR15" s="18">
        <v>-11.160000000000002</v>
      </c>
      <c r="RS15" s="19">
        <v>0.35714285714285715</v>
      </c>
      <c r="RT15" s="18">
        <v>-11.96</v>
      </c>
      <c r="RU15" s="19">
        <v>0.5</v>
      </c>
      <c r="RV15" s="18">
        <v>5.25</v>
      </c>
      <c r="RW15" s="19">
        <v>0.5</v>
      </c>
      <c r="RX15" s="18">
        <v>-7.8900000000000006</v>
      </c>
      <c r="RY15" s="19">
        <v>0.30769230769230771</v>
      </c>
      <c r="RZ15" s="18">
        <v>-7.2200000000000006</v>
      </c>
      <c r="SA15" s="19">
        <v>0.25</v>
      </c>
      <c r="SB15" s="18">
        <v>-1.4600000000000006</v>
      </c>
      <c r="SC15" s="19">
        <v>0.38461538461538464</v>
      </c>
      <c r="SD15" s="18">
        <v>-5.3199999999999985</v>
      </c>
      <c r="SE15" s="19">
        <v>0.21428571428571427</v>
      </c>
      <c r="SF15" s="18"/>
      <c r="SG15" s="19"/>
      <c r="SH15" s="18">
        <v>-5.26</v>
      </c>
      <c r="SI15" s="19">
        <v>0.23076923076923078</v>
      </c>
      <c r="SJ15" s="18">
        <v>-1.2700000000000005</v>
      </c>
      <c r="SK15" s="19">
        <v>0.42857142857142855</v>
      </c>
      <c r="SL15" s="18">
        <v>-4.22</v>
      </c>
      <c r="SM15" s="19">
        <v>0.2857142857142857</v>
      </c>
      <c r="SN15" s="18">
        <v>1.4700000000000004</v>
      </c>
      <c r="SO15" s="19">
        <v>0.53846153846153844</v>
      </c>
      <c r="SP15" s="18">
        <v>-6.16</v>
      </c>
      <c r="SQ15" s="19">
        <v>0.46153846153846156</v>
      </c>
      <c r="SR15" s="18">
        <v>-8.5299999999999994</v>
      </c>
      <c r="SS15" s="19">
        <v>0.2857142857142857</v>
      </c>
      <c r="ST15" s="18">
        <v>-2.7999999999999994</v>
      </c>
      <c r="SU15" s="19">
        <v>0.42857142857142855</v>
      </c>
      <c r="SV15" s="18">
        <v>3.430000000000001</v>
      </c>
      <c r="SW15" s="19">
        <v>0.46153846153846156</v>
      </c>
      <c r="SX15" s="18"/>
      <c r="SY15" s="19"/>
      <c r="SZ15" s="18">
        <v>-3.850000000000001</v>
      </c>
      <c r="TA15" s="19">
        <v>0.33333333333333331</v>
      </c>
      <c r="TB15" s="18">
        <v>-8.01</v>
      </c>
      <c r="TC15" s="19">
        <v>0.30769230769230771</v>
      </c>
      <c r="TD15" s="18">
        <v>-3.39</v>
      </c>
      <c r="TE15" s="19">
        <v>0.53846153846153844</v>
      </c>
      <c r="TF15" s="18">
        <v>-8.9500000000000011</v>
      </c>
      <c r="TG15" s="19">
        <v>0.2857142857142857</v>
      </c>
      <c r="TH15" s="18">
        <v>-6.9200000000000008</v>
      </c>
      <c r="TI15" s="19">
        <v>0.5</v>
      </c>
      <c r="TJ15" s="18">
        <v>7.6099999999999994</v>
      </c>
      <c r="TK15" s="19">
        <v>0.46153846153846156</v>
      </c>
      <c r="TL15" s="18">
        <v>1.3299999999999996</v>
      </c>
      <c r="TM15" s="19">
        <v>0.42857142857142855</v>
      </c>
      <c r="TN15" s="18"/>
      <c r="TO15" s="19"/>
      <c r="TP15" s="18">
        <v>-4.6500000000000012</v>
      </c>
      <c r="TQ15" s="19">
        <v>0.46153846153846156</v>
      </c>
      <c r="TR15" s="18">
        <v>9.4799999999999986</v>
      </c>
      <c r="TS15" s="19">
        <v>0.61538461538461542</v>
      </c>
      <c r="TT15" s="18">
        <v>-9.2299999999999986</v>
      </c>
      <c r="TU15" s="19">
        <v>0.30769230769230771</v>
      </c>
      <c r="TV15" s="18">
        <v>8.1699999999999982</v>
      </c>
      <c r="TW15" s="19">
        <v>0.35714285714285715</v>
      </c>
      <c r="TX15" s="18">
        <v>-4.25</v>
      </c>
      <c r="TY15" s="19">
        <v>0.23076923076923078</v>
      </c>
      <c r="TZ15" s="18">
        <v>-3.0300000000000002</v>
      </c>
      <c r="UA15" s="19">
        <v>0.38461538461538464</v>
      </c>
      <c r="UB15" s="18">
        <v>-2.1899999999999995</v>
      </c>
      <c r="UC15" s="19">
        <v>0.5</v>
      </c>
      <c r="UD15" s="18">
        <v>-10.950000000000001</v>
      </c>
      <c r="UE15" s="19">
        <v>0.2857142857142857</v>
      </c>
      <c r="UF15" s="18">
        <v>-3.3899999999999997</v>
      </c>
      <c r="UG15" s="19">
        <v>0.35714285714285715</v>
      </c>
      <c r="UH15" s="18">
        <v>-3.6899999999999995</v>
      </c>
      <c r="UI15" s="19">
        <v>0.5</v>
      </c>
      <c r="UJ15" s="18">
        <v>3.4299999999999997</v>
      </c>
      <c r="UK15" s="19">
        <v>0.6428571428571429</v>
      </c>
      <c r="UL15" s="18">
        <v>-5.5600000000000005</v>
      </c>
      <c r="UM15" s="19">
        <v>0.5</v>
      </c>
      <c r="UN15" s="18">
        <v>2.4599999999999991</v>
      </c>
      <c r="UO15" s="19">
        <v>0.5</v>
      </c>
      <c r="UP15" s="18">
        <v>-7.700000000000002</v>
      </c>
      <c r="UQ15" s="19">
        <v>0.2857142857142857</v>
      </c>
      <c r="UR15" s="18">
        <v>-1.3300000000000005</v>
      </c>
      <c r="US15" s="19">
        <v>0.2857142857142857</v>
      </c>
      <c r="UT15" s="18">
        <v>1.52</v>
      </c>
      <c r="UU15" s="19">
        <v>0.61538461538461542</v>
      </c>
      <c r="UV15" s="18">
        <v>3.9000000000000004</v>
      </c>
      <c r="UW15" s="19">
        <v>0.46153846153846156</v>
      </c>
      <c r="UX15" s="18">
        <v>-8.66</v>
      </c>
      <c r="UY15" s="19">
        <v>0.42857142857142855</v>
      </c>
      <c r="UZ15" s="18"/>
      <c r="VA15" s="19"/>
      <c r="VB15" s="18">
        <v>-0.25999999999999979</v>
      </c>
      <c r="VC15" s="19">
        <v>0.35714285714285715</v>
      </c>
      <c r="VD15" s="18">
        <v>-7.24</v>
      </c>
      <c r="VE15" s="19">
        <v>0.42857142857142855</v>
      </c>
      <c r="VF15" s="18">
        <v>-4.2199999999999989</v>
      </c>
      <c r="VG15" s="19">
        <v>0.21428571428571427</v>
      </c>
      <c r="VH15" s="18">
        <v>-8.24</v>
      </c>
      <c r="VI15" s="19">
        <v>0.23076923076923078</v>
      </c>
      <c r="VJ15" s="18">
        <v>-3.32</v>
      </c>
      <c r="VK15" s="19">
        <v>0.35714285714285715</v>
      </c>
      <c r="VL15" s="18">
        <v>-2.3699999999999997</v>
      </c>
      <c r="VM15" s="19">
        <v>0.5714285714285714</v>
      </c>
      <c r="VN15" s="18">
        <v>1.4400000000000002</v>
      </c>
      <c r="VO15" s="19">
        <v>0.6428571428571429</v>
      </c>
      <c r="VP15" s="18">
        <v>1.0600000000000005</v>
      </c>
      <c r="VQ15" s="19">
        <v>0.42857142857142855</v>
      </c>
      <c r="VR15" s="18"/>
      <c r="VS15" s="19"/>
      <c r="VT15" s="18">
        <v>-12.880000000000003</v>
      </c>
      <c r="VU15" s="19">
        <v>0.21428571428571427</v>
      </c>
      <c r="VV15" s="18">
        <v>1.2099999999999991</v>
      </c>
      <c r="VW15" s="19">
        <v>0.2857142857142857</v>
      </c>
      <c r="VX15" s="18">
        <v>-7.16</v>
      </c>
      <c r="VY15" s="19">
        <v>0.42857142857142855</v>
      </c>
      <c r="VZ15" s="18">
        <v>3.2600000000000007</v>
      </c>
      <c r="WA15" s="19">
        <v>0.6428571428571429</v>
      </c>
      <c r="WB15" s="18">
        <v>-13.49</v>
      </c>
      <c r="WC15" s="19">
        <v>0.2857142857142857</v>
      </c>
      <c r="WD15" s="18">
        <v>-14.710000000000003</v>
      </c>
      <c r="WE15" s="19">
        <v>0.21428571428571427</v>
      </c>
      <c r="WF15" s="18">
        <v>11</v>
      </c>
      <c r="WG15" s="19">
        <v>0.6428571428571429</v>
      </c>
      <c r="WH15" s="18">
        <v>2.8099999999999992</v>
      </c>
      <c r="WI15" s="19">
        <v>0.5714285714285714</v>
      </c>
      <c r="WJ15" s="18">
        <v>-4.9800000000000004</v>
      </c>
      <c r="WK15" s="19">
        <v>0.21428571428571427</v>
      </c>
      <c r="WL15" s="18">
        <v>-0.77999999999999936</v>
      </c>
      <c r="WM15" s="19">
        <v>0.53846153846153844</v>
      </c>
      <c r="WN15" s="18">
        <v>0.61000000000000032</v>
      </c>
      <c r="WO15" s="19">
        <v>0.35714285714285715</v>
      </c>
      <c r="WP15" s="18">
        <v>-1.5499999999999994</v>
      </c>
      <c r="WQ15" s="19">
        <v>0.7142857142857143</v>
      </c>
      <c r="WR15" s="18">
        <v>-6.8500000000000005</v>
      </c>
      <c r="WS15" s="19">
        <v>0.5</v>
      </c>
      <c r="WT15" s="18">
        <v>-0.33000000000000007</v>
      </c>
      <c r="WU15" s="19">
        <v>0.5</v>
      </c>
      <c r="WV15" s="18">
        <v>2.54</v>
      </c>
      <c r="WW15" s="19">
        <v>0.5</v>
      </c>
      <c r="WX15" s="18">
        <v>-1.4300000000000002</v>
      </c>
      <c r="WY15" s="19">
        <v>0.35714285714285715</v>
      </c>
      <c r="WZ15" s="18">
        <v>0.96000000000000063</v>
      </c>
      <c r="XA15" s="19">
        <v>0.42857142857142855</v>
      </c>
      <c r="XB15" s="18">
        <v>-3.98</v>
      </c>
      <c r="XC15" s="19">
        <v>0.42857142857142855</v>
      </c>
      <c r="XD15" s="18"/>
      <c r="XE15" s="19"/>
      <c r="XF15" s="18">
        <v>4.75</v>
      </c>
      <c r="XG15" s="19">
        <v>0.5</v>
      </c>
      <c r="XH15" s="18">
        <v>-8.84</v>
      </c>
      <c r="XI15" s="19">
        <v>0.35714285714285715</v>
      </c>
      <c r="XJ15" s="18">
        <v>-1.4999999999999996</v>
      </c>
      <c r="XK15" s="19">
        <v>0.5</v>
      </c>
      <c r="XL15" s="18">
        <v>-4.1700000000000008</v>
      </c>
      <c r="XM15" s="19">
        <v>0.35714285714285715</v>
      </c>
      <c r="XN15" s="18">
        <v>-16.7</v>
      </c>
      <c r="XO15" s="19">
        <v>0.32142857142857145</v>
      </c>
      <c r="XP15" s="18">
        <v>-0.38000000000000012</v>
      </c>
      <c r="XQ15" s="19">
        <v>0.35714285714285715</v>
      </c>
      <c r="XR15" s="18">
        <v>-10.6</v>
      </c>
      <c r="XS15" s="19">
        <v>0.4642857142857143</v>
      </c>
      <c r="XT15" s="18">
        <v>-10.090000000000002</v>
      </c>
      <c r="XU15" s="19">
        <v>0.21428571428571427</v>
      </c>
      <c r="XV15" s="18">
        <v>2.93</v>
      </c>
      <c r="XW15" s="19">
        <v>0.35714285714285715</v>
      </c>
    </row>
    <row r="16" spans="2:647" x14ac:dyDescent="0.25">
      <c r="B16" s="755"/>
      <c r="C16" s="758"/>
      <c r="D16" s="757" t="s">
        <v>7</v>
      </c>
      <c r="E16" s="757"/>
      <c r="F16" s="57">
        <v>0.2</v>
      </c>
      <c r="G16" s="768"/>
      <c r="H16" s="3"/>
      <c r="I16" s="1"/>
      <c r="J16" s="3"/>
      <c r="K16" s="1"/>
      <c r="L16" s="3"/>
      <c r="M16" s="1"/>
      <c r="N16" s="3"/>
      <c r="O16" s="1"/>
      <c r="P16" s="3"/>
      <c r="Q16" s="1"/>
      <c r="R16" s="3"/>
      <c r="S16" s="1"/>
      <c r="T16" s="3"/>
      <c r="U16" s="1"/>
      <c r="V16" s="3"/>
      <c r="W16" s="1"/>
      <c r="X16" s="3"/>
      <c r="Y16" s="1"/>
      <c r="Z16" s="3"/>
      <c r="AA16" s="1"/>
      <c r="AB16" s="3"/>
      <c r="AC16" s="1"/>
      <c r="AD16" s="3"/>
      <c r="AE16" s="1"/>
      <c r="AF16" s="3"/>
      <c r="AG16" s="1"/>
      <c r="AH16" s="3"/>
      <c r="AI16" s="1"/>
      <c r="AJ16" s="3"/>
      <c r="AK16" s="1"/>
      <c r="AL16" s="3"/>
      <c r="AM16" s="1"/>
      <c r="AN16" s="3"/>
      <c r="AO16" s="1"/>
      <c r="AP16" s="3"/>
      <c r="AQ16" s="1"/>
      <c r="AR16" s="3"/>
      <c r="AS16" s="1"/>
      <c r="AT16" s="3"/>
      <c r="AU16" s="1"/>
      <c r="AV16" s="3"/>
      <c r="AW16" s="1"/>
      <c r="AX16" s="3"/>
      <c r="AY16" s="1"/>
      <c r="AZ16" s="3"/>
      <c r="BA16" s="1"/>
      <c r="BB16" s="3"/>
      <c r="BC16" s="1"/>
      <c r="BD16" s="3"/>
      <c r="BE16" s="1"/>
      <c r="BF16" s="11">
        <v>-0.96874999999999978</v>
      </c>
      <c r="BG16" s="12">
        <v>0.5</v>
      </c>
      <c r="BH16" s="11">
        <v>-1.52</v>
      </c>
      <c r="BI16" s="12">
        <v>0.4</v>
      </c>
      <c r="BJ16" s="11">
        <v>2.0024999999999999</v>
      </c>
      <c r="BK16" s="12">
        <v>0.625</v>
      </c>
      <c r="BL16" s="11">
        <v>0.64124999999999999</v>
      </c>
      <c r="BM16" s="12">
        <v>0.75</v>
      </c>
      <c r="BN16" s="11"/>
      <c r="BO16" s="12"/>
      <c r="BP16" s="11">
        <v>-3.1775000000000002</v>
      </c>
      <c r="BQ16" s="12">
        <v>0.2</v>
      </c>
      <c r="BR16" s="11">
        <v>4.18</v>
      </c>
      <c r="BS16" s="12">
        <v>0.75</v>
      </c>
      <c r="BT16" s="11"/>
      <c r="BU16" s="12"/>
      <c r="BV16" s="11">
        <v>-0.64500000000000013</v>
      </c>
      <c r="BW16" s="12">
        <v>0.6</v>
      </c>
      <c r="BX16" s="11">
        <v>-2.0375000000000001</v>
      </c>
      <c r="BY16" s="12">
        <v>0.2</v>
      </c>
      <c r="BZ16" s="11">
        <v>3.9637500000000001</v>
      </c>
      <c r="CA16" s="12">
        <v>0.8</v>
      </c>
      <c r="CB16" s="11">
        <v>0.1725000000000001</v>
      </c>
      <c r="CC16" s="12">
        <v>0.66666666666666663</v>
      </c>
      <c r="CD16" s="11">
        <v>0.16874999999999984</v>
      </c>
      <c r="CE16" s="12">
        <v>0.55555555555555558</v>
      </c>
      <c r="CF16" s="11">
        <v>-2.1087500000000006</v>
      </c>
      <c r="CG16" s="12">
        <v>0.25</v>
      </c>
      <c r="CH16" s="11">
        <v>-2.9975000000000005</v>
      </c>
      <c r="CI16" s="12">
        <v>0.14285714285714285</v>
      </c>
      <c r="CJ16" s="11"/>
      <c r="CK16" s="12"/>
      <c r="CL16" s="11">
        <v>-0.28999999999999987</v>
      </c>
      <c r="CM16" s="12">
        <v>0.4</v>
      </c>
      <c r="CN16" s="11">
        <v>-1.5250000000000001</v>
      </c>
      <c r="CO16" s="12">
        <v>0.33333333333333331</v>
      </c>
      <c r="CP16" s="11">
        <v>-3.0000000000000138E-2</v>
      </c>
      <c r="CQ16" s="12">
        <v>0.42857142857142855</v>
      </c>
      <c r="CR16" s="11">
        <v>-1.0375000000000001</v>
      </c>
      <c r="CS16" s="12">
        <v>0.5</v>
      </c>
      <c r="CT16" s="11">
        <v>1.6125</v>
      </c>
      <c r="CU16" s="12">
        <v>1</v>
      </c>
      <c r="CV16" s="11">
        <v>-2.1087499999999997</v>
      </c>
      <c r="CW16" s="12">
        <v>0.5</v>
      </c>
      <c r="CX16" s="11">
        <v>-3.9325000000000001</v>
      </c>
      <c r="CY16" s="12">
        <v>0.2857142857142857</v>
      </c>
      <c r="CZ16" s="11">
        <v>-1.8299999999999998</v>
      </c>
      <c r="DA16" s="12">
        <v>0.5</v>
      </c>
      <c r="DB16" s="11">
        <v>-2.3462500000000004</v>
      </c>
      <c r="DC16" s="12">
        <v>0.4</v>
      </c>
      <c r="DD16" s="11">
        <v>1.7549999999999999</v>
      </c>
      <c r="DE16" s="12">
        <v>0.7142857142857143</v>
      </c>
      <c r="DF16" s="11">
        <v>-4.7462500000000007</v>
      </c>
      <c r="DG16" s="12">
        <v>0.16666666666666666</v>
      </c>
      <c r="DH16" s="11">
        <v>-4.2549999999999999</v>
      </c>
      <c r="DI16" s="12">
        <v>0.5</v>
      </c>
      <c r="DJ16" s="11">
        <v>-1.73875</v>
      </c>
      <c r="DK16" s="12">
        <v>0.25</v>
      </c>
      <c r="DL16" s="11">
        <v>-3.4187500000000006</v>
      </c>
      <c r="DM16" s="12">
        <v>0.4</v>
      </c>
      <c r="DN16" s="11">
        <v>0.3062499999999998</v>
      </c>
      <c r="DO16" s="12">
        <v>0.6</v>
      </c>
      <c r="DP16" s="11"/>
      <c r="DQ16" s="12"/>
      <c r="DR16" s="11">
        <v>-1.7075</v>
      </c>
      <c r="DS16" s="12">
        <v>0</v>
      </c>
      <c r="DT16" s="11">
        <v>-1.7075</v>
      </c>
      <c r="DU16" s="12">
        <v>0</v>
      </c>
      <c r="DV16" s="11">
        <v>1.3749999999999866E-2</v>
      </c>
      <c r="DW16" s="12">
        <v>0.6</v>
      </c>
      <c r="DX16" s="11">
        <v>4.2499999999999982E-2</v>
      </c>
      <c r="DY16" s="12">
        <v>0.42857142857142855</v>
      </c>
      <c r="DZ16" s="11">
        <v>2.5525000000000002</v>
      </c>
      <c r="EA16" s="12">
        <v>1</v>
      </c>
      <c r="EB16" s="11">
        <v>-1.6637499999999998</v>
      </c>
      <c r="EC16" s="12">
        <v>0.4</v>
      </c>
      <c r="ED16" s="11">
        <v>-3.97</v>
      </c>
      <c r="EE16" s="12">
        <v>0.33333333333333331</v>
      </c>
      <c r="EF16" s="11">
        <v>1.81375</v>
      </c>
      <c r="EG16" s="12">
        <v>1</v>
      </c>
      <c r="EH16" s="11">
        <v>-4.0000000000000036E-2</v>
      </c>
      <c r="EI16" s="12">
        <v>0.75</v>
      </c>
      <c r="EJ16" s="11">
        <v>-3.04</v>
      </c>
      <c r="EK16" s="12">
        <v>0</v>
      </c>
      <c r="EL16" s="11">
        <v>0.27625</v>
      </c>
      <c r="EM16" s="12">
        <v>0.4</v>
      </c>
      <c r="EN16" s="11">
        <v>-1.2212499999999999</v>
      </c>
      <c r="EO16" s="12">
        <v>0</v>
      </c>
      <c r="EP16" s="11">
        <v>-1.7399999999999998</v>
      </c>
      <c r="EQ16" s="12">
        <v>0.2857142857142857</v>
      </c>
      <c r="ER16" s="11">
        <v>-2.5887500000000001</v>
      </c>
      <c r="ES16" s="12">
        <v>0.42857142857142855</v>
      </c>
      <c r="ET16" s="11">
        <v>-1.2212499999999999</v>
      </c>
      <c r="EU16" s="12">
        <v>0</v>
      </c>
      <c r="EV16" s="11">
        <v>-1.7399999999999998</v>
      </c>
      <c r="EW16" s="12">
        <v>0.2857142857142857</v>
      </c>
      <c r="EX16" s="11">
        <v>-2.5887500000000001</v>
      </c>
      <c r="EY16" s="12">
        <v>0.42857142857142855</v>
      </c>
      <c r="EZ16" s="3"/>
      <c r="FA16" s="1"/>
      <c r="FB16" s="3">
        <v>-11.68</v>
      </c>
      <c r="FC16" s="1">
        <v>0</v>
      </c>
      <c r="FD16" s="3">
        <v>0.82000000000000017</v>
      </c>
      <c r="FE16" s="1">
        <v>0.66666666666666663</v>
      </c>
      <c r="FF16" s="3">
        <v>-0.6100000000000001</v>
      </c>
      <c r="FG16" s="1">
        <v>0.4</v>
      </c>
      <c r="FH16" s="3">
        <v>-4.82</v>
      </c>
      <c r="FI16" s="1">
        <v>0.25</v>
      </c>
      <c r="FJ16" s="3">
        <v>0.32999999999999985</v>
      </c>
      <c r="FK16" s="1">
        <v>0.5</v>
      </c>
      <c r="FL16" s="3">
        <v>-2.3600000000000003</v>
      </c>
      <c r="FM16" s="1">
        <v>0.6</v>
      </c>
      <c r="FN16" s="3">
        <v>1.8800000000000008</v>
      </c>
      <c r="FO16" s="1">
        <v>0.83333333333333337</v>
      </c>
      <c r="FP16" s="3">
        <v>-5.26</v>
      </c>
      <c r="FQ16" s="1">
        <v>0</v>
      </c>
      <c r="FR16" s="3">
        <v>-2.6500000000000004</v>
      </c>
      <c r="FS16" s="1">
        <v>0.5</v>
      </c>
      <c r="FT16" s="3">
        <v>-9.000000000000008E-2</v>
      </c>
      <c r="FU16" s="1">
        <v>0.33333333333333331</v>
      </c>
      <c r="FV16" s="3">
        <v>1.6</v>
      </c>
      <c r="FW16" s="1">
        <v>1</v>
      </c>
      <c r="FX16" s="3">
        <v>2.15</v>
      </c>
      <c r="FY16" s="1">
        <v>0.5714285714285714</v>
      </c>
      <c r="FZ16" s="3">
        <v>2.0300000000000002</v>
      </c>
      <c r="GA16" s="1">
        <v>1</v>
      </c>
      <c r="GB16" s="3">
        <v>-0.21999999999999997</v>
      </c>
      <c r="GC16" s="1">
        <v>0.5</v>
      </c>
      <c r="GD16" s="3">
        <v>2.9999999999999805E-2</v>
      </c>
      <c r="GE16" s="1">
        <v>0.42857142857142855</v>
      </c>
      <c r="GF16" s="3">
        <v>1.9400000000000002</v>
      </c>
      <c r="GG16" s="1">
        <v>1</v>
      </c>
      <c r="GH16" s="3">
        <v>-1.1100000000000003</v>
      </c>
      <c r="GI16" s="1">
        <v>0.5</v>
      </c>
      <c r="GJ16" s="3">
        <v>-3.11</v>
      </c>
      <c r="GK16" s="1">
        <v>0.33333333333333331</v>
      </c>
      <c r="GL16" s="3">
        <v>2.2300000000000004</v>
      </c>
      <c r="GM16" s="1">
        <v>0.625</v>
      </c>
      <c r="GN16" s="3"/>
      <c r="GO16" s="1"/>
      <c r="GP16" s="3">
        <v>-0.79000000000000026</v>
      </c>
      <c r="GQ16" s="1">
        <v>0.375</v>
      </c>
      <c r="GR16" s="3">
        <v>-9.000000000000008E-2</v>
      </c>
      <c r="GS16" s="1">
        <v>0.5</v>
      </c>
      <c r="GT16" s="3">
        <v>-2.79</v>
      </c>
      <c r="GU16" s="1">
        <v>0.4</v>
      </c>
      <c r="GV16" s="3">
        <v>3.11</v>
      </c>
      <c r="GW16" s="1">
        <v>0.8</v>
      </c>
      <c r="GX16" s="3">
        <v>2.7200000000000006</v>
      </c>
      <c r="GY16" s="1">
        <v>0.83333333333333337</v>
      </c>
      <c r="GZ16" s="3"/>
      <c r="HA16" s="1"/>
      <c r="HB16" s="3">
        <v>-4</v>
      </c>
      <c r="HC16" s="1">
        <v>0.2</v>
      </c>
      <c r="HD16" s="76">
        <v>-7.9999999999999849E-2</v>
      </c>
      <c r="HE16" s="1">
        <v>0.5</v>
      </c>
      <c r="HF16" s="78">
        <v>-1.6099999999999997</v>
      </c>
      <c r="HG16" s="1">
        <v>0.25</v>
      </c>
      <c r="HH16" s="79">
        <v>1.0699999999999998</v>
      </c>
      <c r="HI16" s="1">
        <v>0.5</v>
      </c>
      <c r="HJ16" s="80">
        <v>3.49</v>
      </c>
      <c r="HK16" s="1">
        <v>1</v>
      </c>
      <c r="HL16" s="81">
        <v>-1.6500000000000001</v>
      </c>
      <c r="HM16" s="1">
        <v>0.33333333333333331</v>
      </c>
      <c r="HN16" s="82">
        <v>-0.8899999999999999</v>
      </c>
      <c r="HO16" s="1">
        <v>0.5</v>
      </c>
      <c r="HP16" s="83">
        <v>1.1800000000000002</v>
      </c>
      <c r="HQ16" s="1">
        <v>0.66666666666666663</v>
      </c>
      <c r="HR16" s="84">
        <v>-4.7300000000000004</v>
      </c>
      <c r="HS16" s="1">
        <v>0.16666666666666666</v>
      </c>
      <c r="HT16" s="85">
        <v>-0.53</v>
      </c>
      <c r="HU16" s="1">
        <v>0.5</v>
      </c>
      <c r="HV16" s="88">
        <v>0.91000000000000014</v>
      </c>
      <c r="HW16" s="1">
        <v>0.5</v>
      </c>
      <c r="HX16" s="89"/>
      <c r="HY16" s="1"/>
      <c r="HZ16" s="91">
        <v>-3.27</v>
      </c>
      <c r="IA16" s="1">
        <v>0.25</v>
      </c>
      <c r="IB16" s="92">
        <v>-3.33</v>
      </c>
      <c r="IC16" s="1">
        <v>0</v>
      </c>
      <c r="ID16" s="93">
        <v>-3.01</v>
      </c>
      <c r="IE16" s="1">
        <v>0</v>
      </c>
      <c r="IF16" s="94">
        <v>-2.5</v>
      </c>
      <c r="IG16" s="1">
        <v>0.33333333333333331</v>
      </c>
      <c r="IH16" s="97">
        <v>0.08</v>
      </c>
      <c r="II16" s="1">
        <v>1</v>
      </c>
      <c r="IJ16" s="98">
        <v>0.94</v>
      </c>
      <c r="IK16" s="1">
        <v>1</v>
      </c>
      <c r="IL16" s="99">
        <v>-0.5</v>
      </c>
      <c r="IM16" s="1">
        <v>0.5</v>
      </c>
      <c r="IN16" s="100">
        <v>-1.7599999999999998</v>
      </c>
      <c r="IO16" s="1">
        <v>0.33333333333333331</v>
      </c>
      <c r="IP16" s="101">
        <v>-0.38</v>
      </c>
      <c r="IQ16" s="1">
        <v>0.25</v>
      </c>
      <c r="IR16" s="102"/>
      <c r="IS16" s="1"/>
      <c r="IT16" s="103"/>
      <c r="IU16" s="1"/>
      <c r="IV16" s="104">
        <v>-1.68</v>
      </c>
      <c r="IW16" s="1">
        <v>0</v>
      </c>
      <c r="IX16" s="104">
        <v>-3.33</v>
      </c>
      <c r="IY16" s="1">
        <v>0</v>
      </c>
      <c r="IZ16" s="105"/>
      <c r="JA16" s="1"/>
      <c r="JB16" s="112"/>
      <c r="JC16" s="1"/>
      <c r="JD16" s="113"/>
      <c r="JE16" s="1"/>
      <c r="JF16" s="114">
        <v>0.77</v>
      </c>
      <c r="JG16" s="1">
        <v>0.66666666666666663</v>
      </c>
      <c r="JH16" s="115">
        <v>1.6900000000000002</v>
      </c>
      <c r="JI16" s="1">
        <v>1</v>
      </c>
      <c r="JJ16" s="116">
        <v>-2.8300000000000005</v>
      </c>
      <c r="JK16" s="1">
        <v>0.6</v>
      </c>
      <c r="JL16" s="117"/>
      <c r="JM16" s="1"/>
      <c r="JN16" s="118">
        <v>2.37</v>
      </c>
      <c r="JO16" s="1">
        <v>1</v>
      </c>
      <c r="JP16" s="119">
        <v>-1.9</v>
      </c>
      <c r="JQ16" s="1">
        <v>0</v>
      </c>
      <c r="JR16" s="120">
        <v>-7.51</v>
      </c>
      <c r="JS16" s="1">
        <v>0</v>
      </c>
      <c r="JT16" s="122"/>
      <c r="JU16" s="1"/>
      <c r="JV16" s="126"/>
      <c r="JW16" s="1"/>
      <c r="JX16" s="132"/>
      <c r="JY16" s="1"/>
      <c r="JZ16" s="133">
        <v>-2.0499999999999998</v>
      </c>
      <c r="KA16" s="1">
        <v>0</v>
      </c>
      <c r="KB16" s="138">
        <v>7.8699999999999992</v>
      </c>
      <c r="KC16" s="1">
        <v>0.83333333333333337</v>
      </c>
      <c r="KD16" s="140">
        <v>-8.25</v>
      </c>
      <c r="KE16" s="1">
        <v>0.2</v>
      </c>
      <c r="KF16" s="144">
        <v>-3.64</v>
      </c>
      <c r="KG16" s="1">
        <v>0.4</v>
      </c>
      <c r="KH16" s="148">
        <v>-0.20000000000000012</v>
      </c>
      <c r="KI16" s="1">
        <v>0.66666666666666663</v>
      </c>
      <c r="KJ16" s="152">
        <v>-0.73</v>
      </c>
      <c r="KK16" s="1">
        <v>0</v>
      </c>
      <c r="KL16" s="156">
        <v>1.61</v>
      </c>
      <c r="KM16" s="1">
        <v>1</v>
      </c>
      <c r="KN16" s="160"/>
      <c r="KO16" s="1"/>
      <c r="KP16" s="163"/>
      <c r="KQ16" s="1"/>
      <c r="KR16" s="165">
        <v>-1.0599999999999998</v>
      </c>
      <c r="KS16" s="1">
        <v>0.4</v>
      </c>
      <c r="KT16" s="168"/>
      <c r="KU16" s="1"/>
      <c r="KV16" s="171">
        <v>0</v>
      </c>
      <c r="KW16" s="1">
        <v>0</v>
      </c>
      <c r="KX16" s="174">
        <v>3.2800000000000002</v>
      </c>
      <c r="KY16" s="1">
        <v>1</v>
      </c>
      <c r="KZ16" s="179">
        <v>-0.95000000000000007</v>
      </c>
      <c r="LA16" s="1">
        <v>0.66666666666666663</v>
      </c>
      <c r="LB16" s="183">
        <v>2.75</v>
      </c>
      <c r="LC16" s="1">
        <v>0.75</v>
      </c>
      <c r="LD16" s="187">
        <v>-1.64</v>
      </c>
      <c r="LE16" s="1">
        <v>0.5</v>
      </c>
      <c r="LF16" s="189">
        <v>-11.43</v>
      </c>
      <c r="LG16" s="1">
        <v>0.2</v>
      </c>
      <c r="LH16" s="191">
        <v>-1.6999999999999997</v>
      </c>
      <c r="LI16" s="1">
        <v>0.5</v>
      </c>
      <c r="LJ16" s="194"/>
      <c r="LK16" s="1"/>
      <c r="LL16" s="196">
        <v>-1.35</v>
      </c>
      <c r="LM16" s="1">
        <v>0.6</v>
      </c>
      <c r="LN16" s="198">
        <v>-9.7799999999999994</v>
      </c>
      <c r="LO16" s="1">
        <v>0.33333333333333331</v>
      </c>
      <c r="LP16" s="200">
        <v>3.62</v>
      </c>
      <c r="LQ16" s="1">
        <v>0.75</v>
      </c>
      <c r="LR16" s="202">
        <v>-0.37000000000000011</v>
      </c>
      <c r="LS16" s="1">
        <v>0.6</v>
      </c>
      <c r="LT16" s="204">
        <v>-4.9300000000000015</v>
      </c>
      <c r="LU16" s="1">
        <v>0.55555555555555558</v>
      </c>
      <c r="LV16" s="206">
        <v>-4.84</v>
      </c>
      <c r="LW16" s="1">
        <v>0</v>
      </c>
      <c r="LX16" s="208">
        <v>-1.58</v>
      </c>
      <c r="LY16" s="1">
        <v>0</v>
      </c>
      <c r="LZ16" s="210">
        <v>0.1599999999999997</v>
      </c>
      <c r="MA16" s="1">
        <v>0.66666666666666663</v>
      </c>
      <c r="MB16" s="212">
        <v>-3.8800000000000003</v>
      </c>
      <c r="MC16" s="1">
        <v>0.5714285714285714</v>
      </c>
      <c r="MD16" s="214"/>
      <c r="ME16" s="1"/>
      <c r="MF16" s="216">
        <v>-3.7700000000000005</v>
      </c>
      <c r="MG16" s="1">
        <v>0.5</v>
      </c>
      <c r="MH16" s="218"/>
      <c r="MI16" s="1"/>
      <c r="MJ16" s="220">
        <v>1.67</v>
      </c>
      <c r="MK16" s="1">
        <v>1</v>
      </c>
      <c r="ML16" s="222">
        <v>-0.19999999999999996</v>
      </c>
      <c r="MM16" s="1">
        <v>0.5</v>
      </c>
      <c r="MN16" s="224">
        <v>6.63</v>
      </c>
      <c r="MO16" s="1">
        <v>1</v>
      </c>
      <c r="MP16" s="226">
        <v>-5.2700000000000005</v>
      </c>
      <c r="MQ16" s="1">
        <v>0.33333333333333331</v>
      </c>
      <c r="MR16" s="228">
        <v>1.72</v>
      </c>
      <c r="MS16" s="1">
        <v>1</v>
      </c>
      <c r="MT16" s="230">
        <v>-6.9</v>
      </c>
      <c r="MU16" s="1">
        <v>0</v>
      </c>
      <c r="MV16" s="232">
        <v>1.44</v>
      </c>
      <c r="MW16" s="1">
        <v>1</v>
      </c>
      <c r="MX16" s="234">
        <v>6.999999999999984E-2</v>
      </c>
      <c r="MY16" s="1">
        <v>0.5</v>
      </c>
      <c r="MZ16" s="236">
        <v>-7.16</v>
      </c>
      <c r="NA16" s="1">
        <v>0</v>
      </c>
      <c r="NB16" s="238">
        <v>-1.5900000000000003</v>
      </c>
      <c r="NC16" s="1">
        <v>0.5</v>
      </c>
      <c r="ND16" s="240"/>
      <c r="NE16" s="1"/>
      <c r="NF16" s="242">
        <v>-8.14</v>
      </c>
      <c r="NG16" s="1">
        <v>0.25</v>
      </c>
      <c r="NH16" s="244">
        <v>-8.14</v>
      </c>
      <c r="NI16" s="1">
        <v>0.25</v>
      </c>
      <c r="NJ16" s="244">
        <v>1.61</v>
      </c>
      <c r="NK16" s="1">
        <v>1</v>
      </c>
      <c r="NL16" s="246">
        <v>0.13000000000000034</v>
      </c>
      <c r="NM16" s="1">
        <v>0.66666666666666663</v>
      </c>
      <c r="NN16" s="248"/>
      <c r="NO16" s="1"/>
      <c r="NP16" s="250">
        <v>1.63</v>
      </c>
      <c r="NQ16" s="1">
        <v>1</v>
      </c>
      <c r="NR16" s="252">
        <v>-4.0000000000000036E-2</v>
      </c>
      <c r="NS16" s="1">
        <v>0.5</v>
      </c>
      <c r="NT16" s="254">
        <v>-1.7399999999999998</v>
      </c>
      <c r="NU16" s="1">
        <v>0.5</v>
      </c>
      <c r="NV16" s="256">
        <v>-1.49</v>
      </c>
      <c r="NW16" s="1">
        <v>0.66666666666666663</v>
      </c>
      <c r="NX16" s="258">
        <v>1.6700000000000004</v>
      </c>
      <c r="NY16" s="1">
        <v>0.66666666666666663</v>
      </c>
      <c r="NZ16" s="260"/>
      <c r="OA16" s="1"/>
      <c r="OB16" s="262">
        <v>1.62</v>
      </c>
      <c r="OC16" s="1">
        <v>1</v>
      </c>
      <c r="OD16" s="264">
        <v>0.31</v>
      </c>
      <c r="OE16" s="1">
        <v>1</v>
      </c>
      <c r="OF16" s="266"/>
      <c r="OG16" s="1"/>
      <c r="OH16" s="268">
        <v>-3.35</v>
      </c>
      <c r="OI16" s="1">
        <v>0.5</v>
      </c>
      <c r="OJ16" s="270"/>
      <c r="OK16" s="1"/>
      <c r="OL16" s="272">
        <v>-2.0100000000000002</v>
      </c>
      <c r="OM16" s="1">
        <v>0.5</v>
      </c>
      <c r="ON16" s="274">
        <v>4.91</v>
      </c>
      <c r="OO16" s="1">
        <v>1</v>
      </c>
      <c r="OP16" s="276">
        <v>1.1500000000000001</v>
      </c>
      <c r="OQ16" s="1">
        <v>0.75</v>
      </c>
      <c r="OR16" s="278"/>
      <c r="OS16" s="1"/>
      <c r="OT16" s="280">
        <v>-3.19</v>
      </c>
      <c r="OU16" s="1">
        <v>0</v>
      </c>
      <c r="OV16" s="282"/>
      <c r="OW16" s="1"/>
      <c r="OX16" s="285">
        <v>-2.12</v>
      </c>
      <c r="OY16" s="1">
        <v>0.5</v>
      </c>
      <c r="OZ16" s="288">
        <v>2.9999999999999361E-2</v>
      </c>
      <c r="PA16" s="1">
        <v>0.66666666666666663</v>
      </c>
      <c r="PB16" s="292">
        <v>-0.88</v>
      </c>
      <c r="PC16" s="1">
        <v>0.5</v>
      </c>
      <c r="PD16" s="297">
        <v>-3.66</v>
      </c>
      <c r="PE16" s="1">
        <v>0</v>
      </c>
      <c r="PF16" s="298">
        <v>2.94</v>
      </c>
      <c r="PG16" s="1">
        <v>0.66666666666666663</v>
      </c>
      <c r="PH16" s="301">
        <v>1.66</v>
      </c>
      <c r="PI16" s="1">
        <v>1</v>
      </c>
      <c r="PJ16" s="302"/>
      <c r="PK16" s="1"/>
      <c r="PL16" s="309"/>
      <c r="PM16" s="1"/>
      <c r="PN16" s="313">
        <v>-1.81</v>
      </c>
      <c r="PO16" s="1">
        <v>0.33333333333333331</v>
      </c>
      <c r="PP16" s="313">
        <v>-1.1399999999999999</v>
      </c>
      <c r="PQ16" s="1">
        <v>0.5</v>
      </c>
      <c r="PR16" s="315"/>
      <c r="PS16" s="1"/>
      <c r="PT16" s="318">
        <v>-1.5700000000000003</v>
      </c>
      <c r="PU16" s="1">
        <v>0.5</v>
      </c>
      <c r="PV16" s="321">
        <v>-4.62</v>
      </c>
      <c r="PW16" s="1">
        <v>0.33333333333333331</v>
      </c>
      <c r="PX16" s="323">
        <v>1.63</v>
      </c>
      <c r="PY16" s="1">
        <v>1</v>
      </c>
      <c r="PZ16" s="325">
        <v>-5.66</v>
      </c>
      <c r="QA16" s="1">
        <v>0.4</v>
      </c>
      <c r="QB16" s="327">
        <v>0.22999999999999998</v>
      </c>
      <c r="QC16" s="1">
        <v>0.66666666666666663</v>
      </c>
      <c r="QD16" s="334">
        <v>-8.3999999999999986</v>
      </c>
      <c r="QE16" s="1">
        <v>0</v>
      </c>
      <c r="QF16" s="339">
        <v>4.0000000000000396E-2</v>
      </c>
      <c r="QG16" s="1">
        <v>0.5</v>
      </c>
      <c r="QH16" s="345">
        <v>-0.19000000000000017</v>
      </c>
      <c r="QI16" s="1">
        <v>0.5</v>
      </c>
      <c r="QJ16" s="352">
        <v>-7.32</v>
      </c>
      <c r="QK16" s="1">
        <v>0.4</v>
      </c>
      <c r="QL16" s="356">
        <v>-7.26</v>
      </c>
      <c r="QM16" s="1">
        <v>0.2</v>
      </c>
      <c r="QN16" s="360">
        <v>-0.43999999999999972</v>
      </c>
      <c r="QO16" s="1">
        <v>0.5</v>
      </c>
      <c r="QP16" s="363">
        <v>1.6</v>
      </c>
      <c r="QQ16" s="1">
        <v>1</v>
      </c>
      <c r="QR16" s="366">
        <v>-9.9999999999997868E-3</v>
      </c>
      <c r="QS16" s="1">
        <v>0.66666666666666663</v>
      </c>
      <c r="QT16" s="371"/>
      <c r="QU16" s="1"/>
      <c r="QV16" s="374">
        <v>0.16999999999999993</v>
      </c>
      <c r="QW16" s="1">
        <v>0.5</v>
      </c>
      <c r="QX16" s="378">
        <v>-2.17</v>
      </c>
      <c r="QY16" s="1">
        <v>0.25</v>
      </c>
      <c r="QZ16" s="386"/>
      <c r="RA16" s="1"/>
      <c r="RB16" s="395">
        <v>0.36999999999999988</v>
      </c>
      <c r="RC16" s="1">
        <v>0.6</v>
      </c>
      <c r="RD16" s="399">
        <v>3.0700000000000007</v>
      </c>
      <c r="RE16" s="1">
        <v>0.8</v>
      </c>
      <c r="RF16" s="399">
        <v>1.65</v>
      </c>
      <c r="RG16" s="1">
        <v>1</v>
      </c>
      <c r="RH16" s="403">
        <v>-2.0200000000000005</v>
      </c>
      <c r="RI16" s="1">
        <v>0.5</v>
      </c>
      <c r="RJ16" s="405">
        <v>1.2599999999999998</v>
      </c>
      <c r="RK16" s="1">
        <v>0.5</v>
      </c>
      <c r="RL16" s="407">
        <v>3.34</v>
      </c>
      <c r="RM16" s="1">
        <v>0.75</v>
      </c>
      <c r="RN16" s="410">
        <v>3.29</v>
      </c>
      <c r="RO16" s="1">
        <v>0.8</v>
      </c>
      <c r="RP16" s="412">
        <v>-8.94</v>
      </c>
      <c r="RQ16" s="1">
        <v>0</v>
      </c>
      <c r="RR16" s="415">
        <v>0.30000000000000004</v>
      </c>
      <c r="RS16" s="1">
        <v>0.66666666666666663</v>
      </c>
      <c r="RT16" s="417">
        <v>3.26</v>
      </c>
      <c r="RU16" s="1">
        <v>1</v>
      </c>
      <c r="RV16" s="422">
        <v>7.8699999999999992</v>
      </c>
      <c r="RW16" s="1">
        <v>1</v>
      </c>
      <c r="RX16" s="427">
        <v>-0.14000000000000035</v>
      </c>
      <c r="RY16" s="1">
        <v>0.6</v>
      </c>
      <c r="RZ16" s="433">
        <v>-1.4399999999999997</v>
      </c>
      <c r="SA16" s="1">
        <v>0.5</v>
      </c>
      <c r="SB16" s="436">
        <v>3.19</v>
      </c>
      <c r="SC16" s="1">
        <v>0.8</v>
      </c>
      <c r="SD16" s="443">
        <v>-3.19</v>
      </c>
      <c r="SE16" s="1">
        <v>0</v>
      </c>
      <c r="SF16" s="445"/>
      <c r="SG16" s="1"/>
      <c r="SH16" s="450">
        <v>-6.52</v>
      </c>
      <c r="SI16" s="1">
        <v>0</v>
      </c>
      <c r="SJ16" s="452">
        <v>-4.4499999999999993</v>
      </c>
      <c r="SK16" s="1">
        <v>0.4</v>
      </c>
      <c r="SL16" s="457">
        <v>-0.7</v>
      </c>
      <c r="SM16" s="1">
        <v>0.5</v>
      </c>
      <c r="SN16" s="459">
        <v>-1.42</v>
      </c>
      <c r="SO16" s="1">
        <v>0.42857142857142855</v>
      </c>
      <c r="SP16" s="461">
        <v>-3.0000000000000004</v>
      </c>
      <c r="SQ16" s="1">
        <v>0.66666666666666663</v>
      </c>
      <c r="SR16" s="463">
        <v>-2.1099999999999994</v>
      </c>
      <c r="SS16" s="1">
        <v>0.5</v>
      </c>
      <c r="ST16" s="464">
        <v>-6.41</v>
      </c>
      <c r="SU16" s="1">
        <v>0</v>
      </c>
      <c r="SV16" s="466">
        <v>0.7400000000000001</v>
      </c>
      <c r="SW16" s="1">
        <v>0.33333333333333331</v>
      </c>
      <c r="SX16" s="467"/>
      <c r="SY16" s="1"/>
      <c r="SZ16" s="469">
        <v>1.6199999999999999</v>
      </c>
      <c r="TA16" s="1">
        <v>0.5</v>
      </c>
      <c r="TB16" s="471">
        <v>-3.04</v>
      </c>
      <c r="TC16" s="1">
        <v>0</v>
      </c>
      <c r="TD16" s="472">
        <v>-4.9399999999999995</v>
      </c>
      <c r="TE16" s="1">
        <v>0</v>
      </c>
      <c r="TF16" s="474">
        <v>-3.2600000000000002</v>
      </c>
      <c r="TG16" s="1">
        <v>0</v>
      </c>
      <c r="TH16" s="488">
        <v>2.09</v>
      </c>
      <c r="TI16" s="1">
        <v>1</v>
      </c>
      <c r="TJ16" s="489">
        <v>1.62</v>
      </c>
      <c r="TK16" s="1">
        <v>1</v>
      </c>
      <c r="TL16" s="490">
        <v>-0.8</v>
      </c>
      <c r="TM16" s="1">
        <v>0</v>
      </c>
      <c r="TN16" s="495"/>
      <c r="TO16" s="1"/>
      <c r="TP16" s="500">
        <v>1.52</v>
      </c>
      <c r="TQ16" s="1">
        <v>0.5</v>
      </c>
      <c r="TR16" s="511">
        <v>-0.73</v>
      </c>
      <c r="TS16" s="1">
        <v>0</v>
      </c>
      <c r="TT16" s="515">
        <v>-5.76</v>
      </c>
      <c r="TU16" s="1">
        <v>0.25</v>
      </c>
      <c r="TV16" s="518">
        <v>-7.0500000000000007</v>
      </c>
      <c r="TW16" s="1">
        <v>0</v>
      </c>
      <c r="TX16" s="521">
        <v>-3.9200000000000004</v>
      </c>
      <c r="TY16" s="1">
        <v>0</v>
      </c>
      <c r="TZ16" s="524">
        <v>-4.3600000000000003</v>
      </c>
      <c r="UA16" s="1">
        <v>0.4</v>
      </c>
      <c r="UB16" s="527">
        <v>1.0400000000000003</v>
      </c>
      <c r="UC16" s="1">
        <v>0.33333333333333331</v>
      </c>
      <c r="UD16" s="530">
        <v>-6.35</v>
      </c>
      <c r="UE16" s="1">
        <v>0</v>
      </c>
      <c r="UF16" s="533">
        <v>-3.4</v>
      </c>
      <c r="UG16" s="1">
        <v>0</v>
      </c>
      <c r="UH16" s="536">
        <v>1.85</v>
      </c>
      <c r="UI16" s="1">
        <v>0.5</v>
      </c>
      <c r="UJ16" s="539">
        <v>2.38</v>
      </c>
      <c r="UK16" s="1">
        <v>0.66666666666666663</v>
      </c>
      <c r="UL16" s="540">
        <v>-1.6900000000000002</v>
      </c>
      <c r="UM16" s="1">
        <v>0.5</v>
      </c>
      <c r="UN16" s="543">
        <v>0.83999999999999964</v>
      </c>
      <c r="UO16" s="1">
        <v>0.5</v>
      </c>
      <c r="UP16" s="544">
        <v>2.59</v>
      </c>
      <c r="UQ16" s="1">
        <v>0.6</v>
      </c>
      <c r="UR16" s="551">
        <v>-8.9400000000000013</v>
      </c>
      <c r="US16" s="1">
        <v>0.2857142857142857</v>
      </c>
      <c r="UT16" s="551">
        <v>0.60999999999999988</v>
      </c>
      <c r="UU16" s="1">
        <v>0.5</v>
      </c>
      <c r="UV16" s="562"/>
      <c r="UW16" s="1"/>
      <c r="UX16" s="566">
        <v>-2.2999999999999998</v>
      </c>
      <c r="UY16" s="1">
        <v>0.5</v>
      </c>
      <c r="UZ16" s="568"/>
      <c r="VA16" s="1"/>
      <c r="VB16" s="572">
        <v>-0.88</v>
      </c>
      <c r="VC16" s="1">
        <v>0</v>
      </c>
      <c r="VD16" s="576">
        <v>-0.7799999999999998</v>
      </c>
      <c r="VE16" s="1">
        <v>0.25</v>
      </c>
      <c r="VF16" s="580">
        <v>-1.17</v>
      </c>
      <c r="VG16" s="1">
        <v>0</v>
      </c>
      <c r="VH16" s="584">
        <v>-2.57</v>
      </c>
      <c r="VI16" s="1">
        <v>0</v>
      </c>
      <c r="VJ16" s="589">
        <v>-4.09</v>
      </c>
      <c r="VK16" s="1">
        <v>0</v>
      </c>
      <c r="VL16" s="593">
        <v>-0.47999999999999965</v>
      </c>
      <c r="VM16" s="1">
        <v>0.6</v>
      </c>
      <c r="VN16" s="597">
        <v>3.9299999999999997</v>
      </c>
      <c r="VO16" s="1">
        <v>0.8</v>
      </c>
      <c r="VP16" s="601">
        <v>-0.49</v>
      </c>
      <c r="VQ16" s="1">
        <v>0.66666666666666663</v>
      </c>
      <c r="VR16" s="603"/>
      <c r="VS16" s="1"/>
      <c r="VT16" s="607">
        <v>-4.9899999999999993</v>
      </c>
      <c r="VU16" s="1">
        <v>0</v>
      </c>
      <c r="VV16" s="609">
        <v>3.04</v>
      </c>
      <c r="VW16" s="1">
        <v>0.66666666666666663</v>
      </c>
      <c r="VX16" s="613">
        <v>-1.6</v>
      </c>
      <c r="VY16" s="1">
        <v>0.5</v>
      </c>
      <c r="VZ16" s="617">
        <v>1.8399999999999999</v>
      </c>
      <c r="WA16" s="1">
        <v>1</v>
      </c>
      <c r="WB16" s="619">
        <v>3.6999999999999997</v>
      </c>
      <c r="WC16" s="1">
        <v>0.6</v>
      </c>
      <c r="WD16" s="624">
        <v>-2.23</v>
      </c>
      <c r="WE16" s="1">
        <v>0.33333333333333331</v>
      </c>
      <c r="WF16" s="626">
        <v>8.3000000000000007</v>
      </c>
      <c r="WG16" s="1">
        <v>1</v>
      </c>
      <c r="WH16" s="630">
        <v>-1.9199999999999997</v>
      </c>
      <c r="WI16" s="1">
        <v>0.5</v>
      </c>
      <c r="WJ16" s="636">
        <v>-5.89</v>
      </c>
      <c r="WK16" s="1">
        <v>0.4</v>
      </c>
      <c r="WL16" s="638">
        <v>-3</v>
      </c>
      <c r="WM16" s="1">
        <v>0.5</v>
      </c>
      <c r="WN16" s="642">
        <v>4.1099999999999994</v>
      </c>
      <c r="WO16" s="1">
        <v>0.75</v>
      </c>
      <c r="WP16" s="646">
        <v>-2.96</v>
      </c>
      <c r="WQ16" s="1">
        <v>0.5</v>
      </c>
      <c r="WR16" s="652">
        <v>1.63</v>
      </c>
      <c r="WS16" s="1">
        <v>1</v>
      </c>
      <c r="WT16" s="659"/>
      <c r="WU16" s="1"/>
      <c r="WV16" s="659">
        <v>-3.12</v>
      </c>
      <c r="WW16" s="1">
        <v>0.25</v>
      </c>
      <c r="WX16" s="672">
        <v>1.6900000000000002</v>
      </c>
      <c r="WY16" s="1">
        <v>0.6</v>
      </c>
      <c r="WZ16" s="677">
        <v>-1.63</v>
      </c>
      <c r="XA16" s="1">
        <v>0.5</v>
      </c>
      <c r="XB16" s="681">
        <v>1.63</v>
      </c>
      <c r="XC16" s="1">
        <v>1</v>
      </c>
      <c r="XD16" s="683"/>
      <c r="XE16" s="1"/>
      <c r="XF16" s="687">
        <v>0.84000000000000041</v>
      </c>
      <c r="XG16" s="1">
        <v>0.4</v>
      </c>
      <c r="XH16" s="689">
        <v>-1.08</v>
      </c>
      <c r="XI16" s="1">
        <v>0.5</v>
      </c>
      <c r="XJ16" s="696">
        <v>-1.77</v>
      </c>
      <c r="XK16" s="1">
        <v>0</v>
      </c>
      <c r="XL16" s="696">
        <v>-4.91</v>
      </c>
      <c r="XM16" s="1">
        <v>0.33333333333333331</v>
      </c>
      <c r="XN16" s="696">
        <v>-1.4400000000000002</v>
      </c>
      <c r="XO16" s="1">
        <v>0.5</v>
      </c>
      <c r="XP16" s="700">
        <v>2.6799999999999997</v>
      </c>
      <c r="XQ16" s="1">
        <v>0.66666666666666663</v>
      </c>
      <c r="XR16" s="705">
        <v>-3.1500000000000004</v>
      </c>
      <c r="XS16" s="1">
        <v>0.5</v>
      </c>
      <c r="XT16" s="709">
        <v>-1.73</v>
      </c>
      <c r="XU16" s="1">
        <v>0.5</v>
      </c>
      <c r="XV16" s="715">
        <v>0.6100000000000001</v>
      </c>
      <c r="XW16" s="1">
        <v>0.5</v>
      </c>
    </row>
    <row r="17" spans="2:647" x14ac:dyDescent="0.25">
      <c r="B17" s="755"/>
      <c r="C17" s="758"/>
      <c r="D17" s="757" t="s">
        <v>16</v>
      </c>
      <c r="E17" s="757"/>
      <c r="F17" s="57">
        <v>0.3</v>
      </c>
      <c r="G17" s="768"/>
      <c r="H17" s="3"/>
      <c r="I17" s="1"/>
      <c r="J17" s="3"/>
      <c r="K17" s="1"/>
      <c r="L17" s="3"/>
      <c r="M17" s="1"/>
      <c r="N17" s="3"/>
      <c r="O17" s="1"/>
      <c r="P17" s="3"/>
      <c r="Q17" s="1"/>
      <c r="R17" s="3"/>
      <c r="S17" s="1"/>
      <c r="T17" s="3"/>
      <c r="U17" s="1"/>
      <c r="V17" s="3"/>
      <c r="W17" s="1"/>
      <c r="X17" s="3"/>
      <c r="Y17" s="1"/>
      <c r="Z17" s="3"/>
      <c r="AA17" s="1"/>
      <c r="AB17" s="3"/>
      <c r="AC17" s="1"/>
      <c r="AD17" s="3"/>
      <c r="AE17" s="1"/>
      <c r="AF17" s="3"/>
      <c r="AG17" s="1"/>
      <c r="AH17" s="3"/>
      <c r="AI17" s="1"/>
      <c r="AJ17" s="3"/>
      <c r="AK17" s="1"/>
      <c r="AL17" s="3"/>
      <c r="AM17" s="1"/>
      <c r="AN17" s="3"/>
      <c r="AO17" s="1"/>
      <c r="AP17" s="3"/>
      <c r="AQ17" s="1"/>
      <c r="AR17" s="3"/>
      <c r="AS17" s="1"/>
      <c r="AT17" s="3"/>
      <c r="AU17" s="1"/>
      <c r="AV17" s="3"/>
      <c r="AW17" s="1"/>
      <c r="AX17" s="3"/>
      <c r="AY17" s="1"/>
      <c r="AZ17" s="3"/>
      <c r="BA17" s="1"/>
      <c r="BB17" s="3"/>
      <c r="BC17" s="1"/>
      <c r="BD17" s="3"/>
      <c r="BE17" s="1"/>
      <c r="BF17" s="11">
        <v>7.4488888888888898</v>
      </c>
      <c r="BG17" s="12">
        <v>0.92307692307692313</v>
      </c>
      <c r="BH17" s="11">
        <v>-14.207777777777775</v>
      </c>
      <c r="BI17" s="12">
        <v>0.23076923076923078</v>
      </c>
      <c r="BJ17" s="11">
        <v>2.583333333333333</v>
      </c>
      <c r="BK17" s="12">
        <v>0.75</v>
      </c>
      <c r="BL17" s="11">
        <v>2.3822222222222225</v>
      </c>
      <c r="BM17" s="12">
        <v>0.69230769230769229</v>
      </c>
      <c r="BN17" s="11"/>
      <c r="BO17" s="12"/>
      <c r="BP17" s="11">
        <v>-0.13888888888888928</v>
      </c>
      <c r="BQ17" s="12">
        <v>0.69230769230769229</v>
      </c>
      <c r="BR17" s="11">
        <v>17.582222222222224</v>
      </c>
      <c r="BS17" s="12">
        <v>0.84615384615384615</v>
      </c>
      <c r="BT17" s="11"/>
      <c r="BU17" s="12"/>
      <c r="BV17" s="11">
        <v>-5.379999999999999</v>
      </c>
      <c r="BW17" s="12">
        <v>0.53846153846153844</v>
      </c>
      <c r="BX17" s="11">
        <v>1.3288888888888895</v>
      </c>
      <c r="BY17" s="12">
        <v>0.76923076923076927</v>
      </c>
      <c r="BZ17" s="11">
        <v>7.0255555555555551</v>
      </c>
      <c r="CA17" s="12">
        <v>0.84615384615384615</v>
      </c>
      <c r="CB17" s="11">
        <v>7.691111111111109</v>
      </c>
      <c r="CC17" s="12">
        <v>0.92307692307692313</v>
      </c>
      <c r="CD17" s="11">
        <v>-4.2200000000000006</v>
      </c>
      <c r="CE17" s="12">
        <v>0.61538461538461542</v>
      </c>
      <c r="CF17" s="11">
        <v>-4.0522222222222215</v>
      </c>
      <c r="CG17" s="12">
        <v>0.46153846153846156</v>
      </c>
      <c r="CH17" s="11">
        <v>9.1000000000000014</v>
      </c>
      <c r="CI17" s="12">
        <v>1</v>
      </c>
      <c r="CJ17" s="11"/>
      <c r="CK17" s="12"/>
      <c r="CL17" s="11">
        <v>-3.1999999999999993</v>
      </c>
      <c r="CM17" s="12">
        <v>0.46153846153846156</v>
      </c>
      <c r="CN17" s="11">
        <v>0.88777777777777778</v>
      </c>
      <c r="CO17" s="12">
        <v>0.76923076923076927</v>
      </c>
      <c r="CP17" s="11">
        <v>-0.66555555555555579</v>
      </c>
      <c r="CQ17" s="12">
        <v>0.66666666666666663</v>
      </c>
      <c r="CR17" s="11">
        <v>4.0777777777777784</v>
      </c>
      <c r="CS17" s="12">
        <v>0.76923076923076927</v>
      </c>
      <c r="CT17" s="11">
        <v>10.441111111111111</v>
      </c>
      <c r="CU17" s="12">
        <v>1</v>
      </c>
      <c r="CV17" s="11">
        <v>0.82555555555555615</v>
      </c>
      <c r="CW17" s="12">
        <v>0.69230769230769229</v>
      </c>
      <c r="CX17" s="11">
        <v>-9.1133333333333333</v>
      </c>
      <c r="CY17" s="12">
        <v>0.38461538461538464</v>
      </c>
      <c r="CZ17" s="11">
        <v>-3.6277777777777782</v>
      </c>
      <c r="DA17" s="12">
        <v>0.61538461538461542</v>
      </c>
      <c r="DB17" s="11">
        <v>-2.6177777777777766</v>
      </c>
      <c r="DC17" s="12">
        <v>0.69230769230769229</v>
      </c>
      <c r="DD17" s="11">
        <v>-4.3933333333333335</v>
      </c>
      <c r="DE17" s="12">
        <v>0.58333333333333337</v>
      </c>
      <c r="DF17" s="11">
        <v>-4.9477777777777767</v>
      </c>
      <c r="DG17" s="12">
        <v>0.53846153846153844</v>
      </c>
      <c r="DH17" s="11">
        <v>-9.1177777777777802</v>
      </c>
      <c r="DI17" s="12">
        <v>0.46153846153846156</v>
      </c>
      <c r="DJ17" s="11">
        <v>-8.5022222222222226</v>
      </c>
      <c r="DK17" s="12">
        <v>0.41666666666666669</v>
      </c>
      <c r="DL17" s="11">
        <v>-2.5811111111111109</v>
      </c>
      <c r="DM17" s="12">
        <v>0.46153846153846156</v>
      </c>
      <c r="DN17" s="11">
        <v>0.82333333333333358</v>
      </c>
      <c r="DO17" s="12">
        <v>0.66666666666666663</v>
      </c>
      <c r="DP17" s="11"/>
      <c r="DQ17" s="12"/>
      <c r="DR17" s="11">
        <v>-5.8177777777777786</v>
      </c>
      <c r="DS17" s="12">
        <v>0.46153846153846156</v>
      </c>
      <c r="DT17" s="11">
        <v>-5.8177777777777786</v>
      </c>
      <c r="DU17" s="12">
        <v>0.46153846153846156</v>
      </c>
      <c r="DV17" s="11">
        <v>-2.8233333333333341</v>
      </c>
      <c r="DW17" s="12">
        <v>0.46153846153846156</v>
      </c>
      <c r="DX17" s="11">
        <v>1.3344444444444445</v>
      </c>
      <c r="DY17" s="12">
        <v>0.69230769230769229</v>
      </c>
      <c r="DZ17" s="11">
        <v>2.2955555555555542</v>
      </c>
      <c r="EA17" s="12">
        <v>0.76923076923076927</v>
      </c>
      <c r="EB17" s="11">
        <v>-11.052222222222222</v>
      </c>
      <c r="EC17" s="12">
        <v>0.30769230769230771</v>
      </c>
      <c r="ED17" s="11">
        <v>-9.6055555555555561</v>
      </c>
      <c r="EE17" s="12">
        <v>0.38461538461538464</v>
      </c>
      <c r="EF17" s="11">
        <v>5.8633333333333333</v>
      </c>
      <c r="EG17" s="12">
        <v>0.69230769230769229</v>
      </c>
      <c r="EH17" s="11">
        <v>-1.4877777777777781</v>
      </c>
      <c r="EI17" s="12">
        <v>0.63636363636363635</v>
      </c>
      <c r="EJ17" s="11">
        <v>-9.9711111111111119</v>
      </c>
      <c r="EK17" s="12">
        <v>0.30769230769230771</v>
      </c>
      <c r="EL17" s="11">
        <v>0.18666666666666673</v>
      </c>
      <c r="EM17" s="12">
        <v>0.69230769230769229</v>
      </c>
      <c r="EN17" s="11">
        <v>0.62666666666666737</v>
      </c>
      <c r="EO17" s="12">
        <v>0.61538461538461542</v>
      </c>
      <c r="EP17" s="11">
        <v>-1.471111111111111</v>
      </c>
      <c r="EQ17" s="12">
        <v>0.61538461538461542</v>
      </c>
      <c r="ER17" s="11">
        <v>-3.9877777777777772</v>
      </c>
      <c r="ES17" s="12">
        <v>0.61538461538461542</v>
      </c>
      <c r="ET17" s="11">
        <v>0.62666666666666737</v>
      </c>
      <c r="EU17" s="12">
        <v>0.61538461538461542</v>
      </c>
      <c r="EV17" s="11">
        <v>-1.471111111111111</v>
      </c>
      <c r="EW17" s="12">
        <v>0.61538461538461542</v>
      </c>
      <c r="EX17" s="11">
        <v>-3.9877777777777772</v>
      </c>
      <c r="EY17" s="12">
        <v>0.61538461538461542</v>
      </c>
      <c r="EZ17" s="3"/>
      <c r="FA17" s="1"/>
      <c r="FB17" s="3">
        <v>-22.929999999999996</v>
      </c>
      <c r="FC17" s="1">
        <v>0.38461538461538464</v>
      </c>
      <c r="FD17" s="3">
        <v>4.0199999999999996</v>
      </c>
      <c r="FE17" s="1">
        <v>0.76923076923076927</v>
      </c>
      <c r="FF17" s="3">
        <v>-8.86</v>
      </c>
      <c r="FG17" s="1">
        <v>0.53846153846153844</v>
      </c>
      <c r="FH17" s="3">
        <v>-6.9599999999999991</v>
      </c>
      <c r="FI17" s="1">
        <v>0.5</v>
      </c>
      <c r="FJ17" s="3">
        <v>-2.1700000000000004</v>
      </c>
      <c r="FK17" s="1">
        <v>0.58333333333333337</v>
      </c>
      <c r="FL17" s="3">
        <v>-4.5000000000000018</v>
      </c>
      <c r="FM17" s="1">
        <v>0.66666666666666663</v>
      </c>
      <c r="FN17" s="3">
        <v>12.22</v>
      </c>
      <c r="FO17" s="1">
        <v>0.84615384615384615</v>
      </c>
      <c r="FP17" s="3">
        <v>-18.09</v>
      </c>
      <c r="FQ17" s="1">
        <v>0.46153846153846156</v>
      </c>
      <c r="FR17" s="3">
        <v>4.870000000000001</v>
      </c>
      <c r="FS17" s="1">
        <v>0.76923076923076927</v>
      </c>
      <c r="FT17" s="3">
        <v>-3.5200000000000005</v>
      </c>
      <c r="FU17" s="1">
        <v>0.53846153846153844</v>
      </c>
      <c r="FV17" s="3">
        <v>23.49</v>
      </c>
      <c r="FW17" s="1">
        <v>0.84615384615384615</v>
      </c>
      <c r="FX17" s="3">
        <v>18.72</v>
      </c>
      <c r="FY17" s="1">
        <v>0.84615384615384615</v>
      </c>
      <c r="FZ17" s="3">
        <v>23.44</v>
      </c>
      <c r="GA17" s="1">
        <v>0.84615384615384615</v>
      </c>
      <c r="GB17" s="3">
        <v>-2.8500000000000005</v>
      </c>
      <c r="GC17" s="1">
        <v>0.46153846153846156</v>
      </c>
      <c r="GD17" s="3">
        <v>21.95</v>
      </c>
      <c r="GE17" s="1">
        <v>0.76923076923076927</v>
      </c>
      <c r="GF17" s="3">
        <v>-2.3899999999999992</v>
      </c>
      <c r="GG17" s="1">
        <v>0.69230769230769229</v>
      </c>
      <c r="GH17" s="3">
        <v>8.7700000000000014</v>
      </c>
      <c r="GI17" s="1">
        <v>0.69230769230769229</v>
      </c>
      <c r="GJ17" s="3">
        <v>-7.7600000000000007</v>
      </c>
      <c r="GK17" s="1">
        <v>0.5</v>
      </c>
      <c r="GL17" s="3">
        <v>2.3299999999999996</v>
      </c>
      <c r="GM17" s="1">
        <v>0.69230769230769229</v>
      </c>
      <c r="GN17" s="3"/>
      <c r="GO17" s="1"/>
      <c r="GP17" s="3">
        <v>18.63</v>
      </c>
      <c r="GQ17" s="1">
        <v>0.84615384615384615</v>
      </c>
      <c r="GR17" s="3">
        <v>-19.53</v>
      </c>
      <c r="GS17" s="1">
        <v>0.53846153846153844</v>
      </c>
      <c r="GT17" s="3">
        <v>2.3400000000000016</v>
      </c>
      <c r="GU17" s="1">
        <v>0.61538461538461542</v>
      </c>
      <c r="GV17" s="3">
        <v>3.44</v>
      </c>
      <c r="GW17" s="1">
        <v>0.53846153846153844</v>
      </c>
      <c r="GX17" s="3">
        <v>-8.59</v>
      </c>
      <c r="GY17" s="1">
        <v>0.53846153846153844</v>
      </c>
      <c r="GZ17" s="3"/>
      <c r="HA17" s="1"/>
      <c r="HB17" s="3">
        <v>-17.599999999999994</v>
      </c>
      <c r="HC17" s="1">
        <v>0.38461538461538464</v>
      </c>
      <c r="HD17" s="76">
        <v>-30.450000000000006</v>
      </c>
      <c r="HE17" s="1">
        <v>0.30769230769230771</v>
      </c>
      <c r="HF17" s="78">
        <v>-23.300000000000004</v>
      </c>
      <c r="HG17" s="1">
        <v>0.46153846153846156</v>
      </c>
      <c r="HH17" s="79">
        <v>-5.38</v>
      </c>
      <c r="HI17" s="1">
        <v>0.61538461538461542</v>
      </c>
      <c r="HJ17" s="80">
        <v>-14.379999999999999</v>
      </c>
      <c r="HK17" s="1">
        <v>0.53846153846153844</v>
      </c>
      <c r="HL17" s="81">
        <v>10.129999999999999</v>
      </c>
      <c r="HM17" s="1">
        <v>0.66666666666666663</v>
      </c>
      <c r="HN17" s="82">
        <v>18.909999999999997</v>
      </c>
      <c r="HO17" s="1">
        <v>0.84615384615384615</v>
      </c>
      <c r="HP17" s="83">
        <v>3.25</v>
      </c>
      <c r="HQ17" s="1">
        <v>0.58333333333333337</v>
      </c>
      <c r="HR17" s="84">
        <v>-8.1199999999999992</v>
      </c>
      <c r="HS17" s="1">
        <v>0.46153846153846156</v>
      </c>
      <c r="HT17" s="85">
        <v>5.2899999999999991</v>
      </c>
      <c r="HU17" s="1">
        <v>0.69230769230769229</v>
      </c>
      <c r="HV17" s="88">
        <v>4.4100000000000019</v>
      </c>
      <c r="HW17" s="1">
        <v>0.61538461538461542</v>
      </c>
      <c r="HX17" s="89"/>
      <c r="HY17" s="1"/>
      <c r="HZ17" s="91">
        <v>-31.210000000000004</v>
      </c>
      <c r="IA17" s="1">
        <v>0.30769230769230771</v>
      </c>
      <c r="IB17" s="92">
        <v>-1.2400000000000002</v>
      </c>
      <c r="IC17" s="1">
        <v>0.5</v>
      </c>
      <c r="ID17" s="93">
        <v>-57.42</v>
      </c>
      <c r="IE17" s="1">
        <v>0.15384615384615385</v>
      </c>
      <c r="IF17" s="94">
        <v>2.1100000000000048</v>
      </c>
      <c r="IG17" s="1">
        <v>0.69230769230769229</v>
      </c>
      <c r="IH17" s="97">
        <v>-6.96</v>
      </c>
      <c r="II17" s="1">
        <v>0.61538461538461542</v>
      </c>
      <c r="IJ17" s="98">
        <v>6.7699999999999969</v>
      </c>
      <c r="IK17" s="1">
        <v>0.75</v>
      </c>
      <c r="IL17" s="99">
        <v>-5.5299999999999994</v>
      </c>
      <c r="IM17" s="1">
        <v>0.66666666666666663</v>
      </c>
      <c r="IN17" s="100">
        <v>-2.7</v>
      </c>
      <c r="IO17" s="1">
        <v>0.61538461538461542</v>
      </c>
      <c r="IP17" s="101">
        <v>-12.869999999999997</v>
      </c>
      <c r="IQ17" s="1">
        <v>0.53846153846153844</v>
      </c>
      <c r="IR17" s="102"/>
      <c r="IS17" s="1"/>
      <c r="IT17" s="103"/>
      <c r="IU17" s="1"/>
      <c r="IV17" s="104">
        <v>4.7200000000000006</v>
      </c>
      <c r="IW17" s="1">
        <v>0.61538461538461542</v>
      </c>
      <c r="IX17" s="104">
        <v>-5.0399999999999991</v>
      </c>
      <c r="IY17" s="1">
        <v>0.53846153846153844</v>
      </c>
      <c r="IZ17" s="105"/>
      <c r="JA17" s="1"/>
      <c r="JB17" s="112"/>
      <c r="JC17" s="1"/>
      <c r="JD17" s="113"/>
      <c r="JE17" s="1"/>
      <c r="JF17" s="114">
        <v>20.219999999999995</v>
      </c>
      <c r="JG17" s="1">
        <v>0.92307692307692313</v>
      </c>
      <c r="JH17" s="115">
        <v>1.2400000000000009</v>
      </c>
      <c r="JI17" s="1">
        <v>0.61538461538461542</v>
      </c>
      <c r="JJ17" s="116">
        <v>-12.290000000000001</v>
      </c>
      <c r="JK17" s="1">
        <v>0.61538461538461542</v>
      </c>
      <c r="JL17" s="117"/>
      <c r="JM17" s="1"/>
      <c r="JN17" s="118">
        <v>7.8999999999999977</v>
      </c>
      <c r="JO17" s="1">
        <v>0.76923076923076927</v>
      </c>
      <c r="JP17" s="119">
        <v>-4.76</v>
      </c>
      <c r="JQ17" s="1">
        <v>0.46153846153846156</v>
      </c>
      <c r="JR17" s="120">
        <v>14.57</v>
      </c>
      <c r="JS17" s="1">
        <v>0.84615384615384615</v>
      </c>
      <c r="JT17" s="122"/>
      <c r="JU17" s="1"/>
      <c r="JV17" s="126"/>
      <c r="JW17" s="1"/>
      <c r="JX17" s="132"/>
      <c r="JY17" s="1"/>
      <c r="JZ17" s="133">
        <v>0.64000000000000146</v>
      </c>
      <c r="KA17" s="1">
        <v>0.61538461538461542</v>
      </c>
      <c r="KB17" s="138">
        <v>15.000000000000002</v>
      </c>
      <c r="KC17" s="1">
        <v>0.84615384615384615</v>
      </c>
      <c r="KD17" s="140">
        <v>-6.129999999999999</v>
      </c>
      <c r="KE17" s="1">
        <v>0.66666666666666663</v>
      </c>
      <c r="KF17" s="144">
        <v>-11.090000000000002</v>
      </c>
      <c r="KG17" s="1">
        <v>0.61538461538461542</v>
      </c>
      <c r="KH17" s="148">
        <v>-6.9599999999999991</v>
      </c>
      <c r="KI17" s="1">
        <v>0.61538461538461542</v>
      </c>
      <c r="KJ17" s="152">
        <v>-6.3000000000000016</v>
      </c>
      <c r="KK17" s="1">
        <v>0.61538461538461542</v>
      </c>
      <c r="KL17" s="156">
        <v>-16.96</v>
      </c>
      <c r="KM17" s="1">
        <v>0.53846153846153844</v>
      </c>
      <c r="KN17" s="160">
        <v>11.76</v>
      </c>
      <c r="KO17" s="1">
        <v>0.76923076923076927</v>
      </c>
      <c r="KP17" s="163"/>
      <c r="KQ17" s="1"/>
      <c r="KR17" s="165">
        <v>22.109999999999996</v>
      </c>
      <c r="KS17" s="1">
        <v>0.92307692307692313</v>
      </c>
      <c r="KT17" s="168"/>
      <c r="KU17" s="1"/>
      <c r="KV17" s="171">
        <v>19.080000000000002</v>
      </c>
      <c r="KW17" s="1">
        <v>0.84615384615384615</v>
      </c>
      <c r="KX17" s="174">
        <v>9.66</v>
      </c>
      <c r="KY17" s="1">
        <v>0.76923076923076927</v>
      </c>
      <c r="KZ17" s="179">
        <v>14.790000000000001</v>
      </c>
      <c r="LA17" s="1">
        <v>0.84615384615384615</v>
      </c>
      <c r="LB17" s="183">
        <v>6.7799999999999976</v>
      </c>
      <c r="LC17" s="1">
        <v>0.69230769230769229</v>
      </c>
      <c r="LD17" s="187">
        <v>14.56</v>
      </c>
      <c r="LE17" s="1">
        <v>0.84615384615384615</v>
      </c>
      <c r="LF17" s="189">
        <v>-30.130000000000003</v>
      </c>
      <c r="LG17" s="1">
        <v>0.41666666666666669</v>
      </c>
      <c r="LH17" s="191">
        <v>-8.9199999999999982</v>
      </c>
      <c r="LI17" s="1">
        <v>0.61538461538461542</v>
      </c>
      <c r="LJ17" s="194"/>
      <c r="LK17" s="1"/>
      <c r="LL17" s="196">
        <v>-12.68</v>
      </c>
      <c r="LM17" s="1">
        <v>0.58333333333333337</v>
      </c>
      <c r="LN17" s="198">
        <v>-36.029999999999987</v>
      </c>
      <c r="LO17" s="1">
        <v>0.38461538461538464</v>
      </c>
      <c r="LP17" s="200">
        <v>-1.8199999999999985</v>
      </c>
      <c r="LQ17" s="1">
        <v>0.69230769230769229</v>
      </c>
      <c r="LR17" s="202">
        <v>-45.75</v>
      </c>
      <c r="LS17" s="1">
        <v>0.27272727272727271</v>
      </c>
      <c r="LT17" s="204">
        <v>-21.72</v>
      </c>
      <c r="LU17" s="1">
        <v>0.5</v>
      </c>
      <c r="LV17" s="206">
        <v>14.350000000000001</v>
      </c>
      <c r="LW17" s="1">
        <v>0.875</v>
      </c>
      <c r="LX17" s="208">
        <v>-10</v>
      </c>
      <c r="LY17" s="1">
        <v>0.25</v>
      </c>
      <c r="LZ17" s="210">
        <v>-15.219999999999999</v>
      </c>
      <c r="MA17" s="1">
        <v>0.5</v>
      </c>
      <c r="MB17" s="212">
        <v>9.8000000000000007</v>
      </c>
      <c r="MC17" s="1">
        <v>0.8</v>
      </c>
      <c r="MD17" s="214"/>
      <c r="ME17" s="1"/>
      <c r="MF17" s="216">
        <v>-16.509999999999998</v>
      </c>
      <c r="MG17" s="1">
        <v>0.33333333333333331</v>
      </c>
      <c r="MH17" s="218">
        <v>-12.12</v>
      </c>
      <c r="MI17" s="1">
        <v>0.33333333333333331</v>
      </c>
      <c r="MJ17" s="220">
        <v>14.360000000000001</v>
      </c>
      <c r="MK17" s="1">
        <v>1</v>
      </c>
      <c r="ML17" s="222">
        <v>-15.450000000000005</v>
      </c>
      <c r="MM17" s="1">
        <v>0.5</v>
      </c>
      <c r="MN17" s="224">
        <v>16.48</v>
      </c>
      <c r="MO17" s="1">
        <v>1</v>
      </c>
      <c r="MP17" s="226">
        <v>-23.049999999999997</v>
      </c>
      <c r="MQ17" s="1">
        <v>0.5</v>
      </c>
      <c r="MR17" s="228">
        <v>-5.25</v>
      </c>
      <c r="MS17" s="1">
        <v>0.66666666666666663</v>
      </c>
      <c r="MT17" s="230">
        <v>-9.23</v>
      </c>
      <c r="MU17" s="1">
        <v>0.58333333333333337</v>
      </c>
      <c r="MV17" s="232">
        <v>-3.6599999999999997</v>
      </c>
      <c r="MW17" s="1">
        <v>0.66666666666666663</v>
      </c>
      <c r="MX17" s="234">
        <v>-3.3299999999999992</v>
      </c>
      <c r="MY17" s="1">
        <v>0.66666666666666663</v>
      </c>
      <c r="MZ17" s="236">
        <v>-20.289999999999996</v>
      </c>
      <c r="NA17" s="1">
        <v>0.44444444444444442</v>
      </c>
      <c r="NB17" s="238">
        <v>-1.5000000000000018</v>
      </c>
      <c r="NC17" s="1">
        <v>0.63636363636363635</v>
      </c>
      <c r="ND17" s="240"/>
      <c r="NE17" s="1"/>
      <c r="NF17" s="242">
        <v>-24.939999999999998</v>
      </c>
      <c r="NG17" s="1">
        <v>0.5</v>
      </c>
      <c r="NH17" s="244">
        <v>-24.939999999999998</v>
      </c>
      <c r="NI17" s="1">
        <v>0.5</v>
      </c>
      <c r="NJ17" s="244">
        <v>12.459999999999999</v>
      </c>
      <c r="NK17" s="1">
        <v>0.83333333333333337</v>
      </c>
      <c r="NL17" s="246">
        <v>6.0500000000000016</v>
      </c>
      <c r="NM17" s="1">
        <v>0.76923076923076927</v>
      </c>
      <c r="NN17" s="248"/>
      <c r="NO17" s="1"/>
      <c r="NP17" s="250">
        <v>4.84</v>
      </c>
      <c r="NQ17" s="1">
        <v>1</v>
      </c>
      <c r="NR17" s="252">
        <v>-9.7899999999999991</v>
      </c>
      <c r="NS17" s="1">
        <v>0.33333333333333331</v>
      </c>
      <c r="NT17" s="254">
        <v>8.73</v>
      </c>
      <c r="NU17" s="1">
        <v>0.8571428571428571</v>
      </c>
      <c r="NV17" s="256">
        <v>-4.7999999999999989</v>
      </c>
      <c r="NW17" s="1">
        <v>0.6</v>
      </c>
      <c r="NX17" s="258">
        <v>2.0700000000000003</v>
      </c>
      <c r="NY17" s="1">
        <v>0.75</v>
      </c>
      <c r="NZ17" s="260"/>
      <c r="OA17" s="1"/>
      <c r="OB17" s="262">
        <v>-4.1100000000000012</v>
      </c>
      <c r="OC17" s="1">
        <v>0.5</v>
      </c>
      <c r="OD17" s="264">
        <v>-3.1100000000000003</v>
      </c>
      <c r="OE17" s="1">
        <v>0.66666666666666663</v>
      </c>
      <c r="OF17" s="266">
        <v>-2.4399999999999991</v>
      </c>
      <c r="OG17" s="1">
        <v>0.66666666666666663</v>
      </c>
      <c r="OH17" s="268">
        <v>-12.16</v>
      </c>
      <c r="OI17" s="1">
        <v>0.55555555555555558</v>
      </c>
      <c r="OJ17" s="270"/>
      <c r="OK17" s="1"/>
      <c r="OL17" s="272">
        <v>23.23</v>
      </c>
      <c r="OM17" s="1">
        <v>0.92307692307692313</v>
      </c>
      <c r="ON17" s="274">
        <v>-3.0900000000000016</v>
      </c>
      <c r="OO17" s="1">
        <v>0.69230769230769229</v>
      </c>
      <c r="OP17" s="276">
        <v>15.71</v>
      </c>
      <c r="OQ17" s="1">
        <v>0.84615384615384615</v>
      </c>
      <c r="OR17" s="278">
        <v>-28.02</v>
      </c>
      <c r="OS17" s="1">
        <v>0.46153846153846156</v>
      </c>
      <c r="OT17" s="280">
        <v>-36.71</v>
      </c>
      <c r="OU17" s="1">
        <v>0.38461538461538464</v>
      </c>
      <c r="OV17" s="282"/>
      <c r="OW17" s="1"/>
      <c r="OX17" s="285">
        <v>-19.179999999999996</v>
      </c>
      <c r="OY17" s="1">
        <v>0.53846153846153844</v>
      </c>
      <c r="OZ17" s="288">
        <v>-31.960000000000004</v>
      </c>
      <c r="PA17" s="1">
        <v>0.42857142857142855</v>
      </c>
      <c r="PB17" s="292">
        <v>7.6999999999999993</v>
      </c>
      <c r="PC17" s="1">
        <v>0.76923076923076927</v>
      </c>
      <c r="PD17" s="297">
        <v>-27.4</v>
      </c>
      <c r="PE17" s="1">
        <v>0.46153846153846156</v>
      </c>
      <c r="PF17" s="298">
        <v>6.4600000000000009</v>
      </c>
      <c r="PG17" s="1">
        <v>0.76923076923076927</v>
      </c>
      <c r="PH17" s="301">
        <v>-19.489999999999998</v>
      </c>
      <c r="PI17" s="1">
        <v>0.53846153846153844</v>
      </c>
      <c r="PJ17" s="302"/>
      <c r="PK17" s="1"/>
      <c r="PL17" s="309"/>
      <c r="PM17" s="1"/>
      <c r="PN17" s="313">
        <v>-12.980000000000004</v>
      </c>
      <c r="PO17" s="1">
        <v>0.58333333333333337</v>
      </c>
      <c r="PP17" s="313">
        <v>-37.18</v>
      </c>
      <c r="PQ17" s="1">
        <v>0.33333333333333331</v>
      </c>
      <c r="PR17" s="315"/>
      <c r="PS17" s="1"/>
      <c r="PT17" s="318">
        <v>-10.399999999999999</v>
      </c>
      <c r="PU17" s="1">
        <v>0.61538461538461542</v>
      </c>
      <c r="PV17" s="321">
        <v>-13.36</v>
      </c>
      <c r="PW17" s="1">
        <v>0.61538461538461542</v>
      </c>
      <c r="PX17" s="323">
        <v>-22.030000000000005</v>
      </c>
      <c r="PY17" s="1">
        <v>0.5714285714285714</v>
      </c>
      <c r="PZ17" s="325">
        <v>-21.099999999999998</v>
      </c>
      <c r="QA17" s="1">
        <v>0.5</v>
      </c>
      <c r="QB17" s="327">
        <v>-27.48</v>
      </c>
      <c r="QC17" s="1">
        <v>0.46153846153846156</v>
      </c>
      <c r="QD17" s="334">
        <v>-5.1200000000000019</v>
      </c>
      <c r="QE17" s="1">
        <v>0.61538461538461542</v>
      </c>
      <c r="QF17" s="339">
        <v>-20.010000000000002</v>
      </c>
      <c r="QG17" s="1">
        <v>0.53846153846153844</v>
      </c>
      <c r="QH17" s="345">
        <v>-2.29</v>
      </c>
      <c r="QI17" s="1">
        <v>0.69230769230769229</v>
      </c>
      <c r="QJ17" s="352">
        <v>-14.14</v>
      </c>
      <c r="QK17" s="1">
        <v>0.53846153846153844</v>
      </c>
      <c r="QL17" s="356">
        <v>-19.230000000000004</v>
      </c>
      <c r="QM17" s="1">
        <v>0.53846153846153844</v>
      </c>
      <c r="QN17" s="360">
        <v>19.88</v>
      </c>
      <c r="QO17" s="1">
        <v>0.84615384615384615</v>
      </c>
      <c r="QP17" s="363">
        <v>18.010000000000002</v>
      </c>
      <c r="QQ17" s="1">
        <v>0.84615384615384615</v>
      </c>
      <c r="QR17" s="366">
        <v>-10.649999999999999</v>
      </c>
      <c r="QS17" s="1">
        <v>0.61538461538461542</v>
      </c>
      <c r="QT17" s="371"/>
      <c r="QU17" s="1"/>
      <c r="QV17" s="374">
        <v>-22.73</v>
      </c>
      <c r="QW17" s="1">
        <v>0.42857142857142855</v>
      </c>
      <c r="QX17" s="378">
        <v>4.1800000000000006</v>
      </c>
      <c r="QY17" s="1">
        <v>0.66666666666666663</v>
      </c>
      <c r="QZ17" s="386"/>
      <c r="RA17" s="1"/>
      <c r="RB17" s="395">
        <v>15.059999999999997</v>
      </c>
      <c r="RC17" s="1">
        <v>0.84615384615384615</v>
      </c>
      <c r="RD17" s="399">
        <v>-6.4699999999999971</v>
      </c>
      <c r="RE17" s="1">
        <v>0.6428571428571429</v>
      </c>
      <c r="RF17" s="399">
        <v>-12.72</v>
      </c>
      <c r="RG17" s="1">
        <v>0.53846153846153844</v>
      </c>
      <c r="RH17" s="403">
        <v>0.51000000000000068</v>
      </c>
      <c r="RI17" s="1">
        <v>0.7142857142857143</v>
      </c>
      <c r="RJ17" s="405">
        <v>-5.1399999999999988</v>
      </c>
      <c r="RK17" s="1">
        <v>0.6428571428571429</v>
      </c>
      <c r="RL17" s="407">
        <v>2.36</v>
      </c>
      <c r="RM17" s="1">
        <v>0.7142857142857143</v>
      </c>
      <c r="RN17" s="410">
        <v>3.9099999999999997</v>
      </c>
      <c r="RO17" s="1">
        <v>0.69230769230769229</v>
      </c>
      <c r="RP17" s="412">
        <v>-52.51</v>
      </c>
      <c r="RQ17" s="1">
        <v>8.3333333333333329E-2</v>
      </c>
      <c r="RR17" s="415">
        <v>-16.729999999999993</v>
      </c>
      <c r="RS17" s="1">
        <v>0.5714285714285714</v>
      </c>
      <c r="RT17" s="417">
        <v>-9.0300000000000011</v>
      </c>
      <c r="RU17" s="1">
        <v>0.5</v>
      </c>
      <c r="RV17" s="422">
        <v>31.900000000000002</v>
      </c>
      <c r="RW17" s="1">
        <v>1</v>
      </c>
      <c r="RX17" s="427">
        <v>-16.669999999999998</v>
      </c>
      <c r="RY17" s="1">
        <v>0.46153846153846156</v>
      </c>
      <c r="RZ17" s="433">
        <v>1.37</v>
      </c>
      <c r="SA17" s="1">
        <v>0.75</v>
      </c>
      <c r="SB17" s="436">
        <v>14.34</v>
      </c>
      <c r="SC17" s="1">
        <v>0.84615384615384615</v>
      </c>
      <c r="SD17" s="443">
        <v>-19.27</v>
      </c>
      <c r="SE17" s="1">
        <v>0.42857142857142855</v>
      </c>
      <c r="SF17" s="445"/>
      <c r="SG17" s="1"/>
      <c r="SH17" s="450">
        <v>-0.85999999999999877</v>
      </c>
      <c r="SI17" s="1">
        <v>0.61538461538461542</v>
      </c>
      <c r="SJ17" s="452">
        <v>13.32</v>
      </c>
      <c r="SK17" s="1">
        <v>0.7857142857142857</v>
      </c>
      <c r="SL17" s="457">
        <v>-44.95</v>
      </c>
      <c r="SM17" s="1">
        <v>0.21428571428571427</v>
      </c>
      <c r="SN17" s="459">
        <v>13.83</v>
      </c>
      <c r="SO17" s="1">
        <v>0.76923076923076927</v>
      </c>
      <c r="SP17" s="461">
        <v>9.1700000000000017</v>
      </c>
      <c r="SQ17" s="1">
        <v>0.76923076923076927</v>
      </c>
      <c r="SR17" s="463">
        <v>8.58</v>
      </c>
      <c r="SS17" s="1">
        <v>0.7857142857142857</v>
      </c>
      <c r="ST17" s="464">
        <v>-16.73</v>
      </c>
      <c r="SU17" s="1">
        <v>0.5</v>
      </c>
      <c r="SV17" s="466">
        <v>-56.79</v>
      </c>
      <c r="SW17" s="1">
        <v>7.6923076923076927E-2</v>
      </c>
      <c r="SX17" s="467"/>
      <c r="SY17" s="1"/>
      <c r="SZ17" s="469">
        <v>-4.4499999999999993</v>
      </c>
      <c r="TA17" s="1">
        <v>0.66666666666666663</v>
      </c>
      <c r="TB17" s="471">
        <v>-35.97</v>
      </c>
      <c r="TC17" s="1">
        <v>0.38461538461538464</v>
      </c>
      <c r="TD17" s="472">
        <v>-15.89</v>
      </c>
      <c r="TE17" s="1">
        <v>0.53846153846153844</v>
      </c>
      <c r="TF17" s="474">
        <v>-50.49</v>
      </c>
      <c r="TG17" s="1">
        <v>0.14285714285714285</v>
      </c>
      <c r="TH17" s="488">
        <v>-4.3300000000000018</v>
      </c>
      <c r="TI17" s="1">
        <v>0.5714285714285714</v>
      </c>
      <c r="TJ17" s="489">
        <v>-10.719999999999999</v>
      </c>
      <c r="TK17" s="1">
        <v>0.61538461538461542</v>
      </c>
      <c r="TL17" s="490">
        <v>-7.9699999999999989</v>
      </c>
      <c r="TM17" s="1">
        <v>0.6428571428571429</v>
      </c>
      <c r="TN17" s="495"/>
      <c r="TO17" s="1"/>
      <c r="TP17" s="500">
        <v>-10.17</v>
      </c>
      <c r="TQ17" s="1">
        <v>0.61538461538461542</v>
      </c>
      <c r="TR17" s="511">
        <v>14.920000000000002</v>
      </c>
      <c r="TS17" s="1">
        <v>0.84615384615384615</v>
      </c>
      <c r="TT17" s="515">
        <v>-10.879999999999999</v>
      </c>
      <c r="TU17" s="1">
        <v>0.61538461538461542</v>
      </c>
      <c r="TV17" s="518">
        <v>-3.3600000000000003</v>
      </c>
      <c r="TW17" s="1">
        <v>0.6428571428571429</v>
      </c>
      <c r="TX17" s="521">
        <v>-44.279999999999994</v>
      </c>
      <c r="TY17" s="1">
        <v>0.30769230769230771</v>
      </c>
      <c r="TZ17" s="524">
        <v>-2.14</v>
      </c>
      <c r="UA17" s="1">
        <v>0.69230769230769229</v>
      </c>
      <c r="UB17" s="527">
        <v>4.7299999999999995</v>
      </c>
      <c r="UC17" s="1">
        <v>0.7857142857142857</v>
      </c>
      <c r="UD17" s="530">
        <v>1.6899999999999995</v>
      </c>
      <c r="UE17" s="1">
        <v>0.7142857142857143</v>
      </c>
      <c r="UF17" s="533">
        <v>-8.15</v>
      </c>
      <c r="UG17" s="1">
        <v>0.5714285714285714</v>
      </c>
      <c r="UH17" s="536">
        <v>17.739999999999998</v>
      </c>
      <c r="UI17" s="1">
        <v>0.8571428571428571</v>
      </c>
      <c r="UJ17" s="539">
        <v>-6.8899999999999988</v>
      </c>
      <c r="UK17" s="1">
        <v>0.6428571428571429</v>
      </c>
      <c r="UL17" s="540">
        <v>-5.5200000000000014</v>
      </c>
      <c r="UM17" s="1">
        <v>0.6428571428571429</v>
      </c>
      <c r="UN17" s="543">
        <v>-10.749999999999998</v>
      </c>
      <c r="UO17" s="1">
        <v>0.5</v>
      </c>
      <c r="UP17" s="544">
        <v>2.5800000000000018</v>
      </c>
      <c r="UQ17" s="1">
        <v>0.6428571428571429</v>
      </c>
      <c r="UR17" s="551">
        <v>-46.540000000000013</v>
      </c>
      <c r="US17" s="1">
        <v>0.2857142857142857</v>
      </c>
      <c r="UT17" s="551">
        <v>2.6499999999999986</v>
      </c>
      <c r="UU17" s="1">
        <v>0.61538461538461542</v>
      </c>
      <c r="UV17" s="562">
        <v>-20.47</v>
      </c>
      <c r="UW17" s="1">
        <v>0.46153846153846156</v>
      </c>
      <c r="UX17" s="566">
        <v>11.290000000000001</v>
      </c>
      <c r="UY17" s="1">
        <v>0.7142857142857143</v>
      </c>
      <c r="UZ17" s="568"/>
      <c r="VA17" s="1"/>
      <c r="VB17" s="572">
        <v>1.9299999999999979</v>
      </c>
      <c r="VC17" s="1">
        <v>0.6428571428571429</v>
      </c>
      <c r="VD17" s="576">
        <v>-17.699999999999996</v>
      </c>
      <c r="VE17" s="1">
        <v>0.5</v>
      </c>
      <c r="VF17" s="580">
        <v>-33.010000000000005</v>
      </c>
      <c r="VG17" s="1">
        <v>0.35714285714285715</v>
      </c>
      <c r="VH17" s="584">
        <v>-17.099999999999998</v>
      </c>
      <c r="VI17" s="1">
        <v>0.53846153846153844</v>
      </c>
      <c r="VJ17" s="589">
        <v>-0.56999999999999695</v>
      </c>
      <c r="VK17" s="1">
        <v>0.6428571428571429</v>
      </c>
      <c r="VL17" s="593">
        <v>-6.6999999999999993</v>
      </c>
      <c r="VM17" s="1">
        <v>0.5714285714285714</v>
      </c>
      <c r="VN17" s="597">
        <v>17.679999999999996</v>
      </c>
      <c r="VO17" s="1">
        <v>0.8571428571428571</v>
      </c>
      <c r="VP17" s="601">
        <v>12.75</v>
      </c>
      <c r="VQ17" s="1">
        <v>0.7857142857142857</v>
      </c>
      <c r="VR17" s="603"/>
      <c r="VS17" s="1"/>
      <c r="VT17" s="607">
        <v>-7.6800000000000024</v>
      </c>
      <c r="VU17" s="1">
        <v>0.6428571428571429</v>
      </c>
      <c r="VV17" s="609">
        <v>-2.3400000000000007</v>
      </c>
      <c r="VW17" s="1">
        <v>0.5714285714285714</v>
      </c>
      <c r="VX17" s="613">
        <v>-18.57</v>
      </c>
      <c r="VY17" s="1">
        <v>0.5</v>
      </c>
      <c r="VZ17" s="617">
        <v>-11.47</v>
      </c>
      <c r="WA17" s="1">
        <v>0.5</v>
      </c>
      <c r="WB17" s="619">
        <v>8.59</v>
      </c>
      <c r="WC17" s="1">
        <v>0.7857142857142857</v>
      </c>
      <c r="WD17" s="624">
        <v>-19.020000000000003</v>
      </c>
      <c r="WE17" s="1">
        <v>0.5</v>
      </c>
      <c r="WF17" s="626">
        <v>26.13</v>
      </c>
      <c r="WG17" s="1">
        <v>0.9285714285714286</v>
      </c>
      <c r="WH17" s="630">
        <v>3.1100000000000012</v>
      </c>
      <c r="WI17" s="1">
        <v>0.7142857142857143</v>
      </c>
      <c r="WJ17" s="636">
        <v>1.67</v>
      </c>
      <c r="WK17" s="1">
        <v>0.7142857142857143</v>
      </c>
      <c r="WL17" s="638">
        <v>-11.95</v>
      </c>
      <c r="WM17" s="1">
        <v>0.53846153846153844</v>
      </c>
      <c r="WN17" s="642">
        <v>-15.03</v>
      </c>
      <c r="WO17" s="1">
        <v>0.5</v>
      </c>
      <c r="WP17" s="646">
        <v>-16.07</v>
      </c>
      <c r="WQ17" s="1">
        <v>0.5</v>
      </c>
      <c r="WR17" s="652">
        <v>-10.020000000000003</v>
      </c>
      <c r="WS17" s="1">
        <v>0.5714285714285714</v>
      </c>
      <c r="WT17" s="659">
        <v>-14.370000000000001</v>
      </c>
      <c r="WU17" s="1">
        <v>0.5</v>
      </c>
      <c r="WV17" s="659">
        <v>-32.54</v>
      </c>
      <c r="WW17" s="1">
        <v>0.42857142857142855</v>
      </c>
      <c r="WX17" s="672">
        <v>-0.22999999999999954</v>
      </c>
      <c r="WY17" s="1">
        <v>0.6428571428571429</v>
      </c>
      <c r="WZ17" s="677">
        <v>-12.499999999999996</v>
      </c>
      <c r="XA17" s="1">
        <v>0.5714285714285714</v>
      </c>
      <c r="XB17" s="681">
        <v>-19.190000000000001</v>
      </c>
      <c r="XC17" s="1">
        <v>0.5</v>
      </c>
      <c r="XD17" s="683"/>
      <c r="XE17" s="1"/>
      <c r="XF17" s="687">
        <v>-16.809999999999999</v>
      </c>
      <c r="XG17" s="1">
        <v>0.5714285714285714</v>
      </c>
      <c r="XH17" s="689">
        <v>-32.03</v>
      </c>
      <c r="XI17" s="1">
        <v>0.42857142857142855</v>
      </c>
      <c r="XJ17" s="696">
        <v>-24.4</v>
      </c>
      <c r="XK17" s="1">
        <v>0.5</v>
      </c>
      <c r="XL17" s="696">
        <v>0.79999999999999982</v>
      </c>
      <c r="XM17" s="1">
        <v>0.7142857142857143</v>
      </c>
      <c r="XN17" s="696">
        <v>-26.91</v>
      </c>
      <c r="XO17" s="1">
        <v>0.5714285714285714</v>
      </c>
      <c r="XP17" s="700">
        <v>30.510000000000005</v>
      </c>
      <c r="XQ17" s="1">
        <v>0.9285714285714286</v>
      </c>
      <c r="XR17" s="705">
        <v>-18.189999999999998</v>
      </c>
      <c r="XS17" s="1">
        <v>0.6071428571428571</v>
      </c>
      <c r="XT17" s="709">
        <v>5.2300000000000013</v>
      </c>
      <c r="XU17" s="1">
        <v>0.7142857142857143</v>
      </c>
      <c r="XV17" s="715">
        <v>-34.26</v>
      </c>
      <c r="XW17" s="1">
        <v>0.42857142857142855</v>
      </c>
    </row>
    <row r="18" spans="2:647" x14ac:dyDescent="0.25">
      <c r="B18" s="755"/>
      <c r="C18" s="745"/>
      <c r="D18" s="725" t="s">
        <v>17</v>
      </c>
      <c r="E18" s="725"/>
      <c r="F18" s="55">
        <v>0.4</v>
      </c>
      <c r="G18" s="769"/>
      <c r="H18" s="4"/>
      <c r="I18" s="5"/>
      <c r="J18" s="4"/>
      <c r="K18" s="5"/>
      <c r="L18" s="4"/>
      <c r="M18" s="5"/>
      <c r="N18" s="4"/>
      <c r="O18" s="5"/>
      <c r="P18" s="4"/>
      <c r="Q18" s="5"/>
      <c r="R18" s="4"/>
      <c r="S18" s="5"/>
      <c r="T18" s="4"/>
      <c r="U18" s="5"/>
      <c r="V18" s="4"/>
      <c r="W18" s="5"/>
      <c r="X18" s="4"/>
      <c r="Y18" s="5"/>
      <c r="Z18" s="4"/>
      <c r="AA18" s="5"/>
      <c r="AB18" s="4"/>
      <c r="AC18" s="5"/>
      <c r="AD18" s="4"/>
      <c r="AE18" s="5"/>
      <c r="AF18" s="4"/>
      <c r="AG18" s="5"/>
      <c r="AH18" s="4"/>
      <c r="AI18" s="5"/>
      <c r="AJ18" s="4"/>
      <c r="AK18" s="5"/>
      <c r="AL18" s="4"/>
      <c r="AM18" s="5"/>
      <c r="AN18" s="4"/>
      <c r="AO18" s="5"/>
      <c r="AP18" s="4"/>
      <c r="AQ18" s="5"/>
      <c r="AR18" s="4"/>
      <c r="AS18" s="5"/>
      <c r="AT18" s="4"/>
      <c r="AU18" s="5"/>
      <c r="AV18" s="4"/>
      <c r="AW18" s="5"/>
      <c r="AX18" s="4"/>
      <c r="AY18" s="5"/>
      <c r="AZ18" s="4"/>
      <c r="BA18" s="5"/>
      <c r="BB18" s="4"/>
      <c r="BC18" s="5"/>
      <c r="BD18" s="4"/>
      <c r="BE18" s="5"/>
      <c r="BF18" s="13">
        <v>-0.7629999999999999</v>
      </c>
      <c r="BG18" s="14">
        <v>0.5714285714285714</v>
      </c>
      <c r="BH18" s="13">
        <v>-0.67899999999999994</v>
      </c>
      <c r="BI18" s="14">
        <v>0.33333333333333331</v>
      </c>
      <c r="BJ18" s="13">
        <v>3.0629999999999997</v>
      </c>
      <c r="BK18" s="14">
        <v>0.75</v>
      </c>
      <c r="BL18" s="13">
        <v>1.1259999999999999</v>
      </c>
      <c r="BM18" s="14">
        <v>0.75</v>
      </c>
      <c r="BN18" s="13"/>
      <c r="BO18" s="14"/>
      <c r="BP18" s="13">
        <v>-3.8270000000000004</v>
      </c>
      <c r="BQ18" s="14">
        <v>0.375</v>
      </c>
      <c r="BR18" s="13">
        <v>2.742</v>
      </c>
      <c r="BS18" s="14">
        <v>0.6</v>
      </c>
      <c r="BT18" s="13"/>
      <c r="BU18" s="14"/>
      <c r="BV18" s="13">
        <v>-2.5000000000000133E-2</v>
      </c>
      <c r="BW18" s="14">
        <v>0.4</v>
      </c>
      <c r="BX18" s="13">
        <v>-4.4569999999999999</v>
      </c>
      <c r="BY18" s="14">
        <v>0.125</v>
      </c>
      <c r="BZ18" s="13">
        <v>2.2520000000000002</v>
      </c>
      <c r="CA18" s="14">
        <v>0.7142857142857143</v>
      </c>
      <c r="CB18" s="13">
        <v>-0.47600000000000015</v>
      </c>
      <c r="CC18" s="14">
        <v>0.55555555555555558</v>
      </c>
      <c r="CD18" s="13">
        <v>-1.4310000000000003</v>
      </c>
      <c r="CE18" s="14">
        <v>0.42857142857142855</v>
      </c>
      <c r="CF18" s="13">
        <v>-0.35899999999999987</v>
      </c>
      <c r="CG18" s="14">
        <v>0.2857142857142857</v>
      </c>
      <c r="CH18" s="13">
        <v>-6.410000000000001</v>
      </c>
      <c r="CI18" s="14">
        <v>0</v>
      </c>
      <c r="CJ18" s="13"/>
      <c r="CK18" s="14"/>
      <c r="CL18" s="13">
        <v>2.2190000000000003</v>
      </c>
      <c r="CM18" s="14">
        <v>0.5</v>
      </c>
      <c r="CN18" s="13">
        <v>-2.1369999999999996</v>
      </c>
      <c r="CO18" s="14">
        <v>0.2857142857142857</v>
      </c>
      <c r="CP18" s="13">
        <v>-1.5560000000000003</v>
      </c>
      <c r="CQ18" s="14">
        <v>0.33333333333333331</v>
      </c>
      <c r="CR18" s="13">
        <v>-4.1549999999999994</v>
      </c>
      <c r="CS18" s="14">
        <v>0.2857142857142857</v>
      </c>
      <c r="CT18" s="13">
        <v>3.5529999999999999</v>
      </c>
      <c r="CU18" s="14">
        <v>0.77777777777777779</v>
      </c>
      <c r="CV18" s="13">
        <v>-6.3710000000000004</v>
      </c>
      <c r="CW18" s="14">
        <v>0.33333333333333331</v>
      </c>
      <c r="CX18" s="13">
        <v>-2.5599999999999996</v>
      </c>
      <c r="CY18" s="14">
        <v>0.4</v>
      </c>
      <c r="CZ18" s="13">
        <v>-4.5390000000000015</v>
      </c>
      <c r="DA18" s="14">
        <v>0.42857142857142855</v>
      </c>
      <c r="DB18" s="13">
        <v>-0.55100000000000016</v>
      </c>
      <c r="DC18" s="14">
        <v>0.625</v>
      </c>
      <c r="DD18" s="13">
        <v>1.0649999999999995</v>
      </c>
      <c r="DE18" s="14">
        <v>0.8</v>
      </c>
      <c r="DF18" s="13">
        <v>-4.0100000000000007</v>
      </c>
      <c r="DG18" s="14">
        <v>0.42857142857142855</v>
      </c>
      <c r="DH18" s="13">
        <v>-2.7069999999999999</v>
      </c>
      <c r="DI18" s="14">
        <v>0.5</v>
      </c>
      <c r="DJ18" s="13">
        <v>-5.375</v>
      </c>
      <c r="DK18" s="14">
        <v>0.25</v>
      </c>
      <c r="DL18" s="13">
        <v>-3.375</v>
      </c>
      <c r="DM18" s="14">
        <v>0.25</v>
      </c>
      <c r="DN18" s="13">
        <v>1.4540000000000002</v>
      </c>
      <c r="DO18" s="14">
        <v>0.7142857142857143</v>
      </c>
      <c r="DP18" s="13"/>
      <c r="DQ18" s="14"/>
      <c r="DR18" s="13">
        <v>-3.8760000000000003</v>
      </c>
      <c r="DS18" s="14">
        <v>0.14285714285714285</v>
      </c>
      <c r="DT18" s="13">
        <v>-3.8760000000000003</v>
      </c>
      <c r="DU18" s="14">
        <v>0.14285714285714285</v>
      </c>
      <c r="DV18" s="13">
        <v>-1.0459999999999998</v>
      </c>
      <c r="DW18" s="14">
        <v>0.6</v>
      </c>
      <c r="DX18" s="13">
        <v>-0.13599999999999995</v>
      </c>
      <c r="DY18" s="14">
        <v>0.25</v>
      </c>
      <c r="DZ18" s="13">
        <v>-1.0559999999999998</v>
      </c>
      <c r="EA18" s="14">
        <v>0.5714285714285714</v>
      </c>
      <c r="EB18" s="13">
        <v>8.7000000000000105E-2</v>
      </c>
      <c r="EC18" s="14">
        <v>0.5714285714285714</v>
      </c>
      <c r="ED18" s="13">
        <v>0.91200000000000014</v>
      </c>
      <c r="EE18" s="14">
        <v>0.8</v>
      </c>
      <c r="EF18" s="13">
        <v>0.10799999999999983</v>
      </c>
      <c r="EG18" s="14">
        <v>0.5714285714285714</v>
      </c>
      <c r="EH18" s="13">
        <v>-1.6019999999999996</v>
      </c>
      <c r="EI18" s="14">
        <v>0.44444444444444442</v>
      </c>
      <c r="EJ18" s="13">
        <v>-0.70699999999999985</v>
      </c>
      <c r="EK18" s="14">
        <v>0.44444444444444442</v>
      </c>
      <c r="EL18" s="13">
        <v>-0.97499999999999998</v>
      </c>
      <c r="EM18" s="14">
        <v>0.2</v>
      </c>
      <c r="EN18" s="13">
        <v>-1.0040000000000002</v>
      </c>
      <c r="EO18" s="14">
        <v>0.2</v>
      </c>
      <c r="EP18" s="13">
        <v>-2.8379999999999996</v>
      </c>
      <c r="EQ18" s="14">
        <v>0.25</v>
      </c>
      <c r="ER18" s="13">
        <v>-2.1659999999999999</v>
      </c>
      <c r="ES18" s="14">
        <v>0.5</v>
      </c>
      <c r="ET18" s="13">
        <v>-1.0040000000000002</v>
      </c>
      <c r="EU18" s="14">
        <v>0.2</v>
      </c>
      <c r="EV18" s="13">
        <v>-2.8379999999999996</v>
      </c>
      <c r="EW18" s="14">
        <v>0.25</v>
      </c>
      <c r="EX18" s="13">
        <v>-2.1659999999999999</v>
      </c>
      <c r="EY18" s="14">
        <v>0.5</v>
      </c>
      <c r="EZ18" s="4"/>
      <c r="FA18" s="5"/>
      <c r="FB18" s="4">
        <v>-12.51</v>
      </c>
      <c r="FC18" s="5">
        <v>0.16666666666666666</v>
      </c>
      <c r="FD18" s="4">
        <v>-2.9999999999999361E-2</v>
      </c>
      <c r="FE18" s="5">
        <v>0.5</v>
      </c>
      <c r="FF18" s="4">
        <v>2.7800000000000011</v>
      </c>
      <c r="FG18" s="5">
        <v>0.5714285714285714</v>
      </c>
      <c r="FH18" s="4">
        <v>-12.74</v>
      </c>
      <c r="FI18" s="5">
        <v>0.5</v>
      </c>
      <c r="FJ18" s="4">
        <v>6.99</v>
      </c>
      <c r="FK18" s="5">
        <v>0.5</v>
      </c>
      <c r="FL18" s="4">
        <v>-0.16999999999999993</v>
      </c>
      <c r="FM18" s="5">
        <v>0.66666666666666663</v>
      </c>
      <c r="FN18" s="4">
        <v>-2.7700000000000014</v>
      </c>
      <c r="FO18" s="5">
        <v>0.66666666666666663</v>
      </c>
      <c r="FP18" s="4">
        <v>8.3999999999999986</v>
      </c>
      <c r="FQ18" s="5">
        <v>0.8</v>
      </c>
      <c r="FR18" s="4">
        <v>0.66000000000000014</v>
      </c>
      <c r="FS18" s="5">
        <v>0.55555555555555558</v>
      </c>
      <c r="FT18" s="4">
        <v>-4.6900000000000004</v>
      </c>
      <c r="FU18" s="5">
        <v>0.25</v>
      </c>
      <c r="FV18" s="4">
        <v>3.2700000000000005</v>
      </c>
      <c r="FW18" s="5">
        <v>0.375</v>
      </c>
      <c r="FX18" s="4">
        <v>8.0300000000000029</v>
      </c>
      <c r="FY18" s="5">
        <v>0.66666666666666663</v>
      </c>
      <c r="FZ18" s="4">
        <v>5.46</v>
      </c>
      <c r="GA18" s="5">
        <v>0.8</v>
      </c>
      <c r="GB18" s="4">
        <v>6.12</v>
      </c>
      <c r="GC18" s="5">
        <v>0.66666666666666663</v>
      </c>
      <c r="GD18" s="4">
        <v>3.3400000000000003</v>
      </c>
      <c r="GE18" s="5">
        <v>0.6</v>
      </c>
      <c r="GF18" s="4">
        <v>-0.84999999999999987</v>
      </c>
      <c r="GG18" s="5">
        <v>0.66666666666666663</v>
      </c>
      <c r="GH18" s="4">
        <v>-5.9200000000000008</v>
      </c>
      <c r="GI18" s="5">
        <v>0.42857142857142855</v>
      </c>
      <c r="GJ18" s="4">
        <v>-0.22999999999999998</v>
      </c>
      <c r="GK18" s="5">
        <v>0.33333333333333331</v>
      </c>
      <c r="GL18" s="4">
        <v>6.1400000000000006</v>
      </c>
      <c r="GM18" s="5">
        <v>0.7142857142857143</v>
      </c>
      <c r="GN18" s="4"/>
      <c r="GO18" s="5"/>
      <c r="GP18" s="4">
        <v>4.1999999999999993</v>
      </c>
      <c r="GQ18" s="5">
        <v>0.55555555555555558</v>
      </c>
      <c r="GR18" s="4">
        <v>-3.2200000000000006</v>
      </c>
      <c r="GS18" s="5">
        <v>0.375</v>
      </c>
      <c r="GT18" s="4">
        <v>-3.75</v>
      </c>
      <c r="GU18" s="5">
        <v>0.33333333333333331</v>
      </c>
      <c r="GV18" s="4">
        <v>-0.38000000000000006</v>
      </c>
      <c r="GW18" s="5">
        <v>0.5</v>
      </c>
      <c r="GX18" s="4">
        <v>0.26999999999999957</v>
      </c>
      <c r="GY18" s="5">
        <v>0.8</v>
      </c>
      <c r="GZ18" s="4"/>
      <c r="HA18" s="5"/>
      <c r="HB18" s="4">
        <v>-5.5</v>
      </c>
      <c r="HC18" s="5">
        <v>0.125</v>
      </c>
      <c r="HD18" s="4">
        <v>-1.6700000000000004</v>
      </c>
      <c r="HE18" s="5">
        <v>0.5</v>
      </c>
      <c r="HF18" s="4">
        <v>-8.870000000000001</v>
      </c>
      <c r="HG18" s="5">
        <v>0.16666666666666666</v>
      </c>
      <c r="HH18" s="4">
        <v>-4.74</v>
      </c>
      <c r="HI18" s="5">
        <v>0.2857142857142857</v>
      </c>
      <c r="HJ18" s="4">
        <v>2.4000000000000004</v>
      </c>
      <c r="HK18" s="5">
        <v>0.8</v>
      </c>
      <c r="HL18" s="4">
        <v>-3.83</v>
      </c>
      <c r="HM18" s="5">
        <v>0.5</v>
      </c>
      <c r="HN18" s="4">
        <v>-1.8900000000000001</v>
      </c>
      <c r="HO18" s="5">
        <v>0.33333333333333331</v>
      </c>
      <c r="HP18" s="4">
        <v>-3.1599999999999997</v>
      </c>
      <c r="HQ18" s="5">
        <v>0.42857142857142855</v>
      </c>
      <c r="HR18" s="4">
        <v>-2.7700000000000005</v>
      </c>
      <c r="HS18" s="5">
        <v>0.2857142857142857</v>
      </c>
      <c r="HT18" s="4">
        <v>-3.35</v>
      </c>
      <c r="HU18" s="5">
        <v>0.42857142857142855</v>
      </c>
      <c r="HV18" s="4">
        <v>-2.4799999999999995</v>
      </c>
      <c r="HW18" s="5">
        <v>0.5</v>
      </c>
      <c r="HX18" s="4"/>
      <c r="HY18" s="5"/>
      <c r="HZ18" s="4">
        <v>-5.54</v>
      </c>
      <c r="IA18" s="5">
        <v>0.5</v>
      </c>
      <c r="IB18" s="4">
        <v>-18.639999999999993</v>
      </c>
      <c r="IC18" s="5">
        <v>0.2</v>
      </c>
      <c r="ID18" s="4">
        <v>-2.0599999999999992</v>
      </c>
      <c r="IE18" s="5">
        <v>0.5</v>
      </c>
      <c r="IF18" s="4">
        <v>-2.0799999999999996</v>
      </c>
      <c r="IG18" s="5">
        <v>0.625</v>
      </c>
      <c r="IH18" s="4">
        <v>6.78</v>
      </c>
      <c r="II18" s="5">
        <v>0.75</v>
      </c>
      <c r="IJ18" s="4">
        <v>-4.2699999999999996</v>
      </c>
      <c r="IK18" s="5">
        <v>0</v>
      </c>
      <c r="IL18" s="4">
        <v>-3.7000000000000006</v>
      </c>
      <c r="IM18" s="5">
        <v>0.5</v>
      </c>
      <c r="IN18" s="4">
        <v>-4.4000000000000004</v>
      </c>
      <c r="IO18" s="5">
        <v>0.5</v>
      </c>
      <c r="IP18" s="4">
        <v>-5.0599999999999987</v>
      </c>
      <c r="IQ18" s="5">
        <v>0.3</v>
      </c>
      <c r="IR18" s="4"/>
      <c r="IS18" s="5"/>
      <c r="IT18" s="4"/>
      <c r="IU18" s="5"/>
      <c r="IV18" s="4">
        <v>-3.8699999999999983</v>
      </c>
      <c r="IW18" s="5">
        <v>0.55555555555555558</v>
      </c>
      <c r="IX18" s="4">
        <v>-0.87999999999999901</v>
      </c>
      <c r="IY18" s="5">
        <v>0.7142857142857143</v>
      </c>
      <c r="IZ18" s="4"/>
      <c r="JA18" s="5"/>
      <c r="JB18" s="4"/>
      <c r="JC18" s="5"/>
      <c r="JD18" s="4"/>
      <c r="JE18" s="5"/>
      <c r="JF18" s="4">
        <v>3.0700000000000003</v>
      </c>
      <c r="JG18" s="5">
        <v>0.75</v>
      </c>
      <c r="JH18" s="4">
        <v>-8.5299999999999994</v>
      </c>
      <c r="JI18" s="5">
        <v>0.5</v>
      </c>
      <c r="JJ18" s="4">
        <v>-3.3499999999999996</v>
      </c>
      <c r="JK18" s="5">
        <v>0.5714285714285714</v>
      </c>
      <c r="JL18" s="4"/>
      <c r="JM18" s="5"/>
      <c r="JN18" s="4">
        <v>0.8400000000000003</v>
      </c>
      <c r="JO18" s="5">
        <v>0.625</v>
      </c>
      <c r="JP18" s="4">
        <v>-4.96</v>
      </c>
      <c r="JQ18" s="5">
        <v>0.22222222222222221</v>
      </c>
      <c r="JR18" s="4">
        <v>-7.42</v>
      </c>
      <c r="JS18" s="5">
        <v>0.33333333333333331</v>
      </c>
      <c r="JT18" s="4"/>
      <c r="JU18" s="5"/>
      <c r="JV18" s="4"/>
      <c r="JW18" s="5"/>
      <c r="JX18" s="4"/>
      <c r="JY18" s="5"/>
      <c r="JZ18" s="4">
        <v>-6.32</v>
      </c>
      <c r="KA18" s="5">
        <v>0.375</v>
      </c>
      <c r="KB18" s="4">
        <v>-5.8599999999999994</v>
      </c>
      <c r="KC18" s="5">
        <v>0.625</v>
      </c>
      <c r="KD18" s="4">
        <v>-3.6900000000000004</v>
      </c>
      <c r="KE18" s="5">
        <v>0.33333333333333331</v>
      </c>
      <c r="KF18" s="4">
        <v>-5.91</v>
      </c>
      <c r="KG18" s="5">
        <v>0.55555555555555558</v>
      </c>
      <c r="KH18" s="4">
        <v>0.28000000000000003</v>
      </c>
      <c r="KI18" s="5">
        <v>0.66666666666666663</v>
      </c>
      <c r="KJ18" s="4">
        <v>0.69000000000000039</v>
      </c>
      <c r="KK18" s="5">
        <v>0.4</v>
      </c>
      <c r="KL18" s="4">
        <v>1.3099999999999998</v>
      </c>
      <c r="KM18" s="5">
        <v>0.66666666666666663</v>
      </c>
      <c r="KN18" s="4">
        <v>-0.96999999999999931</v>
      </c>
      <c r="KO18" s="5">
        <v>0.6</v>
      </c>
      <c r="KP18" s="4"/>
      <c r="KQ18" s="5"/>
      <c r="KR18" s="4">
        <v>0.77000000000000046</v>
      </c>
      <c r="KS18" s="5">
        <v>0.5</v>
      </c>
      <c r="KT18" s="4"/>
      <c r="KU18" s="5"/>
      <c r="KV18" s="4">
        <v>-10.809999999999999</v>
      </c>
      <c r="KW18" s="5">
        <v>0.54545454545454541</v>
      </c>
      <c r="KX18" s="4">
        <v>-2.8899999999999992</v>
      </c>
      <c r="KY18" s="5">
        <v>0.5714285714285714</v>
      </c>
      <c r="KZ18" s="4">
        <v>-12.33</v>
      </c>
      <c r="LA18" s="5">
        <v>0.42857142857142855</v>
      </c>
      <c r="LB18" s="4">
        <v>-6.68</v>
      </c>
      <c r="LC18" s="5">
        <v>0.42857142857142855</v>
      </c>
      <c r="LD18" s="4">
        <v>-1.2499999999999991</v>
      </c>
      <c r="LE18" s="5">
        <v>0.66666666666666663</v>
      </c>
      <c r="LF18" s="4">
        <v>-29.119999999999997</v>
      </c>
      <c r="LG18" s="5">
        <v>0.25</v>
      </c>
      <c r="LH18" s="4">
        <v>-15.09</v>
      </c>
      <c r="LI18" s="5">
        <v>0.2857142857142857</v>
      </c>
      <c r="LJ18" s="4"/>
      <c r="LK18" s="5"/>
      <c r="LL18" s="4">
        <v>-5.69</v>
      </c>
      <c r="LM18" s="5">
        <v>0.5714285714285714</v>
      </c>
      <c r="LN18" s="4">
        <v>-28.900000000000002</v>
      </c>
      <c r="LO18" s="5">
        <v>0.16666666666666666</v>
      </c>
      <c r="LP18" s="4">
        <v>10.470000000000002</v>
      </c>
      <c r="LQ18" s="5">
        <v>0.66666666666666663</v>
      </c>
      <c r="LR18" s="4">
        <v>13.139999999999999</v>
      </c>
      <c r="LS18" s="5">
        <v>0.77777777777777779</v>
      </c>
      <c r="LT18" s="4">
        <v>-17.600000000000001</v>
      </c>
      <c r="LU18" s="5">
        <v>0.42857142857142855</v>
      </c>
      <c r="LV18" s="4">
        <v>-6.01</v>
      </c>
      <c r="LW18" s="5">
        <v>0.4</v>
      </c>
      <c r="LX18" s="4">
        <v>-13.3</v>
      </c>
      <c r="LY18" s="5">
        <v>0</v>
      </c>
      <c r="LZ18" s="4">
        <v>-15.9</v>
      </c>
      <c r="MA18" s="5">
        <v>0.42857142857142855</v>
      </c>
      <c r="MB18" s="4">
        <v>-9.18</v>
      </c>
      <c r="MC18" s="5">
        <v>0.33333333333333331</v>
      </c>
      <c r="MD18" s="4"/>
      <c r="ME18" s="5"/>
      <c r="MF18" s="4">
        <v>-5.2399999999999993</v>
      </c>
      <c r="MG18" s="5">
        <v>0.6</v>
      </c>
      <c r="MH18" s="4"/>
      <c r="MI18" s="5"/>
      <c r="MJ18" s="4">
        <v>-18.950000000000003</v>
      </c>
      <c r="MK18" s="5">
        <v>0.25</v>
      </c>
      <c r="ML18" s="4">
        <v>12.24</v>
      </c>
      <c r="MM18" s="5">
        <v>1</v>
      </c>
      <c r="MN18" s="4">
        <v>7.1300000000000008</v>
      </c>
      <c r="MO18" s="5">
        <v>1</v>
      </c>
      <c r="MP18" s="4">
        <v>-41.180000000000007</v>
      </c>
      <c r="MQ18" s="5">
        <v>0.27272727272727271</v>
      </c>
      <c r="MR18" s="4">
        <v>5.92</v>
      </c>
      <c r="MS18" s="5">
        <v>1</v>
      </c>
      <c r="MT18" s="4">
        <v>16.509999999999998</v>
      </c>
      <c r="MU18" s="5">
        <v>1</v>
      </c>
      <c r="MV18" s="4">
        <v>-6.120000000000001</v>
      </c>
      <c r="MW18" s="5">
        <v>0.5714285714285714</v>
      </c>
      <c r="MX18" s="4">
        <v>-15.8</v>
      </c>
      <c r="MY18" s="5">
        <v>0.33333333333333331</v>
      </c>
      <c r="MZ18" s="4">
        <v>-20.56</v>
      </c>
      <c r="NA18" s="5">
        <v>0</v>
      </c>
      <c r="NB18" s="4">
        <v>10.260000000000002</v>
      </c>
      <c r="NC18" s="5">
        <v>0.66666666666666663</v>
      </c>
      <c r="ND18" s="4"/>
      <c r="NE18" s="5"/>
      <c r="NF18" s="4">
        <v>-0.33000000000000007</v>
      </c>
      <c r="NG18" s="5">
        <v>0.5714285714285714</v>
      </c>
      <c r="NH18" s="4">
        <v>-0.33000000000000007</v>
      </c>
      <c r="NI18" s="5">
        <v>0.5714285714285714</v>
      </c>
      <c r="NJ18" s="4">
        <v>10.36</v>
      </c>
      <c r="NK18" s="5">
        <v>0.8571428571428571</v>
      </c>
      <c r="NL18" s="4">
        <v>0.61000000000000032</v>
      </c>
      <c r="NM18" s="5">
        <v>0.66666666666666663</v>
      </c>
      <c r="NN18" s="4"/>
      <c r="NO18" s="5"/>
      <c r="NP18" s="4">
        <v>3.09</v>
      </c>
      <c r="NQ18" s="5">
        <v>1</v>
      </c>
      <c r="NR18" s="4">
        <v>-0.25000000000000022</v>
      </c>
      <c r="NS18" s="5">
        <v>0.5</v>
      </c>
      <c r="NT18" s="4">
        <v>-3.0800000000000005</v>
      </c>
      <c r="NU18" s="5">
        <v>0.6</v>
      </c>
      <c r="NV18" s="4">
        <v>0.64999999999999991</v>
      </c>
      <c r="NW18" s="5">
        <v>0.5</v>
      </c>
      <c r="NX18" s="4">
        <v>2.2099999999999991</v>
      </c>
      <c r="NY18" s="5">
        <v>0.5714285714285714</v>
      </c>
      <c r="NZ18" s="4">
        <v>3.3300000000000005</v>
      </c>
      <c r="OA18" s="5">
        <v>0.75</v>
      </c>
      <c r="OB18" s="4">
        <v>-5.96</v>
      </c>
      <c r="OC18" s="5">
        <v>0.33333333333333331</v>
      </c>
      <c r="OD18" s="4">
        <v>-2.7</v>
      </c>
      <c r="OE18" s="5">
        <v>0.66666666666666663</v>
      </c>
      <c r="OF18" s="4">
        <v>3.7800000000000002</v>
      </c>
      <c r="OG18" s="5">
        <v>0.66666666666666663</v>
      </c>
      <c r="OH18" s="4">
        <v>-5.0400000000000009</v>
      </c>
      <c r="OI18" s="5">
        <v>0.5</v>
      </c>
      <c r="OJ18" s="4"/>
      <c r="OK18" s="5"/>
      <c r="OL18" s="4">
        <v>-3.22</v>
      </c>
      <c r="OM18" s="5">
        <v>0.5</v>
      </c>
      <c r="ON18" s="4">
        <v>2.0900000000000016</v>
      </c>
      <c r="OO18" s="5">
        <v>0.625</v>
      </c>
      <c r="OP18" s="4">
        <v>0.84000000000000075</v>
      </c>
      <c r="OQ18" s="5">
        <v>0.625</v>
      </c>
      <c r="OR18" s="4">
        <v>-19.869999999999997</v>
      </c>
      <c r="OS18" s="5">
        <v>0.2</v>
      </c>
      <c r="OT18" s="4">
        <v>-12.770000000000003</v>
      </c>
      <c r="OU18" s="5">
        <v>0.4</v>
      </c>
      <c r="OV18" s="4"/>
      <c r="OW18" s="5"/>
      <c r="OX18" s="4">
        <v>-7.629999999999999</v>
      </c>
      <c r="OY18" s="5">
        <v>0.54545454545454541</v>
      </c>
      <c r="OZ18" s="4">
        <v>5.84</v>
      </c>
      <c r="PA18" s="5">
        <v>0.7</v>
      </c>
      <c r="PB18" s="4">
        <v>-6.9600000000000009</v>
      </c>
      <c r="PC18" s="5">
        <v>0.5</v>
      </c>
      <c r="PD18" s="4">
        <v>-15.120000000000001</v>
      </c>
      <c r="PE18" s="5">
        <v>0.2857142857142857</v>
      </c>
      <c r="PF18" s="4">
        <v>10.689999999999998</v>
      </c>
      <c r="PG18" s="5">
        <v>0.83333333333333337</v>
      </c>
      <c r="PH18" s="4">
        <v>-22.89</v>
      </c>
      <c r="PI18" s="5">
        <v>0.2857142857142857</v>
      </c>
      <c r="PJ18" s="4"/>
      <c r="PK18" s="5"/>
      <c r="PL18" s="4"/>
      <c r="PM18" s="5"/>
      <c r="PN18" s="4">
        <v>0</v>
      </c>
      <c r="PO18" s="5">
        <v>0.5</v>
      </c>
      <c r="PP18" s="4">
        <v>-18.86</v>
      </c>
      <c r="PQ18" s="5">
        <v>0.33333333333333331</v>
      </c>
      <c r="PR18" s="4"/>
      <c r="PS18" s="5"/>
      <c r="PT18" s="4">
        <v>-2.9599999999999995</v>
      </c>
      <c r="PU18" s="5">
        <v>0.6</v>
      </c>
      <c r="PV18" s="4">
        <v>-21.43</v>
      </c>
      <c r="PW18" s="5">
        <v>0.375</v>
      </c>
      <c r="PX18" s="4">
        <v>9.6900000000000013</v>
      </c>
      <c r="PY18" s="5">
        <v>0.83333333333333337</v>
      </c>
      <c r="PZ18" s="4">
        <v>-16.839999999999996</v>
      </c>
      <c r="QA18" s="5">
        <v>0.44444444444444442</v>
      </c>
      <c r="QB18" s="4">
        <v>-3.9600000000000009</v>
      </c>
      <c r="QC18" s="5">
        <v>0.5</v>
      </c>
      <c r="QD18" s="4">
        <v>-10.07</v>
      </c>
      <c r="QE18" s="5">
        <v>0.5</v>
      </c>
      <c r="QF18" s="4">
        <v>-10.590000000000002</v>
      </c>
      <c r="QG18" s="5">
        <v>0.42857142857142855</v>
      </c>
      <c r="QH18" s="4">
        <v>-0.37000000000000011</v>
      </c>
      <c r="QI18" s="5">
        <v>0.5</v>
      </c>
      <c r="QJ18" s="4">
        <v>-5.18</v>
      </c>
      <c r="QK18" s="5">
        <v>0.5</v>
      </c>
      <c r="QL18" s="4">
        <v>-1.85</v>
      </c>
      <c r="QM18" s="5">
        <v>0.5</v>
      </c>
      <c r="QN18" s="4">
        <v>-16.07</v>
      </c>
      <c r="QO18" s="5">
        <v>0.44444444444444442</v>
      </c>
      <c r="QP18" s="4">
        <v>3.04</v>
      </c>
      <c r="QQ18" s="5">
        <v>0.4</v>
      </c>
      <c r="QR18" s="4">
        <v>12.649999999999999</v>
      </c>
      <c r="QS18" s="5">
        <v>0.8</v>
      </c>
      <c r="QT18" s="4"/>
      <c r="QU18" s="5"/>
      <c r="QV18" s="4">
        <v>9.9200000000000017</v>
      </c>
      <c r="QW18" s="5">
        <v>0.7142857142857143</v>
      </c>
      <c r="QX18" s="4">
        <v>-1.9800000000000002</v>
      </c>
      <c r="QY18" s="5">
        <v>0.5</v>
      </c>
      <c r="QZ18" s="4"/>
      <c r="RA18" s="5"/>
      <c r="RB18" s="4">
        <v>-4.669999999999999</v>
      </c>
      <c r="RC18" s="5">
        <v>0.4</v>
      </c>
      <c r="RD18" s="4">
        <v>-10.129999999999999</v>
      </c>
      <c r="RE18" s="5">
        <v>0.4</v>
      </c>
      <c r="RF18" s="4">
        <v>-6.1799999999999988</v>
      </c>
      <c r="RG18" s="5">
        <v>0.33333333333333331</v>
      </c>
      <c r="RH18" s="4">
        <v>-13.91</v>
      </c>
      <c r="RI18" s="5">
        <v>0.25</v>
      </c>
      <c r="RJ18" s="4">
        <v>2.5200000000000005</v>
      </c>
      <c r="RK18" s="5">
        <v>0.5</v>
      </c>
      <c r="RL18" s="4">
        <v>0.27000000000000024</v>
      </c>
      <c r="RM18" s="5">
        <v>0.625</v>
      </c>
      <c r="RN18" s="4">
        <v>-2.6200000000000037</v>
      </c>
      <c r="RO18" s="5">
        <v>0.5</v>
      </c>
      <c r="RP18" s="4">
        <v>3.6499999999999995</v>
      </c>
      <c r="RQ18" s="5">
        <v>0.4</v>
      </c>
      <c r="RR18" s="4">
        <v>-5.759999999999998</v>
      </c>
      <c r="RS18" s="5">
        <v>0.55555555555555558</v>
      </c>
      <c r="RT18" s="4">
        <v>-0.9700000000000002</v>
      </c>
      <c r="RU18" s="5">
        <v>0.66666666666666663</v>
      </c>
      <c r="RV18" s="4">
        <v>6.5299999999999994</v>
      </c>
      <c r="RW18" s="5">
        <v>0.66666666666666663</v>
      </c>
      <c r="RX18" s="4">
        <v>4.6399999999999997</v>
      </c>
      <c r="RY18" s="5">
        <v>0.66666666666666663</v>
      </c>
      <c r="RZ18" s="4">
        <v>0.33999999999999986</v>
      </c>
      <c r="SA18" s="5">
        <v>0.66666666666666663</v>
      </c>
      <c r="SB18" s="4">
        <v>-4.5900000000000007</v>
      </c>
      <c r="SC18" s="5">
        <v>0.5</v>
      </c>
      <c r="SD18" s="4">
        <v>0.73999999999999955</v>
      </c>
      <c r="SE18" s="5">
        <v>0.6</v>
      </c>
      <c r="SF18" s="4"/>
      <c r="SG18" s="5"/>
      <c r="SH18" s="4">
        <v>-37.700000000000003</v>
      </c>
      <c r="SI18" s="5">
        <v>0.2</v>
      </c>
      <c r="SJ18" s="4">
        <v>-0.57000000000000073</v>
      </c>
      <c r="SK18" s="5">
        <v>0.55555555555555558</v>
      </c>
      <c r="SL18" s="4">
        <v>-14.12</v>
      </c>
      <c r="SM18" s="5">
        <v>0.33333333333333331</v>
      </c>
      <c r="SN18" s="4">
        <v>-0.10999999999999854</v>
      </c>
      <c r="SO18" s="5">
        <v>0.66666666666666663</v>
      </c>
      <c r="SP18" s="4">
        <v>-2.0500000000000003</v>
      </c>
      <c r="SQ18" s="5">
        <v>0.66666666666666663</v>
      </c>
      <c r="SR18" s="4">
        <v>-28.44</v>
      </c>
      <c r="SS18" s="5">
        <v>0.22222222222222221</v>
      </c>
      <c r="ST18" s="4">
        <v>-14.430000000000001</v>
      </c>
      <c r="SU18" s="5">
        <v>0.33333333333333331</v>
      </c>
      <c r="SV18" s="4">
        <v>12.650000000000002</v>
      </c>
      <c r="SW18" s="5">
        <v>0.625</v>
      </c>
      <c r="SX18" s="4"/>
      <c r="SY18" s="5"/>
      <c r="SZ18" s="4">
        <v>-10.95</v>
      </c>
      <c r="TA18" s="5">
        <v>0.2857142857142857</v>
      </c>
      <c r="TB18" s="4">
        <v>-5.34</v>
      </c>
      <c r="TC18" s="5">
        <v>0.5</v>
      </c>
      <c r="TD18" s="4">
        <v>-6.1399999999999988</v>
      </c>
      <c r="TE18" s="5">
        <v>0.5</v>
      </c>
      <c r="TF18" s="4">
        <v>-11.789999999999997</v>
      </c>
      <c r="TG18" s="5">
        <v>0.33333333333333331</v>
      </c>
      <c r="TH18" s="4">
        <v>-11.510000000000002</v>
      </c>
      <c r="TI18" s="5">
        <v>0.33333333333333331</v>
      </c>
      <c r="TJ18" s="4">
        <v>8.1000000000000014</v>
      </c>
      <c r="TK18" s="5">
        <v>0.625</v>
      </c>
      <c r="TL18" s="4">
        <v>10.82</v>
      </c>
      <c r="TM18" s="5">
        <v>0.66666666666666663</v>
      </c>
      <c r="TN18" s="4"/>
      <c r="TO18" s="5"/>
      <c r="TP18" s="4">
        <v>2.2099999999999995</v>
      </c>
      <c r="TQ18" s="5">
        <v>0.5</v>
      </c>
      <c r="TR18" s="4">
        <v>9.5</v>
      </c>
      <c r="TS18" s="5">
        <v>0.8</v>
      </c>
      <c r="TT18" s="4">
        <v>-17.54</v>
      </c>
      <c r="TU18" s="5">
        <v>0.375</v>
      </c>
      <c r="TV18" s="4">
        <v>-18.200000000000003</v>
      </c>
      <c r="TW18" s="5">
        <v>0.14285714285714285</v>
      </c>
      <c r="TX18" s="4">
        <v>-1.9199999999999986</v>
      </c>
      <c r="TY18" s="5">
        <v>0.5</v>
      </c>
      <c r="TZ18" s="4">
        <v>-6.65</v>
      </c>
      <c r="UA18" s="5">
        <v>0.5</v>
      </c>
      <c r="UB18" s="4">
        <v>-18.09</v>
      </c>
      <c r="UC18" s="5">
        <v>0.14285714285714285</v>
      </c>
      <c r="UD18" s="4">
        <v>-21</v>
      </c>
      <c r="UE18" s="5">
        <v>0.4</v>
      </c>
      <c r="UF18" s="4">
        <v>-5.21</v>
      </c>
      <c r="UG18" s="5">
        <v>0.375</v>
      </c>
      <c r="UH18" s="4">
        <v>1.1599999999999993</v>
      </c>
      <c r="UI18" s="5">
        <v>0.5</v>
      </c>
      <c r="UJ18" s="4">
        <v>14.86</v>
      </c>
      <c r="UK18" s="5">
        <v>0.83333333333333337</v>
      </c>
      <c r="UL18" s="4">
        <v>-10.32</v>
      </c>
      <c r="UM18" s="5">
        <v>0.5</v>
      </c>
      <c r="UN18" s="4">
        <v>-6.5599999999999987</v>
      </c>
      <c r="UO18" s="5">
        <v>0.25</v>
      </c>
      <c r="UP18" s="4">
        <v>-4.9400000000000004</v>
      </c>
      <c r="UQ18" s="5">
        <v>0.5714285714285714</v>
      </c>
      <c r="UR18" s="4">
        <v>-17.57</v>
      </c>
      <c r="US18" s="5">
        <v>0.4</v>
      </c>
      <c r="UT18" s="4">
        <v>-5.03</v>
      </c>
      <c r="UU18" s="5">
        <v>0.4</v>
      </c>
      <c r="UV18" s="4">
        <v>-1.0499999999999989</v>
      </c>
      <c r="UW18" s="5">
        <v>0.55555555555555558</v>
      </c>
      <c r="UX18" s="4">
        <v>-4.5300000000000011</v>
      </c>
      <c r="UY18" s="5">
        <v>0.33333333333333331</v>
      </c>
      <c r="UZ18" s="4"/>
      <c r="VA18" s="5"/>
      <c r="VB18" s="4">
        <v>-8.39</v>
      </c>
      <c r="VC18" s="5">
        <v>0</v>
      </c>
      <c r="VD18" s="4">
        <v>4.99</v>
      </c>
      <c r="VE18" s="5">
        <v>0.66666666666666663</v>
      </c>
      <c r="VF18" s="4">
        <v>-18.37</v>
      </c>
      <c r="VG18" s="5">
        <v>0.2</v>
      </c>
      <c r="VH18" s="4">
        <v>-9.18</v>
      </c>
      <c r="VI18" s="5">
        <v>0.2857142857142857</v>
      </c>
      <c r="VJ18" s="4">
        <v>-1.5799999999999992</v>
      </c>
      <c r="VK18" s="5">
        <v>0.5</v>
      </c>
      <c r="VL18" s="4">
        <v>1.6</v>
      </c>
      <c r="VM18" s="5">
        <v>0.75</v>
      </c>
      <c r="VN18" s="4">
        <v>7.25</v>
      </c>
      <c r="VO18" s="5">
        <v>0.7142857142857143</v>
      </c>
      <c r="VP18" s="4">
        <v>-20.099999999999998</v>
      </c>
      <c r="VQ18" s="5">
        <v>0.3</v>
      </c>
      <c r="VR18" s="4"/>
      <c r="VS18" s="5"/>
      <c r="VT18" s="4">
        <v>-16.010000000000002</v>
      </c>
      <c r="VU18" s="5">
        <v>0.2</v>
      </c>
      <c r="VV18" s="4">
        <v>0.52999999999999914</v>
      </c>
      <c r="VW18" s="5">
        <v>0.5</v>
      </c>
      <c r="VX18" s="4">
        <v>-1.4299999999999997</v>
      </c>
      <c r="VY18" s="5">
        <v>0.66666666666666663</v>
      </c>
      <c r="VZ18" s="4">
        <v>4.9700000000000006</v>
      </c>
      <c r="WA18" s="5">
        <v>0.66666666666666663</v>
      </c>
      <c r="WB18" s="4">
        <v>-8.77</v>
      </c>
      <c r="WC18" s="5">
        <v>0.33333333333333331</v>
      </c>
      <c r="WD18" s="4">
        <v>-17.380000000000003</v>
      </c>
      <c r="WE18" s="5">
        <v>0.2</v>
      </c>
      <c r="WF18" s="4">
        <v>2.6899999999999991</v>
      </c>
      <c r="WG18" s="5">
        <v>0.5714285714285714</v>
      </c>
      <c r="WH18" s="4">
        <v>-7.4600000000000009</v>
      </c>
      <c r="WI18" s="5">
        <v>0.5</v>
      </c>
      <c r="WJ18" s="4">
        <v>-22.539999999999996</v>
      </c>
      <c r="WK18" s="5">
        <v>0.2</v>
      </c>
      <c r="WL18" s="4">
        <v>-2.9699999999999993</v>
      </c>
      <c r="WM18" s="5">
        <v>0.55555555555555558</v>
      </c>
      <c r="WN18" s="4">
        <v>-0.41000000000000081</v>
      </c>
      <c r="WO18" s="5">
        <v>0.625</v>
      </c>
      <c r="WP18" s="4">
        <v>5.33</v>
      </c>
      <c r="WQ18" s="5">
        <v>0.8</v>
      </c>
      <c r="WR18" s="4">
        <v>9.49</v>
      </c>
      <c r="WS18" s="5">
        <v>0.7142857142857143</v>
      </c>
      <c r="WT18" s="4">
        <v>-13.650000000000002</v>
      </c>
      <c r="WU18" s="5">
        <v>0.16666666666666666</v>
      </c>
      <c r="WV18" s="4">
        <v>2.74</v>
      </c>
      <c r="WW18" s="5">
        <v>0.66666666666666663</v>
      </c>
      <c r="WX18" s="4">
        <v>8.3299999999999983</v>
      </c>
      <c r="WY18" s="5">
        <v>0.66666666666666663</v>
      </c>
      <c r="WZ18" s="4">
        <v>-6.76</v>
      </c>
      <c r="XA18" s="5">
        <v>0.4</v>
      </c>
      <c r="XB18" s="4">
        <v>-4.5499999999999989</v>
      </c>
      <c r="XC18" s="5">
        <v>0.5</v>
      </c>
      <c r="XD18" s="4"/>
      <c r="XE18" s="5"/>
      <c r="XF18" s="4">
        <v>-0.62000000000000011</v>
      </c>
      <c r="XG18" s="5">
        <v>0.5</v>
      </c>
      <c r="XH18" s="4">
        <v>-8.5499999999999989</v>
      </c>
      <c r="XI18" s="5">
        <v>0.33333333333333331</v>
      </c>
      <c r="XJ18" s="4">
        <v>11.179999999999998</v>
      </c>
      <c r="XK18" s="5">
        <v>0.8571428571428571</v>
      </c>
      <c r="XL18" s="4">
        <v>-13.9</v>
      </c>
      <c r="XM18" s="5">
        <v>0</v>
      </c>
      <c r="XN18" s="4">
        <v>-24.970000000000002</v>
      </c>
      <c r="XO18" s="5">
        <v>0.4375</v>
      </c>
      <c r="XP18" s="4">
        <v>0.73999999999999977</v>
      </c>
      <c r="XQ18" s="5">
        <v>0.42857142857142855</v>
      </c>
      <c r="XR18" s="4">
        <v>-16.939999999999998</v>
      </c>
      <c r="XS18" s="5">
        <v>0.42857142857142855</v>
      </c>
      <c r="XT18" s="4">
        <v>-6.7600000000000007</v>
      </c>
      <c r="XU18" s="5">
        <v>0.375</v>
      </c>
      <c r="XV18" s="4">
        <v>-5.3599999999999994</v>
      </c>
      <c r="XW18" s="5">
        <v>0.25</v>
      </c>
    </row>
    <row r="19" spans="2:647" x14ac:dyDescent="0.25">
      <c r="B19" s="755"/>
      <c r="C19" s="730" t="s">
        <v>11</v>
      </c>
      <c r="D19" s="757" t="s">
        <v>14</v>
      </c>
      <c r="E19" s="757"/>
      <c r="F19" s="57">
        <v>0.1</v>
      </c>
      <c r="G19" s="767" t="s">
        <v>5</v>
      </c>
      <c r="H19" s="3">
        <v>-2.3866666666666663</v>
      </c>
      <c r="I19" s="1">
        <v>0.46666666666666667</v>
      </c>
      <c r="J19" s="3">
        <v>4.8099999999999996</v>
      </c>
      <c r="K19" s="1">
        <v>0.53333333333333333</v>
      </c>
      <c r="L19" s="3"/>
      <c r="M19" s="1"/>
      <c r="N19" s="3">
        <v>-5.22</v>
      </c>
      <c r="O19" s="1">
        <v>0.2</v>
      </c>
      <c r="P19" s="3">
        <v>-5.1833333333333327</v>
      </c>
      <c r="Q19" s="1">
        <v>0.2</v>
      </c>
      <c r="R19" s="3">
        <v>-3.9200000000000004</v>
      </c>
      <c r="S19" s="1">
        <v>0.33333333333333331</v>
      </c>
      <c r="T19" s="3"/>
      <c r="U19" s="1"/>
      <c r="V19" s="3">
        <v>-0.34666666666666651</v>
      </c>
      <c r="W19" s="1">
        <v>0.46153846153846156</v>
      </c>
      <c r="X19" s="3"/>
      <c r="Y19" s="1"/>
      <c r="Z19" s="3">
        <v>-7.3299999999999992</v>
      </c>
      <c r="AA19" s="1">
        <v>0.33333333333333331</v>
      </c>
      <c r="AB19" s="3"/>
      <c r="AC19" s="1"/>
      <c r="AD19" s="3">
        <v>-4.3466666666666667</v>
      </c>
      <c r="AE19" s="1">
        <v>0.33333333333333331</v>
      </c>
      <c r="AF19" s="3"/>
      <c r="AG19" s="1"/>
      <c r="AH19" s="3">
        <v>5.0766666666666662</v>
      </c>
      <c r="AI19" s="1">
        <v>0.73333333333333328</v>
      </c>
      <c r="AJ19" s="3">
        <v>-6.6799999999999988</v>
      </c>
      <c r="AK19" s="1">
        <v>0.33333333333333331</v>
      </c>
      <c r="AL19" s="3">
        <v>-0.79666666666666686</v>
      </c>
      <c r="AM19" s="1">
        <v>0.4</v>
      </c>
      <c r="AN19" s="3"/>
      <c r="AO19" s="1"/>
      <c r="AP19" s="3">
        <v>2.4066666666666667</v>
      </c>
      <c r="AQ19" s="1">
        <v>0.53333333333333333</v>
      </c>
      <c r="AR19" s="3">
        <v>0.70999999999999985</v>
      </c>
      <c r="AS19" s="1">
        <v>0.46666666666666667</v>
      </c>
      <c r="AT19" s="3"/>
      <c r="AU19" s="1"/>
      <c r="AV19" s="3">
        <v>-1.2833333333333325</v>
      </c>
      <c r="AW19" s="1">
        <v>0.33333333333333331</v>
      </c>
      <c r="AX19" s="3">
        <v>5.5200000000000031</v>
      </c>
      <c r="AY19" s="1">
        <v>0.5714285714285714</v>
      </c>
      <c r="AZ19" s="3">
        <v>6.0799999999999992</v>
      </c>
      <c r="BA19" s="1">
        <v>0.6</v>
      </c>
      <c r="BB19" s="3">
        <v>-7.0233333333333343</v>
      </c>
      <c r="BC19" s="1">
        <v>0.14285714285714285</v>
      </c>
      <c r="BD19" s="3"/>
      <c r="BE19" s="1"/>
      <c r="BF19" s="3">
        <v>-2.2466666666666675</v>
      </c>
      <c r="BG19" s="1">
        <v>0.35714285714285715</v>
      </c>
      <c r="BH19" s="3">
        <v>-4.7166666666666659</v>
      </c>
      <c r="BI19" s="1">
        <v>0.33333333333333331</v>
      </c>
      <c r="BJ19" s="3">
        <v>-0.86333333333333284</v>
      </c>
      <c r="BK19" s="1">
        <v>0.4</v>
      </c>
      <c r="BL19" s="3">
        <v>-1.5966666666666669</v>
      </c>
      <c r="BM19" s="1">
        <v>0.4</v>
      </c>
      <c r="BN19" s="3"/>
      <c r="BO19" s="1"/>
      <c r="BP19" s="3">
        <v>-5.1766666666666667</v>
      </c>
      <c r="BQ19" s="1">
        <v>0.33333333333333331</v>
      </c>
      <c r="BR19" s="3">
        <v>0.89666666666666661</v>
      </c>
      <c r="BS19" s="1">
        <v>0.4</v>
      </c>
      <c r="BT19" s="3"/>
      <c r="BU19" s="1"/>
      <c r="BV19" s="3"/>
      <c r="BW19" s="1"/>
      <c r="BX19" s="3">
        <v>-1.0666666666666667</v>
      </c>
      <c r="BY19" s="1">
        <v>0.33333333333333331</v>
      </c>
      <c r="BZ19" s="3">
        <v>-0.1366666666666668</v>
      </c>
      <c r="CA19" s="1">
        <v>0.46666666666666667</v>
      </c>
      <c r="CB19" s="3">
        <v>-15.639999999999999</v>
      </c>
      <c r="CC19" s="1">
        <v>0.2</v>
      </c>
      <c r="CD19" s="3">
        <v>-1.4866666666666664</v>
      </c>
      <c r="CE19" s="1">
        <v>0.4</v>
      </c>
      <c r="CF19" s="3">
        <v>2.27</v>
      </c>
      <c r="CG19" s="1">
        <v>0.6</v>
      </c>
      <c r="CH19" s="3"/>
      <c r="CI19" s="1"/>
      <c r="CJ19" s="3">
        <v>-0.18333333333333324</v>
      </c>
      <c r="CK19" s="1">
        <v>0.4</v>
      </c>
      <c r="CL19" s="3">
        <v>-2.5266666666666664</v>
      </c>
      <c r="CM19" s="1">
        <v>0.42857142857142855</v>
      </c>
      <c r="CN19" s="3"/>
      <c r="CO19" s="1"/>
      <c r="CP19" s="3">
        <v>-1.5266666666666671</v>
      </c>
      <c r="CQ19" s="1">
        <v>0.6</v>
      </c>
      <c r="CR19" s="3">
        <v>-0.60333333333333294</v>
      </c>
      <c r="CS19" s="1">
        <v>0.35714285714285715</v>
      </c>
      <c r="CT19" s="3">
        <v>12.613333333333335</v>
      </c>
      <c r="CU19" s="1">
        <v>0.5714285714285714</v>
      </c>
      <c r="CV19" s="3">
        <v>-3.319999999999999</v>
      </c>
      <c r="CW19" s="1">
        <v>0.4</v>
      </c>
      <c r="CX19" s="3">
        <v>-1.4200000000000002</v>
      </c>
      <c r="CY19" s="1">
        <v>0.35714285714285715</v>
      </c>
      <c r="CZ19" s="3">
        <v>15.536666666666664</v>
      </c>
      <c r="DA19" s="1">
        <v>0.73333333333333328</v>
      </c>
      <c r="DB19" s="3">
        <v>-3.5966666666666662</v>
      </c>
      <c r="DC19" s="1">
        <v>0.6</v>
      </c>
      <c r="DD19" s="3">
        <v>-8.9266666666666641</v>
      </c>
      <c r="DE19" s="1">
        <v>0.4</v>
      </c>
      <c r="DF19" s="3">
        <v>-6.4666666666666677</v>
      </c>
      <c r="DG19" s="1">
        <v>0.26666666666666666</v>
      </c>
      <c r="DH19" s="3">
        <v>12.376666666666665</v>
      </c>
      <c r="DI19" s="1">
        <v>0.53333333333333333</v>
      </c>
      <c r="DJ19" s="3">
        <v>-10.223333333333333</v>
      </c>
      <c r="DK19" s="1">
        <v>0.46666666666666667</v>
      </c>
      <c r="DL19" s="3">
        <v>-5.093333333333331</v>
      </c>
      <c r="DM19" s="1">
        <v>0.26666666666666666</v>
      </c>
      <c r="DN19" s="3">
        <v>-10.353333333333333</v>
      </c>
      <c r="DO19" s="1">
        <v>0.2</v>
      </c>
      <c r="DP19" s="3">
        <v>-0.14666666666666672</v>
      </c>
      <c r="DQ19" s="1">
        <v>0.53333333333333333</v>
      </c>
      <c r="DR19" s="3"/>
      <c r="DS19" s="1"/>
      <c r="DT19" s="3"/>
      <c r="DU19" s="1"/>
      <c r="DV19" s="3">
        <v>-1.2066666666666654</v>
      </c>
      <c r="DW19" s="1">
        <v>0.46666666666666667</v>
      </c>
      <c r="DX19" s="3">
        <v>-1.2066666666666654</v>
      </c>
      <c r="DY19" s="1">
        <v>0.46666666666666667</v>
      </c>
      <c r="DZ19" s="3">
        <v>-6.1633333333333331</v>
      </c>
      <c r="EA19" s="1">
        <v>0.35714285714285715</v>
      </c>
      <c r="EB19" s="3">
        <v>-1.8099999999999998</v>
      </c>
      <c r="EC19" s="1">
        <v>0.53333333333333333</v>
      </c>
      <c r="ED19" s="3">
        <v>-10.406666666666666</v>
      </c>
      <c r="EE19" s="1">
        <v>0.26666666666666666</v>
      </c>
      <c r="EF19" s="3">
        <v>-8.5733333333333359</v>
      </c>
      <c r="EG19" s="1">
        <v>0.33333333333333331</v>
      </c>
      <c r="EH19" s="3">
        <v>-4.6933333333333334</v>
      </c>
      <c r="EI19" s="1">
        <v>0.33333333333333331</v>
      </c>
      <c r="EJ19" s="3">
        <v>-5.9066666666666663</v>
      </c>
      <c r="EK19" s="1">
        <v>0.35714285714285715</v>
      </c>
      <c r="EL19" s="3"/>
      <c r="EM19" s="1"/>
      <c r="EN19" s="3">
        <v>0.75666666666666649</v>
      </c>
      <c r="EO19" s="1">
        <v>0.53333333333333333</v>
      </c>
      <c r="EP19" s="3"/>
      <c r="EQ19" s="1"/>
      <c r="ER19" s="3">
        <v>1.446666666666667</v>
      </c>
      <c r="ES19" s="1">
        <v>0.42857142857142855</v>
      </c>
      <c r="ET19" s="3">
        <v>1.3866666666666667</v>
      </c>
      <c r="EU19" s="1">
        <v>0.53333333333333333</v>
      </c>
      <c r="EV19" s="3">
        <v>1.8133333333333332</v>
      </c>
      <c r="EW19" s="1">
        <v>0.6</v>
      </c>
      <c r="EX19" s="3">
        <v>-5.9699999999999989</v>
      </c>
      <c r="EY19" s="1">
        <v>0.66666666666666663</v>
      </c>
      <c r="EZ19" s="3">
        <v>3.4566666666666674</v>
      </c>
      <c r="FA19" s="1">
        <v>0.4</v>
      </c>
      <c r="FB19" s="3">
        <v>-1.8</v>
      </c>
      <c r="FC19" s="1">
        <v>0.4</v>
      </c>
      <c r="FD19" s="3">
        <v>-0.1700000000000004</v>
      </c>
      <c r="FE19" s="1">
        <v>0.46666666666666667</v>
      </c>
      <c r="FF19" s="3">
        <v>1.27</v>
      </c>
      <c r="FG19" s="1">
        <v>0.5714285714285714</v>
      </c>
      <c r="FH19" s="3">
        <v>2.6300000000000003</v>
      </c>
      <c r="FI19" s="1">
        <v>0.6</v>
      </c>
      <c r="FJ19" s="3">
        <v>-3.9</v>
      </c>
      <c r="FK19" s="1">
        <v>0.33333333333333331</v>
      </c>
      <c r="FL19" s="3">
        <v>9.6700000000000017</v>
      </c>
      <c r="FM19" s="1">
        <v>0.6</v>
      </c>
      <c r="FN19" s="3">
        <v>4.1799999999999988</v>
      </c>
      <c r="FO19" s="1">
        <v>0.53333333333333333</v>
      </c>
      <c r="FP19" s="3">
        <v>-3.9</v>
      </c>
      <c r="FQ19" s="1">
        <v>0.46666666666666667</v>
      </c>
      <c r="FR19" s="3">
        <v>-5.6999999999999993</v>
      </c>
      <c r="FS19" s="1">
        <v>0.26666666666666666</v>
      </c>
      <c r="FT19" s="3">
        <v>1.8100000000000003</v>
      </c>
      <c r="FU19" s="1">
        <v>0.46666666666666667</v>
      </c>
      <c r="FV19" s="3">
        <v>-8.1300000000000008</v>
      </c>
      <c r="FW19" s="1">
        <v>0.21428571428571427</v>
      </c>
      <c r="FX19" s="3">
        <v>4.910000000000001</v>
      </c>
      <c r="FY19" s="1">
        <v>0.4</v>
      </c>
      <c r="FZ19" s="3">
        <v>1.1899999999999997</v>
      </c>
      <c r="GA19" s="1">
        <v>0.4</v>
      </c>
      <c r="GB19" s="3">
        <v>-2.7799999999999994</v>
      </c>
      <c r="GC19" s="1">
        <v>0.53333333333333333</v>
      </c>
      <c r="GD19" s="3">
        <v>2.4099999999999993</v>
      </c>
      <c r="GE19" s="1">
        <v>0.38461538461538464</v>
      </c>
      <c r="GF19" s="3">
        <v>-3.3500000000000005</v>
      </c>
      <c r="GG19" s="1">
        <v>0.4</v>
      </c>
      <c r="GH19" s="3">
        <v>0.7600000000000009</v>
      </c>
      <c r="GI19" s="1">
        <v>0.46666666666666667</v>
      </c>
      <c r="GJ19" s="3">
        <v>-2.4900000000000002</v>
      </c>
      <c r="GK19" s="1">
        <v>0.35714285714285715</v>
      </c>
      <c r="GL19" s="3">
        <v>-5.33</v>
      </c>
      <c r="GM19" s="1">
        <v>0.26666666666666666</v>
      </c>
      <c r="GN19" s="3">
        <v>1.68</v>
      </c>
      <c r="GO19" s="1">
        <v>0.35714285714285715</v>
      </c>
      <c r="GP19" s="3">
        <v>-4.28</v>
      </c>
      <c r="GQ19" s="1">
        <v>0.21428571428571427</v>
      </c>
      <c r="GR19" s="3">
        <v>-5.5100000000000007</v>
      </c>
      <c r="GS19" s="1">
        <v>0.4</v>
      </c>
      <c r="GT19" s="3">
        <v>-5.2200000000000006</v>
      </c>
      <c r="GU19" s="1">
        <v>0.26666666666666666</v>
      </c>
      <c r="GV19" s="3">
        <v>-4.9700000000000006</v>
      </c>
      <c r="GW19" s="1">
        <v>0.46666666666666667</v>
      </c>
      <c r="GX19" s="3">
        <v>-2.86</v>
      </c>
      <c r="GY19" s="1">
        <v>0.4</v>
      </c>
      <c r="GZ19" s="3">
        <v>1.32</v>
      </c>
      <c r="HA19" s="1">
        <v>0.6</v>
      </c>
      <c r="HB19" s="3">
        <v>1.56</v>
      </c>
      <c r="HC19" s="1">
        <v>0.4</v>
      </c>
      <c r="HD19" s="76">
        <v>-1.85</v>
      </c>
      <c r="HE19" s="1">
        <v>0.33333333333333331</v>
      </c>
      <c r="HF19" s="78">
        <v>-0.77000000000000046</v>
      </c>
      <c r="HG19" s="1">
        <v>0.33333333333333331</v>
      </c>
      <c r="HH19" s="79">
        <v>-6.169999999999999</v>
      </c>
      <c r="HI19" s="1">
        <v>0.33333333333333331</v>
      </c>
      <c r="HJ19" s="80">
        <v>2.04</v>
      </c>
      <c r="HK19" s="1">
        <v>0.4</v>
      </c>
      <c r="HL19" s="81">
        <v>0.78999999999999981</v>
      </c>
      <c r="HM19" s="1">
        <v>0.6</v>
      </c>
      <c r="HN19" s="82">
        <v>-2.66</v>
      </c>
      <c r="HO19" s="1">
        <v>0.2</v>
      </c>
      <c r="HP19" s="83">
        <v>-1.5500000000000003</v>
      </c>
      <c r="HQ19" s="1">
        <v>0.35714285714285715</v>
      </c>
      <c r="HR19" s="84">
        <v>-6.0000000000000009</v>
      </c>
      <c r="HS19" s="1">
        <v>0.13333333333333333</v>
      </c>
      <c r="HT19" s="85">
        <v>-1.59</v>
      </c>
      <c r="HU19" s="1">
        <v>0.46666666666666667</v>
      </c>
      <c r="HV19" s="88">
        <v>5.0999999999999988</v>
      </c>
      <c r="HW19" s="1">
        <v>0.35714285714285715</v>
      </c>
      <c r="HX19" s="89">
        <v>-1.71</v>
      </c>
      <c r="HY19" s="1">
        <v>0.4</v>
      </c>
      <c r="HZ19" s="91"/>
      <c r="IA19" s="1"/>
      <c r="IB19" s="92">
        <v>-0.10000000000000048</v>
      </c>
      <c r="IC19" s="1">
        <v>0.53333333333333333</v>
      </c>
      <c r="ID19" s="93">
        <v>2.71</v>
      </c>
      <c r="IE19" s="1">
        <v>0.26666666666666666</v>
      </c>
      <c r="IF19" s="94">
        <v>-4.28</v>
      </c>
      <c r="IG19" s="1">
        <v>0.2</v>
      </c>
      <c r="IH19" s="97">
        <v>-5.09</v>
      </c>
      <c r="II19" s="1">
        <v>0.2</v>
      </c>
      <c r="IJ19" s="98">
        <v>3.4500000000000006</v>
      </c>
      <c r="IK19" s="1">
        <v>0.46666666666666667</v>
      </c>
      <c r="IL19" s="99">
        <v>-5.01</v>
      </c>
      <c r="IM19" s="1">
        <v>0.33333333333333331</v>
      </c>
      <c r="IN19" s="100">
        <v>0.1599999999999997</v>
      </c>
      <c r="IO19" s="1">
        <v>0.35714285714285715</v>
      </c>
      <c r="IP19" s="101">
        <v>-14.249999999999998</v>
      </c>
      <c r="IQ19" s="1">
        <v>0.21428571428571427</v>
      </c>
      <c r="IR19" s="102"/>
      <c r="IS19" s="1"/>
      <c r="IT19" s="103"/>
      <c r="IU19" s="1"/>
      <c r="IV19" s="104">
        <v>-4.7500000000000009</v>
      </c>
      <c r="IW19" s="1">
        <v>0.26666666666666666</v>
      </c>
      <c r="IX19" s="104">
        <v>-2.8600000000000003</v>
      </c>
      <c r="IY19" s="1">
        <v>0.2857142857142857</v>
      </c>
      <c r="IZ19" s="105"/>
      <c r="JA19" s="1"/>
      <c r="JB19" s="112"/>
      <c r="JC19" s="1"/>
      <c r="JD19" s="113"/>
      <c r="JE19" s="1"/>
      <c r="JF19" s="114">
        <v>1.7599999999999996</v>
      </c>
      <c r="JG19" s="1">
        <v>0.4</v>
      </c>
      <c r="JH19" s="115">
        <v>-2.8100000000000005</v>
      </c>
      <c r="JI19" s="1">
        <v>0.46666666666666667</v>
      </c>
      <c r="JJ19" s="116">
        <v>-1.7000000000000002</v>
      </c>
      <c r="JK19" s="1">
        <v>0.4</v>
      </c>
      <c r="JL19" s="117"/>
      <c r="JM19" s="1"/>
      <c r="JN19" s="118">
        <v>0.99999999999999933</v>
      </c>
      <c r="JO19" s="1">
        <v>0.4</v>
      </c>
      <c r="JP19" s="119">
        <v>-4.18</v>
      </c>
      <c r="JQ19" s="1">
        <v>0.33333333333333331</v>
      </c>
      <c r="JR19" s="120">
        <v>0.91999999999999982</v>
      </c>
      <c r="JS19" s="1">
        <v>0.4</v>
      </c>
      <c r="JT19" s="122"/>
      <c r="JU19" s="1"/>
      <c r="JV19" s="126"/>
      <c r="JW19" s="1"/>
      <c r="JX19" s="132"/>
      <c r="JY19" s="1"/>
      <c r="JZ19" s="133">
        <v>1.8700000000000006</v>
      </c>
      <c r="KA19" s="1">
        <v>0.53333333333333333</v>
      </c>
      <c r="KB19" s="138">
        <v>-4.9500000000000011</v>
      </c>
      <c r="KC19" s="1">
        <v>0.14285714285714285</v>
      </c>
      <c r="KD19" s="140">
        <v>-3.859999999999999</v>
      </c>
      <c r="KE19" s="1">
        <v>0.53333333333333333</v>
      </c>
      <c r="KF19" s="144">
        <v>-5.4600000000000009</v>
      </c>
      <c r="KG19" s="1">
        <v>0.26666666666666666</v>
      </c>
      <c r="KH19" s="148">
        <v>-4.88</v>
      </c>
      <c r="KI19" s="1">
        <v>0.4</v>
      </c>
      <c r="KJ19" s="152">
        <v>-1.67</v>
      </c>
      <c r="KK19" s="1">
        <v>0.26666666666666666</v>
      </c>
      <c r="KL19" s="156">
        <v>2.2600000000000002</v>
      </c>
      <c r="KM19" s="1">
        <v>0.46666666666666667</v>
      </c>
      <c r="KN19" s="160">
        <v>-3.9799999999999995</v>
      </c>
      <c r="KO19" s="1">
        <v>0.26666666666666666</v>
      </c>
      <c r="KP19" s="163">
        <v>-4.4599999999999991</v>
      </c>
      <c r="KQ19" s="1">
        <v>0.4</v>
      </c>
      <c r="KR19" s="165">
        <v>-1.68</v>
      </c>
      <c r="KS19" s="1">
        <v>0.33333333333333331</v>
      </c>
      <c r="KT19" s="168"/>
      <c r="KU19" s="1"/>
      <c r="KV19" s="171">
        <v>-4.7</v>
      </c>
      <c r="KW19" s="1">
        <v>0.4</v>
      </c>
      <c r="KX19" s="174">
        <v>-8.5399999999999991</v>
      </c>
      <c r="KY19" s="1">
        <v>0.46666666666666667</v>
      </c>
      <c r="KZ19" s="179">
        <v>-3.7799999999999994</v>
      </c>
      <c r="LA19" s="1">
        <v>0.53333333333333333</v>
      </c>
      <c r="LB19" s="183">
        <v>-14.61</v>
      </c>
      <c r="LC19" s="1">
        <v>0.26666666666666666</v>
      </c>
      <c r="LD19" s="187">
        <v>15.13</v>
      </c>
      <c r="LE19" s="1">
        <v>0.73333333333333328</v>
      </c>
      <c r="LF19" s="189">
        <v>5.8500000000000005</v>
      </c>
      <c r="LG19" s="1">
        <v>0.4</v>
      </c>
      <c r="LH19" s="191">
        <v>2.9299999999999984</v>
      </c>
      <c r="LI19" s="1">
        <v>0.46666666666666667</v>
      </c>
      <c r="LJ19" s="194">
        <v>-9.2399999999999984</v>
      </c>
      <c r="LK19" s="1">
        <v>0.26666666666666666</v>
      </c>
      <c r="LL19" s="196"/>
      <c r="LM19" s="1"/>
      <c r="LN19" s="198">
        <v>1.0599999999999998</v>
      </c>
      <c r="LO19" s="1">
        <v>0.46666666666666667</v>
      </c>
      <c r="LP19" s="200">
        <v>-16.399999999999999</v>
      </c>
      <c r="LQ19" s="1">
        <v>0.4</v>
      </c>
      <c r="LR19" s="202">
        <v>22.88</v>
      </c>
      <c r="LS19" s="1">
        <v>0.73333333333333328</v>
      </c>
      <c r="LT19" s="204">
        <v>4.3499999999999996</v>
      </c>
      <c r="LU19" s="1">
        <v>0.73333333333333328</v>
      </c>
      <c r="LV19" s="206">
        <v>-11.120000000000001</v>
      </c>
      <c r="LW19" s="1">
        <v>0.35714285714285715</v>
      </c>
      <c r="LX19" s="208">
        <v>-3.9899999999999998</v>
      </c>
      <c r="LY19" s="1">
        <v>0.4</v>
      </c>
      <c r="LZ19" s="210">
        <v>-6.200000000000002</v>
      </c>
      <c r="MA19" s="1">
        <v>0.4375</v>
      </c>
      <c r="MB19" s="212">
        <v>-16.239999999999998</v>
      </c>
      <c r="MC19" s="1">
        <v>0.33333333333333331</v>
      </c>
      <c r="MD19" s="214">
        <v>11.070000000000004</v>
      </c>
      <c r="ME19" s="1">
        <v>0.5714285714285714</v>
      </c>
      <c r="MF19" s="216">
        <v>9.6000000000000014</v>
      </c>
      <c r="MG19" s="1">
        <v>0.7142857142857143</v>
      </c>
      <c r="MH19" s="218">
        <v>-2.7300000000000004</v>
      </c>
      <c r="MI19" s="1">
        <v>0.4</v>
      </c>
      <c r="MJ19" s="220">
        <v>-8.3800000000000008</v>
      </c>
      <c r="MK19" s="1">
        <v>0.375</v>
      </c>
      <c r="ML19" s="222">
        <v>-3.1399999999999988</v>
      </c>
      <c r="MM19" s="1">
        <v>0.5625</v>
      </c>
      <c r="MN19" s="224">
        <v>-15.399999999999999</v>
      </c>
      <c r="MO19" s="1">
        <v>0.25</v>
      </c>
      <c r="MP19" s="226">
        <v>-1.4900000000000011</v>
      </c>
      <c r="MQ19" s="1">
        <v>0.375</v>
      </c>
      <c r="MR19" s="228">
        <v>-4.3400000000000007</v>
      </c>
      <c r="MS19" s="1">
        <v>0.53333333333333333</v>
      </c>
      <c r="MT19" s="230">
        <v>-0.20000000000000029</v>
      </c>
      <c r="MU19" s="1">
        <v>0.46666666666666667</v>
      </c>
      <c r="MV19" s="232">
        <v>3.3600000000000008</v>
      </c>
      <c r="MW19" s="1">
        <v>0.5625</v>
      </c>
      <c r="MX19" s="234">
        <v>-15.28</v>
      </c>
      <c r="MY19" s="1">
        <v>0.4375</v>
      </c>
      <c r="MZ19" s="236">
        <v>-0.86999999999999944</v>
      </c>
      <c r="NA19" s="1">
        <v>0.46666666666666667</v>
      </c>
      <c r="NB19" s="238">
        <v>-10.339999999999996</v>
      </c>
      <c r="NC19" s="1">
        <v>0.33333333333333331</v>
      </c>
      <c r="ND19" s="240">
        <v>-0.95999999999999908</v>
      </c>
      <c r="NE19" s="1">
        <v>0.66666666666666663</v>
      </c>
      <c r="NF19" s="242">
        <v>-7.8200000000000012</v>
      </c>
      <c r="NG19" s="1">
        <v>0.53333333333333333</v>
      </c>
      <c r="NH19" s="244">
        <v>-7.8200000000000012</v>
      </c>
      <c r="NI19" s="1">
        <v>0.53333333333333333</v>
      </c>
      <c r="NJ19" s="244">
        <v>-15.11</v>
      </c>
      <c r="NK19" s="1">
        <v>0.26666666666666666</v>
      </c>
      <c r="NL19" s="246"/>
      <c r="NM19" s="1"/>
      <c r="NN19" s="248">
        <v>-6.9500000000000011</v>
      </c>
      <c r="NO19" s="1">
        <v>0.2857142857142857</v>
      </c>
      <c r="NP19" s="250">
        <v>-1.6200000000000003</v>
      </c>
      <c r="NQ19" s="1">
        <v>0.42857142857142855</v>
      </c>
      <c r="NR19" s="252">
        <v>-4.6399999999999997</v>
      </c>
      <c r="NS19" s="1">
        <v>0.4</v>
      </c>
      <c r="NT19" s="254">
        <v>-10.280000000000003</v>
      </c>
      <c r="NU19" s="1">
        <v>0.45454545454545453</v>
      </c>
      <c r="NV19" s="256">
        <v>-7.77</v>
      </c>
      <c r="NW19" s="1">
        <v>0.44444444444444442</v>
      </c>
      <c r="NX19" s="258">
        <v>-9.5</v>
      </c>
      <c r="NY19" s="1">
        <v>0.4</v>
      </c>
      <c r="NZ19" s="260">
        <v>8.3699999999999974</v>
      </c>
      <c r="OA19" s="1">
        <v>0.63636363636363635</v>
      </c>
      <c r="OB19" s="262">
        <v>-8.11</v>
      </c>
      <c r="OC19" s="1">
        <v>0.16666666666666666</v>
      </c>
      <c r="OD19" s="264">
        <v>-8.0200000000000014</v>
      </c>
      <c r="OE19" s="1">
        <v>0.42857142857142855</v>
      </c>
      <c r="OF19" s="266">
        <v>-2.42</v>
      </c>
      <c r="OG19" s="1">
        <v>0.4</v>
      </c>
      <c r="OH19" s="268">
        <v>-7.12</v>
      </c>
      <c r="OI19" s="1">
        <v>0.1</v>
      </c>
      <c r="OJ19" s="270">
        <v>-4.8999999999999995</v>
      </c>
      <c r="OK19" s="1">
        <v>0.4375</v>
      </c>
      <c r="OL19" s="272">
        <v>-1.2500000000000002</v>
      </c>
      <c r="OM19" s="1">
        <v>0.38461538461538464</v>
      </c>
      <c r="ON19" s="274">
        <v>4.5999999999999996</v>
      </c>
      <c r="OO19" s="1">
        <v>0.46666666666666667</v>
      </c>
      <c r="OP19" s="276">
        <v>-3.3000000000000012</v>
      </c>
      <c r="OQ19" s="1">
        <v>0.4</v>
      </c>
      <c r="OR19" s="278">
        <v>-12.13</v>
      </c>
      <c r="OS19" s="1">
        <v>0.375</v>
      </c>
      <c r="OT19" s="280">
        <v>0.88000000000000034</v>
      </c>
      <c r="OU19" s="1">
        <v>0.5625</v>
      </c>
      <c r="OV19" s="282">
        <v>3</v>
      </c>
      <c r="OW19" s="1">
        <v>0.53333333333333333</v>
      </c>
      <c r="OX19" s="285">
        <v>-1.7800000000000002</v>
      </c>
      <c r="OY19" s="1">
        <v>0.33333333333333331</v>
      </c>
      <c r="OZ19" s="288">
        <v>-8.8999999999999986</v>
      </c>
      <c r="PA19" s="1">
        <v>0.375</v>
      </c>
      <c r="PB19" s="292">
        <v>-2.7600000000000007</v>
      </c>
      <c r="PC19" s="1">
        <v>0.3125</v>
      </c>
      <c r="PD19" s="297">
        <v>6.7</v>
      </c>
      <c r="PE19" s="1">
        <v>0.625</v>
      </c>
      <c r="PF19" s="298">
        <v>-5.1499999999999995</v>
      </c>
      <c r="PG19" s="1">
        <v>0.46666666666666667</v>
      </c>
      <c r="PH19" s="301">
        <v>5.9100000000000028</v>
      </c>
      <c r="PI19" s="1">
        <v>0.6</v>
      </c>
      <c r="PJ19" s="302">
        <v>-6.4799999999999986</v>
      </c>
      <c r="PK19" s="1">
        <v>0.46666666666666667</v>
      </c>
      <c r="PL19" s="309"/>
      <c r="PM19" s="1"/>
      <c r="PN19" s="313"/>
      <c r="PO19" s="1"/>
      <c r="PP19" s="313">
        <v>-2.4600000000000009</v>
      </c>
      <c r="PQ19" s="1">
        <v>0.53333333333333333</v>
      </c>
      <c r="PR19" s="315"/>
      <c r="PS19" s="1"/>
      <c r="PT19" s="318">
        <v>-14.899999999999999</v>
      </c>
      <c r="PU19" s="1">
        <v>0.375</v>
      </c>
      <c r="PV19" s="321">
        <v>-6.5900000000000025</v>
      </c>
      <c r="PW19" s="1">
        <v>0.5</v>
      </c>
      <c r="PX19" s="323">
        <v>-3.53</v>
      </c>
      <c r="PY19" s="1">
        <v>0.53333333333333333</v>
      </c>
      <c r="PZ19" s="325">
        <v>2.3899999999999997</v>
      </c>
      <c r="QA19" s="1">
        <v>0.53333333333333333</v>
      </c>
      <c r="QB19" s="327">
        <v>3.2699999999999996</v>
      </c>
      <c r="QC19" s="1">
        <v>0.53333333333333333</v>
      </c>
      <c r="QD19" s="334">
        <v>-9.2600000000000016</v>
      </c>
      <c r="QE19" s="1">
        <v>0.5</v>
      </c>
      <c r="QF19" s="339">
        <v>-0.64000000000000035</v>
      </c>
      <c r="QG19" s="1">
        <v>0.46666666666666667</v>
      </c>
      <c r="QH19" s="345">
        <v>1.3300000000000012</v>
      </c>
      <c r="QI19" s="1">
        <v>0.53333333333333333</v>
      </c>
      <c r="QJ19" s="352">
        <v>-5.5400000000000009</v>
      </c>
      <c r="QK19" s="1">
        <v>0.46666666666666667</v>
      </c>
      <c r="QL19" s="356">
        <v>-0.10000000000000009</v>
      </c>
      <c r="QM19" s="1">
        <v>0.5</v>
      </c>
      <c r="QN19" s="360">
        <v>-5.160000000000001</v>
      </c>
      <c r="QO19" s="1">
        <v>0.46666666666666667</v>
      </c>
      <c r="QP19" s="363">
        <v>-5.5</v>
      </c>
      <c r="QQ19" s="1">
        <v>0.4</v>
      </c>
      <c r="QR19" s="366">
        <v>-0.28000000000000036</v>
      </c>
      <c r="QS19" s="1">
        <v>0.4375</v>
      </c>
      <c r="QT19" s="371"/>
      <c r="QU19" s="1"/>
      <c r="QV19" s="374">
        <v>-1.1299999999999999</v>
      </c>
      <c r="QW19" s="1">
        <v>0.46666666666666667</v>
      </c>
      <c r="QX19" s="378">
        <v>-5.68</v>
      </c>
      <c r="QY19" s="1">
        <v>0.4</v>
      </c>
      <c r="QZ19" s="386">
        <v>-0.97999999999999932</v>
      </c>
      <c r="RA19" s="1">
        <v>0.4375</v>
      </c>
      <c r="RB19" s="395">
        <v>-1.6600000000000001</v>
      </c>
      <c r="RC19" s="1">
        <v>0.4</v>
      </c>
      <c r="RD19" s="399">
        <v>1.5100000000000002</v>
      </c>
      <c r="RE19" s="1">
        <v>0.5</v>
      </c>
      <c r="RF19" s="399">
        <v>-0.57000000000000017</v>
      </c>
      <c r="RG19" s="1">
        <v>0.4</v>
      </c>
      <c r="RH19" s="403">
        <v>5.7499999999999982</v>
      </c>
      <c r="RI19" s="1">
        <v>0.6</v>
      </c>
      <c r="RJ19" s="405">
        <v>-9.85</v>
      </c>
      <c r="RK19" s="1">
        <v>0.375</v>
      </c>
      <c r="RL19" s="407"/>
      <c r="RM19" s="1"/>
      <c r="RN19" s="410">
        <v>-4.4599999999999991</v>
      </c>
      <c r="RO19" s="1">
        <v>0.53333333333333333</v>
      </c>
      <c r="RP19" s="412">
        <v>0.30000000000000016</v>
      </c>
      <c r="RQ19" s="1">
        <v>0.46666666666666667</v>
      </c>
      <c r="RR19" s="415">
        <v>-1.6500000000000008</v>
      </c>
      <c r="RS19" s="1">
        <v>0.26666666666666666</v>
      </c>
      <c r="RT19" s="417">
        <v>3.1900000000000004</v>
      </c>
      <c r="RU19" s="1">
        <v>0.6875</v>
      </c>
      <c r="RV19" s="422">
        <v>-2.78</v>
      </c>
      <c r="RW19" s="1">
        <v>0.5</v>
      </c>
      <c r="RX19" s="427">
        <v>-1.3500000000000005</v>
      </c>
      <c r="RY19" s="1">
        <v>0.53333333333333333</v>
      </c>
      <c r="RZ19" s="433">
        <v>2.080000000000001</v>
      </c>
      <c r="SA19" s="1">
        <v>0.5</v>
      </c>
      <c r="SB19" s="436">
        <v>4.6499999999999986</v>
      </c>
      <c r="SC19" s="1">
        <v>0.375</v>
      </c>
      <c r="SD19" s="443">
        <v>-3.78</v>
      </c>
      <c r="SE19" s="1">
        <v>0.4375</v>
      </c>
      <c r="SF19" s="445">
        <v>-3.2899999999999996</v>
      </c>
      <c r="SG19" s="1">
        <v>0.46666666666666667</v>
      </c>
      <c r="SH19" s="450">
        <v>7.18</v>
      </c>
      <c r="SI19" s="1">
        <v>0.73333333333333328</v>
      </c>
      <c r="SJ19" s="452">
        <v>3.5599999999999996</v>
      </c>
      <c r="SK19" s="1">
        <v>0.53333333333333333</v>
      </c>
      <c r="SL19" s="457">
        <v>-9.0300000000000011</v>
      </c>
      <c r="SM19" s="1">
        <v>0.375</v>
      </c>
      <c r="SN19" s="459">
        <v>-6.0299999999999994</v>
      </c>
      <c r="SO19" s="1">
        <v>0.46666666666666667</v>
      </c>
      <c r="SP19" s="461">
        <v>-5.81</v>
      </c>
      <c r="SQ19" s="1">
        <v>0.33333333333333331</v>
      </c>
      <c r="SR19" s="463">
        <v>-4.26</v>
      </c>
      <c r="SS19" s="1">
        <v>0.375</v>
      </c>
      <c r="ST19" s="464">
        <v>-13.110000000000001</v>
      </c>
      <c r="SU19" s="1">
        <v>0.2</v>
      </c>
      <c r="SV19" s="466">
        <v>-6.42</v>
      </c>
      <c r="SW19" s="1">
        <v>0.2857142857142857</v>
      </c>
      <c r="SX19" s="467">
        <v>-0.84000000000000019</v>
      </c>
      <c r="SY19" s="1">
        <v>0.46666666666666667</v>
      </c>
      <c r="SZ19" s="469">
        <v>-7.32</v>
      </c>
      <c r="TA19" s="1">
        <v>0.46666666666666667</v>
      </c>
      <c r="TB19" s="471">
        <v>-1.9999999999999823E-2</v>
      </c>
      <c r="TC19" s="1">
        <v>0.46666666666666667</v>
      </c>
      <c r="TD19" s="472">
        <v>-0.44999999999999968</v>
      </c>
      <c r="TE19" s="1">
        <v>0.53333333333333333</v>
      </c>
      <c r="TF19" s="474">
        <v>-8.86</v>
      </c>
      <c r="TG19" s="1">
        <v>0.33333333333333331</v>
      </c>
      <c r="TH19" s="488">
        <v>4.1900000000000004</v>
      </c>
      <c r="TI19" s="1">
        <v>0.6</v>
      </c>
      <c r="TJ19" s="489">
        <v>1.3700000000000006</v>
      </c>
      <c r="TK19" s="1">
        <v>0.46666666666666667</v>
      </c>
      <c r="TL19" s="490">
        <v>-6.0600000000000005</v>
      </c>
      <c r="TM19" s="1">
        <v>0.375</v>
      </c>
      <c r="TN19" s="495">
        <v>-7.81</v>
      </c>
      <c r="TO19" s="1">
        <v>0.4</v>
      </c>
      <c r="TP19" s="500">
        <v>6.3299999999999983</v>
      </c>
      <c r="TQ19" s="1">
        <v>0.4375</v>
      </c>
      <c r="TR19" s="511">
        <v>-3.9599999999999986</v>
      </c>
      <c r="TS19" s="1">
        <v>0.5625</v>
      </c>
      <c r="TT19" s="515">
        <v>-7.3199999999999985</v>
      </c>
      <c r="TU19" s="1">
        <v>0.33333333333333331</v>
      </c>
      <c r="TV19" s="518">
        <v>8.39</v>
      </c>
      <c r="TW19" s="1">
        <v>0.5</v>
      </c>
      <c r="TX19" s="521"/>
      <c r="TY19" s="1"/>
      <c r="TZ19" s="524">
        <v>-8.94</v>
      </c>
      <c r="UA19" s="1">
        <v>0.375</v>
      </c>
      <c r="UB19" s="527">
        <v>-10.73</v>
      </c>
      <c r="UC19" s="1">
        <v>0.25</v>
      </c>
      <c r="UD19" s="530">
        <v>-0.52000000000000046</v>
      </c>
      <c r="UE19" s="1">
        <v>0.375</v>
      </c>
      <c r="UF19" s="533">
        <v>-8.4999999999999982</v>
      </c>
      <c r="UG19" s="1">
        <v>0.375</v>
      </c>
      <c r="UH19" s="536">
        <v>-0.67000000000000071</v>
      </c>
      <c r="UI19" s="1">
        <v>0.5</v>
      </c>
      <c r="UJ19" s="539">
        <v>-2.7399999999999998</v>
      </c>
      <c r="UK19" s="1">
        <v>0.3125</v>
      </c>
      <c r="UL19" s="540">
        <v>2.890000000000001</v>
      </c>
      <c r="UM19" s="1">
        <v>0.4375</v>
      </c>
      <c r="UN19" s="543">
        <v>-1.1299999999999999</v>
      </c>
      <c r="UO19" s="1">
        <v>0.4</v>
      </c>
      <c r="UP19" s="544">
        <v>1.31</v>
      </c>
      <c r="UQ19" s="1">
        <v>0.375</v>
      </c>
      <c r="UR19" s="551">
        <v>-16.46</v>
      </c>
      <c r="US19" s="1">
        <v>0.25</v>
      </c>
      <c r="UT19" s="551">
        <v>-4.0299999999999994</v>
      </c>
      <c r="UU19" s="1">
        <v>0.4375</v>
      </c>
      <c r="UV19" s="562">
        <v>-5.120000000000001</v>
      </c>
      <c r="UW19" s="1">
        <v>0.5</v>
      </c>
      <c r="UX19" s="566">
        <v>-3.9000000000000012</v>
      </c>
      <c r="UY19" s="1">
        <v>0.5625</v>
      </c>
      <c r="UZ19" s="568">
        <v>-4.0700000000000012</v>
      </c>
      <c r="VA19" s="1">
        <v>0.2857142857142857</v>
      </c>
      <c r="VB19" s="572">
        <v>-1.4499999999999993</v>
      </c>
      <c r="VC19" s="1">
        <v>0.5</v>
      </c>
      <c r="VD19" s="576">
        <v>-4.7899999999999991</v>
      </c>
      <c r="VE19" s="1">
        <v>0.5</v>
      </c>
      <c r="VF19" s="580">
        <v>-4.4499999999999993</v>
      </c>
      <c r="VG19" s="1">
        <v>0.4375</v>
      </c>
      <c r="VH19" s="584">
        <v>-4.5399999999999991</v>
      </c>
      <c r="VI19" s="1">
        <v>0.375</v>
      </c>
      <c r="VJ19" s="589">
        <v>1.4999999999999998</v>
      </c>
      <c r="VK19" s="1">
        <v>0.5</v>
      </c>
      <c r="VL19" s="593">
        <v>3.7100000000000004</v>
      </c>
      <c r="VM19" s="1">
        <v>0.7142857142857143</v>
      </c>
      <c r="VN19" s="597">
        <v>-2.2200000000000002</v>
      </c>
      <c r="VO19" s="1">
        <v>0.5625</v>
      </c>
      <c r="VP19" s="601">
        <v>0.99000000000000021</v>
      </c>
      <c r="VQ19" s="1">
        <v>0.3125</v>
      </c>
      <c r="VR19" s="603">
        <v>-2.79</v>
      </c>
      <c r="VS19" s="1">
        <v>0.3125</v>
      </c>
      <c r="VT19" s="607">
        <v>9.3000000000000007</v>
      </c>
      <c r="VU19" s="1">
        <v>0.625</v>
      </c>
      <c r="VV19" s="609">
        <v>-14.080000000000002</v>
      </c>
      <c r="VW19" s="1">
        <v>0.3125</v>
      </c>
      <c r="VX19" s="613">
        <v>-6.8300000000000018</v>
      </c>
      <c r="VY19" s="1">
        <v>0.4375</v>
      </c>
      <c r="VZ19" s="617">
        <v>1.9999999999999844E-2</v>
      </c>
      <c r="WA19" s="1">
        <v>0.5</v>
      </c>
      <c r="WB19" s="619"/>
      <c r="WC19" s="1"/>
      <c r="WD19" s="624">
        <v>-5.0199999999999996</v>
      </c>
      <c r="WE19" s="1">
        <v>0.3125</v>
      </c>
      <c r="WF19" s="626">
        <v>7.1000000000000005</v>
      </c>
      <c r="WG19" s="1">
        <v>0.5625</v>
      </c>
      <c r="WH19" s="630">
        <v>2.4400000000000004</v>
      </c>
      <c r="WI19" s="1">
        <v>0.6875</v>
      </c>
      <c r="WJ19" s="636">
        <v>-12.33</v>
      </c>
      <c r="WK19" s="1">
        <v>0.25</v>
      </c>
      <c r="WL19" s="638">
        <v>-5.26</v>
      </c>
      <c r="WM19" s="1">
        <v>0.125</v>
      </c>
      <c r="WN19" s="642">
        <v>-0.83000000000000029</v>
      </c>
      <c r="WO19" s="1">
        <v>0.375</v>
      </c>
      <c r="WP19" s="646">
        <v>-1.29</v>
      </c>
      <c r="WQ19" s="1">
        <v>0.375</v>
      </c>
      <c r="WR19" s="652">
        <v>-3.99</v>
      </c>
      <c r="WS19" s="1">
        <v>0.3125</v>
      </c>
      <c r="WT19" s="659">
        <v>2.77</v>
      </c>
      <c r="WU19" s="1">
        <v>0.4375</v>
      </c>
      <c r="WV19" s="659">
        <v>5.0899999999999981</v>
      </c>
      <c r="WW19" s="1">
        <v>0.4375</v>
      </c>
      <c r="WX19" s="672">
        <v>-6.2400000000000011</v>
      </c>
      <c r="WY19" s="1">
        <v>0.375</v>
      </c>
      <c r="WZ19" s="677"/>
      <c r="XA19" s="1"/>
      <c r="XB19" s="681">
        <v>-5.98</v>
      </c>
      <c r="XC19" s="1">
        <v>0.3125</v>
      </c>
      <c r="XD19" s="683">
        <v>-3.55</v>
      </c>
      <c r="XE19" s="1">
        <v>0.26666666666666666</v>
      </c>
      <c r="XF19" s="687">
        <v>2.3600000000000012</v>
      </c>
      <c r="XG19" s="1">
        <v>0.625</v>
      </c>
      <c r="XH19" s="689">
        <v>5.0600000000000005</v>
      </c>
      <c r="XI19" s="1">
        <v>0.5</v>
      </c>
      <c r="XJ19" s="696">
        <v>-14.309999999999999</v>
      </c>
      <c r="XK19" s="1">
        <v>0.1875</v>
      </c>
      <c r="XL19" s="696">
        <v>-3.34</v>
      </c>
      <c r="XM19" s="1">
        <v>0.5</v>
      </c>
      <c r="XN19" s="696">
        <v>-7.2399999999999975</v>
      </c>
      <c r="XO19" s="1">
        <v>0.34375</v>
      </c>
      <c r="XP19" s="700">
        <v>7.3599999999999994</v>
      </c>
      <c r="XQ19" s="1">
        <v>0.5625</v>
      </c>
      <c r="XR19" s="705">
        <v>-21.31</v>
      </c>
      <c r="XS19" s="1">
        <v>0.28125</v>
      </c>
      <c r="XT19" s="709">
        <v>1.6799999999999995</v>
      </c>
      <c r="XU19" s="1">
        <v>0.5</v>
      </c>
      <c r="XV19" s="715"/>
      <c r="XW19" s="1"/>
    </row>
    <row r="20" spans="2:647" x14ac:dyDescent="0.25">
      <c r="B20" s="755"/>
      <c r="C20" s="764"/>
      <c r="D20" s="757" t="s">
        <v>7</v>
      </c>
      <c r="E20" s="757"/>
      <c r="F20" s="57">
        <v>0.2</v>
      </c>
      <c r="G20" s="768"/>
      <c r="H20" s="3">
        <v>1.0336363636363637</v>
      </c>
      <c r="I20" s="1">
        <v>0.6</v>
      </c>
      <c r="J20" s="3">
        <v>1.6490909090909087</v>
      </c>
      <c r="K20" s="1">
        <v>0.66666666666666663</v>
      </c>
      <c r="L20" s="3"/>
      <c r="M20" s="1"/>
      <c r="N20" s="3">
        <v>-3.0745454545454551</v>
      </c>
      <c r="O20" s="1">
        <v>0.2</v>
      </c>
      <c r="P20" s="3">
        <v>-0.38545454545454533</v>
      </c>
      <c r="Q20" s="1">
        <v>0.25</v>
      </c>
      <c r="R20" s="3">
        <v>-1.9518181818181817</v>
      </c>
      <c r="S20" s="1">
        <v>0.2</v>
      </c>
      <c r="T20" s="3"/>
      <c r="U20" s="1"/>
      <c r="V20" s="3">
        <v>-2.2536363636363634</v>
      </c>
      <c r="W20" s="1">
        <v>0.2</v>
      </c>
      <c r="X20" s="3"/>
      <c r="Y20" s="1"/>
      <c r="Z20" s="3">
        <v>-6.1581818181818173</v>
      </c>
      <c r="AA20" s="1">
        <v>0.14285714285714285</v>
      </c>
      <c r="AB20" s="3"/>
      <c r="AC20" s="1"/>
      <c r="AD20" s="3">
        <v>2.5254545454545454</v>
      </c>
      <c r="AE20" s="1">
        <v>0.8</v>
      </c>
      <c r="AF20" s="3"/>
      <c r="AG20" s="1"/>
      <c r="AH20" s="3">
        <v>2.8336363636363631</v>
      </c>
      <c r="AI20" s="1">
        <v>0.8</v>
      </c>
      <c r="AJ20" s="3">
        <v>-2.0036363636363634</v>
      </c>
      <c r="AK20" s="1">
        <v>0.33333333333333331</v>
      </c>
      <c r="AL20" s="3">
        <v>-0.87272727272727291</v>
      </c>
      <c r="AM20" s="1">
        <v>0.42857142857142855</v>
      </c>
      <c r="AN20" s="3"/>
      <c r="AO20" s="1"/>
      <c r="AP20" s="3">
        <v>1.0536363636363637</v>
      </c>
      <c r="AQ20" s="1">
        <v>0.5</v>
      </c>
      <c r="AR20" s="3">
        <v>-1.2154545454545453</v>
      </c>
      <c r="AS20" s="1">
        <v>0.44444444444444442</v>
      </c>
      <c r="AT20" s="3"/>
      <c r="AU20" s="1"/>
      <c r="AV20" s="3">
        <v>0.64181818181818184</v>
      </c>
      <c r="AW20" s="1">
        <v>0.5714285714285714</v>
      </c>
      <c r="AX20" s="3">
        <v>7.9090909090908865E-2</v>
      </c>
      <c r="AY20" s="1">
        <v>0.5</v>
      </c>
      <c r="AZ20" s="3">
        <v>0.42727272727272736</v>
      </c>
      <c r="BA20" s="1">
        <v>0.5</v>
      </c>
      <c r="BB20" s="3">
        <v>-1.6463636363636363</v>
      </c>
      <c r="BC20" s="1">
        <v>0.2857142857142857</v>
      </c>
      <c r="BD20" s="3"/>
      <c r="BE20" s="1"/>
      <c r="BF20" s="3">
        <v>-0.95636363636363619</v>
      </c>
      <c r="BG20" s="1">
        <v>0.4</v>
      </c>
      <c r="BH20" s="3">
        <v>-2.8590909090909093</v>
      </c>
      <c r="BI20" s="1">
        <v>0.2857142857142857</v>
      </c>
      <c r="BJ20" s="3">
        <v>0.62090909090909097</v>
      </c>
      <c r="BK20" s="1">
        <v>0.5714285714285714</v>
      </c>
      <c r="BL20" s="3">
        <v>-0.15272727272727271</v>
      </c>
      <c r="BM20" s="1">
        <v>0.5</v>
      </c>
      <c r="BN20" s="3"/>
      <c r="BO20" s="1"/>
      <c r="BP20" s="3">
        <v>-4.0063636363636368</v>
      </c>
      <c r="BQ20" s="1">
        <v>0.25</v>
      </c>
      <c r="BR20" s="3">
        <v>-0.20727272727272722</v>
      </c>
      <c r="BS20" s="1">
        <v>0.42857142857142855</v>
      </c>
      <c r="BT20" s="3"/>
      <c r="BU20" s="1"/>
      <c r="BV20" s="3"/>
      <c r="BW20" s="1"/>
      <c r="BX20" s="3">
        <v>-1.1454545454545455</v>
      </c>
      <c r="BY20" s="1">
        <v>0.375</v>
      </c>
      <c r="BZ20" s="3">
        <v>1.3099999999999998</v>
      </c>
      <c r="CA20" s="1">
        <v>0.5714285714285714</v>
      </c>
      <c r="CB20" s="3">
        <v>-1.4818181818181819</v>
      </c>
      <c r="CC20" s="1">
        <v>0.25</v>
      </c>
      <c r="CD20" s="3">
        <v>3.2381818181818187</v>
      </c>
      <c r="CE20" s="1">
        <v>1</v>
      </c>
      <c r="CF20" s="3">
        <v>7.2727272727272627E-2</v>
      </c>
      <c r="CG20" s="1">
        <v>0.5</v>
      </c>
      <c r="CH20" s="3"/>
      <c r="CI20" s="1"/>
      <c r="CJ20" s="3">
        <v>-3.1436363636363636</v>
      </c>
      <c r="CK20" s="1">
        <v>0.25</v>
      </c>
      <c r="CL20" s="3">
        <v>1.3063636363636364</v>
      </c>
      <c r="CM20" s="1">
        <v>0.66666666666666663</v>
      </c>
      <c r="CN20" s="3"/>
      <c r="CO20" s="1"/>
      <c r="CP20" s="3">
        <v>-8.3636363636363467E-2</v>
      </c>
      <c r="CQ20" s="1">
        <v>0.5714285714285714</v>
      </c>
      <c r="CR20" s="3">
        <v>-1.4654545454545451</v>
      </c>
      <c r="CS20" s="1">
        <v>0.16666666666666666</v>
      </c>
      <c r="CT20" s="3">
        <v>-0.97818181818181815</v>
      </c>
      <c r="CU20" s="1">
        <v>0</v>
      </c>
      <c r="CV20" s="3">
        <v>-3.1209090909090906</v>
      </c>
      <c r="CW20" s="1">
        <v>0.375</v>
      </c>
      <c r="CX20" s="3">
        <v>-3.4718181818181817</v>
      </c>
      <c r="CY20" s="1">
        <v>0.375</v>
      </c>
      <c r="CZ20" s="3">
        <v>5.2681818181818185</v>
      </c>
      <c r="DA20" s="1">
        <v>0.875</v>
      </c>
      <c r="DB20" s="3">
        <v>0.43454545454545462</v>
      </c>
      <c r="DC20" s="1">
        <v>0.625</v>
      </c>
      <c r="DD20" s="3">
        <v>-0.5181818181818183</v>
      </c>
      <c r="DE20" s="1">
        <v>0.4</v>
      </c>
      <c r="DF20" s="3">
        <v>1.4345454545454548</v>
      </c>
      <c r="DG20" s="1">
        <v>0.5714285714285714</v>
      </c>
      <c r="DH20" s="3">
        <v>0.1972727272727276</v>
      </c>
      <c r="DI20" s="1">
        <v>0.55555555555555558</v>
      </c>
      <c r="DJ20" s="3">
        <v>-0.88363636363636355</v>
      </c>
      <c r="DK20" s="1">
        <v>0.5</v>
      </c>
      <c r="DL20" s="3">
        <v>-2.1081818181818179</v>
      </c>
      <c r="DM20" s="1">
        <v>0.33333333333333331</v>
      </c>
      <c r="DN20" s="3">
        <v>-4.8672727272727281</v>
      </c>
      <c r="DO20" s="1">
        <v>0</v>
      </c>
      <c r="DP20" s="3">
        <v>-0.92272727272727295</v>
      </c>
      <c r="DQ20" s="1">
        <v>0.25</v>
      </c>
      <c r="DR20" s="3"/>
      <c r="DS20" s="1"/>
      <c r="DT20" s="3"/>
      <c r="DU20" s="1"/>
      <c r="DV20" s="3">
        <v>-1.43</v>
      </c>
      <c r="DW20" s="1">
        <v>0.375</v>
      </c>
      <c r="DX20" s="3">
        <v>-1.43</v>
      </c>
      <c r="DY20" s="1">
        <v>0.375</v>
      </c>
      <c r="DZ20" s="3">
        <v>-0.56909090909090909</v>
      </c>
      <c r="EA20" s="1">
        <v>0.5</v>
      </c>
      <c r="EB20" s="3">
        <v>1.1499999999999999</v>
      </c>
      <c r="EC20" s="1">
        <v>0.66666666666666663</v>
      </c>
      <c r="ED20" s="3">
        <v>-2.0445454545454549</v>
      </c>
      <c r="EE20" s="1">
        <v>0.25</v>
      </c>
      <c r="EF20" s="3">
        <v>-2.19</v>
      </c>
      <c r="EG20" s="1">
        <v>0.42857142857142855</v>
      </c>
      <c r="EH20" s="3">
        <v>-3.1545454545454548</v>
      </c>
      <c r="EI20" s="1">
        <v>0.33333333333333331</v>
      </c>
      <c r="EJ20" s="3">
        <v>-0.88363636363636355</v>
      </c>
      <c r="EK20" s="1">
        <v>0</v>
      </c>
      <c r="EL20" s="3"/>
      <c r="EM20" s="1"/>
      <c r="EN20" s="3">
        <v>1.1572727272727272</v>
      </c>
      <c r="EO20" s="1">
        <v>0.5</v>
      </c>
      <c r="EP20" s="3"/>
      <c r="EQ20" s="1"/>
      <c r="ER20" s="3">
        <v>-2.310909090909091</v>
      </c>
      <c r="ES20" s="1">
        <v>0.5</v>
      </c>
      <c r="ET20" s="3">
        <v>-0.91636363636363638</v>
      </c>
      <c r="EU20" s="1">
        <v>0.2</v>
      </c>
      <c r="EV20" s="3">
        <v>-1.3236363636363635</v>
      </c>
      <c r="EW20" s="1">
        <v>0.4</v>
      </c>
      <c r="EX20" s="3">
        <v>-0.64909090909090905</v>
      </c>
      <c r="EY20" s="1">
        <v>0.625</v>
      </c>
      <c r="EZ20" s="3">
        <v>-1.7681818181818179</v>
      </c>
      <c r="FA20" s="1">
        <v>0.33333333333333331</v>
      </c>
      <c r="FB20" s="3">
        <v>-4.25</v>
      </c>
      <c r="FC20" s="1">
        <v>0.44444444444444442</v>
      </c>
      <c r="FD20" s="3">
        <v>2.2999999999999998</v>
      </c>
      <c r="FE20" s="1">
        <v>0.5</v>
      </c>
      <c r="FF20" s="3">
        <v>0.17000000000000037</v>
      </c>
      <c r="FG20" s="1">
        <v>0.5</v>
      </c>
      <c r="FH20" s="3">
        <v>1.06</v>
      </c>
      <c r="FI20" s="1">
        <v>0.66666666666666663</v>
      </c>
      <c r="FJ20" s="3">
        <v>-3.0999999999999996</v>
      </c>
      <c r="FK20" s="1">
        <v>0.25</v>
      </c>
      <c r="FL20" s="3">
        <v>-2.2200000000000002</v>
      </c>
      <c r="FM20" s="1">
        <v>0.7142857142857143</v>
      </c>
      <c r="FN20" s="3">
        <v>-2.29</v>
      </c>
      <c r="FO20" s="1">
        <v>0.33333333333333331</v>
      </c>
      <c r="FP20" s="3">
        <v>-2.0199999999999996</v>
      </c>
      <c r="FQ20" s="1">
        <v>0.375</v>
      </c>
      <c r="FR20" s="3">
        <v>-10.58</v>
      </c>
      <c r="FS20" s="1">
        <v>0.2</v>
      </c>
      <c r="FT20" s="3">
        <v>6.910000000000001</v>
      </c>
      <c r="FU20" s="1">
        <v>0.7</v>
      </c>
      <c r="FV20" s="3">
        <v>1.39</v>
      </c>
      <c r="FW20" s="1">
        <v>0.66666666666666663</v>
      </c>
      <c r="FX20" s="3">
        <v>0.90999999999999992</v>
      </c>
      <c r="FY20" s="1">
        <v>0.5</v>
      </c>
      <c r="FZ20" s="3">
        <v>-4.3499999999999996</v>
      </c>
      <c r="GA20" s="1">
        <v>0.2</v>
      </c>
      <c r="GB20" s="3">
        <v>-0.87000000000000011</v>
      </c>
      <c r="GC20" s="1">
        <v>0.375</v>
      </c>
      <c r="GD20" s="3">
        <v>1.18</v>
      </c>
      <c r="GE20" s="1">
        <v>0.5</v>
      </c>
      <c r="GF20" s="3">
        <v>-1.1399999999999997</v>
      </c>
      <c r="GG20" s="1">
        <v>0.625</v>
      </c>
      <c r="GH20" s="3">
        <v>3.66</v>
      </c>
      <c r="GI20" s="1">
        <v>0.5</v>
      </c>
      <c r="GJ20" s="3">
        <v>-7.5600000000000014</v>
      </c>
      <c r="GK20" s="1">
        <v>0.14285714285714285</v>
      </c>
      <c r="GL20" s="3">
        <v>-1.8</v>
      </c>
      <c r="GM20" s="1">
        <v>0.33333333333333331</v>
      </c>
      <c r="GN20" s="3">
        <v>2.8400000000000003</v>
      </c>
      <c r="GO20" s="1">
        <v>0.5</v>
      </c>
      <c r="GP20" s="3">
        <v>-1.54</v>
      </c>
      <c r="GQ20" s="1">
        <v>0.33333333333333331</v>
      </c>
      <c r="GR20" s="3">
        <v>-2.37</v>
      </c>
      <c r="GS20" s="1">
        <v>0.44444444444444442</v>
      </c>
      <c r="GT20" s="3">
        <v>-12.57</v>
      </c>
      <c r="GU20" s="1">
        <v>0</v>
      </c>
      <c r="GV20" s="3">
        <v>4.84</v>
      </c>
      <c r="GW20" s="1">
        <v>1</v>
      </c>
      <c r="GX20" s="3">
        <v>1.0000000000000009E-2</v>
      </c>
      <c r="GY20" s="1">
        <v>0.75</v>
      </c>
      <c r="GZ20" s="3">
        <v>1.86</v>
      </c>
      <c r="HA20" s="1">
        <v>0.66666666666666663</v>
      </c>
      <c r="HB20" s="3">
        <v>-0.69999999999999973</v>
      </c>
      <c r="HC20" s="1">
        <v>0.25</v>
      </c>
      <c r="HD20" s="76">
        <v>0.63000000000000012</v>
      </c>
      <c r="HE20" s="1">
        <v>0.5</v>
      </c>
      <c r="HF20" s="78">
        <v>-9.9699999999999989</v>
      </c>
      <c r="HG20" s="1">
        <v>0.22222222222222221</v>
      </c>
      <c r="HH20" s="79">
        <v>1.3600000000000003</v>
      </c>
      <c r="HI20" s="1">
        <v>0.5</v>
      </c>
      <c r="HJ20" s="80">
        <v>0.55999999999999983</v>
      </c>
      <c r="HK20" s="1">
        <v>0.375</v>
      </c>
      <c r="HL20" s="81">
        <v>0.74999999999999989</v>
      </c>
      <c r="HM20" s="1">
        <v>0.55555555555555558</v>
      </c>
      <c r="HN20" s="82">
        <v>-2.65</v>
      </c>
      <c r="HO20" s="1">
        <v>0.16666666666666666</v>
      </c>
      <c r="HP20" s="83">
        <v>-2.2800000000000002</v>
      </c>
      <c r="HQ20" s="1">
        <v>0.2</v>
      </c>
      <c r="HR20" s="84">
        <v>-3.91</v>
      </c>
      <c r="HS20" s="1">
        <v>0.33333333333333331</v>
      </c>
      <c r="HT20" s="85">
        <v>-2.2199999999999998</v>
      </c>
      <c r="HU20" s="1">
        <v>0.375</v>
      </c>
      <c r="HV20" s="88">
        <v>0.94000000000000006</v>
      </c>
      <c r="HW20" s="1">
        <v>0.66666666666666663</v>
      </c>
      <c r="HX20" s="89">
        <v>0.72</v>
      </c>
      <c r="HY20" s="1">
        <v>0.5</v>
      </c>
      <c r="HZ20" s="91"/>
      <c r="IA20" s="1"/>
      <c r="IB20" s="92">
        <v>-1.88</v>
      </c>
      <c r="IC20" s="1">
        <v>0.4</v>
      </c>
      <c r="ID20" s="93">
        <v>1.69</v>
      </c>
      <c r="IE20" s="1">
        <v>1</v>
      </c>
      <c r="IF20" s="94">
        <v>-6.33</v>
      </c>
      <c r="IG20" s="1">
        <v>0</v>
      </c>
      <c r="IH20" s="97">
        <v>-4.67</v>
      </c>
      <c r="II20" s="1">
        <v>0</v>
      </c>
      <c r="IJ20" s="98">
        <v>-1.2799999999999998</v>
      </c>
      <c r="IK20" s="1">
        <v>0.5</v>
      </c>
      <c r="IL20" s="99">
        <v>-5.07</v>
      </c>
      <c r="IM20" s="1">
        <v>0</v>
      </c>
      <c r="IN20" s="100">
        <v>-1</v>
      </c>
      <c r="IO20" s="1">
        <v>0</v>
      </c>
      <c r="IP20" s="101">
        <v>-5.61</v>
      </c>
      <c r="IQ20" s="1">
        <v>0.25</v>
      </c>
      <c r="IR20" s="102"/>
      <c r="IS20" s="1"/>
      <c r="IT20" s="103"/>
      <c r="IU20" s="1"/>
      <c r="IV20" s="104">
        <v>2.59</v>
      </c>
      <c r="IW20" s="1">
        <v>1</v>
      </c>
      <c r="IX20" s="104">
        <v>1.61</v>
      </c>
      <c r="IY20" s="1">
        <v>1</v>
      </c>
      <c r="IZ20" s="105"/>
      <c r="JA20" s="1"/>
      <c r="JB20" s="112"/>
      <c r="JC20" s="1"/>
      <c r="JD20" s="113"/>
      <c r="JE20" s="1"/>
      <c r="JF20" s="114">
        <v>0.36999999999999988</v>
      </c>
      <c r="JG20" s="1">
        <v>0.33333333333333331</v>
      </c>
      <c r="JH20" s="115">
        <v>-4.370000000000001</v>
      </c>
      <c r="JI20" s="1">
        <v>0.2</v>
      </c>
      <c r="JJ20" s="116">
        <v>1.7200000000000002</v>
      </c>
      <c r="JK20" s="1">
        <v>0.5</v>
      </c>
      <c r="JL20" s="117"/>
      <c r="JM20" s="1"/>
      <c r="JN20" s="118">
        <v>-1.7399999999999998</v>
      </c>
      <c r="JO20" s="1">
        <v>0.33333333333333331</v>
      </c>
      <c r="JP20" s="119">
        <v>-1.0699999999999998</v>
      </c>
      <c r="JQ20" s="1">
        <v>0.33333333333333331</v>
      </c>
      <c r="JR20" s="120">
        <v>0.91</v>
      </c>
      <c r="JS20" s="1">
        <v>0.33333333333333331</v>
      </c>
      <c r="JT20" s="122"/>
      <c r="JU20" s="1"/>
      <c r="JV20" s="126"/>
      <c r="JW20" s="1"/>
      <c r="JX20" s="132"/>
      <c r="JY20" s="1"/>
      <c r="JZ20" s="133">
        <v>1.4500000000000002</v>
      </c>
      <c r="KA20" s="1">
        <v>0.6</v>
      </c>
      <c r="KB20" s="138">
        <v>-6.16</v>
      </c>
      <c r="KC20" s="1">
        <v>0</v>
      </c>
      <c r="KD20" s="140">
        <v>1.0499999999999998</v>
      </c>
      <c r="KE20" s="1">
        <v>0.5</v>
      </c>
      <c r="KF20" s="144">
        <v>-2.77</v>
      </c>
      <c r="KG20" s="1">
        <v>0.5</v>
      </c>
      <c r="KH20" s="148">
        <v>-1.17</v>
      </c>
      <c r="KI20" s="1">
        <v>0.33333333333333331</v>
      </c>
      <c r="KJ20" s="152">
        <v>-1.0000000000000018E-2</v>
      </c>
      <c r="KK20" s="1">
        <v>0.75</v>
      </c>
      <c r="KL20" s="156">
        <v>-1.02</v>
      </c>
      <c r="KM20" s="1">
        <v>0</v>
      </c>
      <c r="KN20" s="160">
        <v>-5.04</v>
      </c>
      <c r="KO20" s="1">
        <v>0.2857142857142857</v>
      </c>
      <c r="KP20" s="163">
        <v>-7.82</v>
      </c>
      <c r="KQ20" s="1">
        <v>0</v>
      </c>
      <c r="KR20" s="165">
        <v>1.2000000000000002</v>
      </c>
      <c r="KS20" s="1">
        <v>0.4</v>
      </c>
      <c r="KT20" s="168"/>
      <c r="KU20" s="1"/>
      <c r="KV20" s="171">
        <v>2.0900000000000003</v>
      </c>
      <c r="KW20" s="1">
        <v>0.75</v>
      </c>
      <c r="KX20" s="174">
        <v>-1.73</v>
      </c>
      <c r="KY20" s="1">
        <v>0.33333333333333331</v>
      </c>
      <c r="KZ20" s="179">
        <v>-0.39000000000000012</v>
      </c>
      <c r="LA20" s="1">
        <v>0.4</v>
      </c>
      <c r="LB20" s="183">
        <v>-12.06</v>
      </c>
      <c r="LC20" s="1">
        <v>0.14285714285714285</v>
      </c>
      <c r="LD20" s="187">
        <v>8.83</v>
      </c>
      <c r="LE20" s="1">
        <v>0.875</v>
      </c>
      <c r="LF20" s="189">
        <v>3.2800000000000002</v>
      </c>
      <c r="LG20" s="1">
        <v>1</v>
      </c>
      <c r="LH20" s="191">
        <v>-0.89999999999999991</v>
      </c>
      <c r="LI20" s="1">
        <v>0.5714285714285714</v>
      </c>
      <c r="LJ20" s="194">
        <v>-9.91</v>
      </c>
      <c r="LK20" s="1">
        <v>0.2857142857142857</v>
      </c>
      <c r="LL20" s="196"/>
      <c r="LM20" s="1"/>
      <c r="LN20" s="198">
        <v>7.0000000000000284E-2</v>
      </c>
      <c r="LO20" s="1">
        <v>0.66666666666666663</v>
      </c>
      <c r="LP20" s="200">
        <v>-2.5699999999999994</v>
      </c>
      <c r="LQ20" s="1">
        <v>0.55555555555555558</v>
      </c>
      <c r="LR20" s="202">
        <v>0.34000000000000052</v>
      </c>
      <c r="LS20" s="1">
        <v>0.66666666666666663</v>
      </c>
      <c r="LT20" s="204">
        <v>6.48</v>
      </c>
      <c r="LU20" s="1">
        <v>1</v>
      </c>
      <c r="LV20" s="206">
        <v>-7.9699999999999989</v>
      </c>
      <c r="LW20" s="1">
        <v>0.5714285714285714</v>
      </c>
      <c r="LX20" s="208">
        <v>0.14000000000000035</v>
      </c>
      <c r="LY20" s="1">
        <v>0.66666666666666663</v>
      </c>
      <c r="LZ20" s="210">
        <v>7.68</v>
      </c>
      <c r="MA20" s="1">
        <v>0.83333333333333337</v>
      </c>
      <c r="MB20" s="212">
        <v>1.6500000000000001</v>
      </c>
      <c r="MC20" s="1">
        <v>0.75</v>
      </c>
      <c r="MD20" s="214">
        <v>3.71</v>
      </c>
      <c r="ME20" s="1">
        <v>0.75</v>
      </c>
      <c r="MF20" s="216"/>
      <c r="MG20" s="1"/>
      <c r="MH20" s="218">
        <v>-7.6</v>
      </c>
      <c r="MI20" s="1">
        <v>0.42857142857142855</v>
      </c>
      <c r="MJ20" s="220">
        <v>0.26000000000000023</v>
      </c>
      <c r="MK20" s="1">
        <v>0.66666666666666663</v>
      </c>
      <c r="ML20" s="222">
        <v>-3.2300000000000004</v>
      </c>
      <c r="MM20" s="1">
        <v>0.5714285714285714</v>
      </c>
      <c r="MN20" s="224">
        <v>-9.8800000000000008</v>
      </c>
      <c r="MO20" s="1">
        <v>0.33333333333333331</v>
      </c>
      <c r="MP20" s="226">
        <v>-5.0000000000000044E-2</v>
      </c>
      <c r="MQ20" s="1">
        <v>0.66666666666666663</v>
      </c>
      <c r="MR20" s="228">
        <v>7.18</v>
      </c>
      <c r="MS20" s="1">
        <v>1</v>
      </c>
      <c r="MT20" s="230">
        <v>1.62</v>
      </c>
      <c r="MU20" s="1">
        <v>1</v>
      </c>
      <c r="MV20" s="232">
        <v>1.6300000000000003</v>
      </c>
      <c r="MW20" s="1">
        <v>0.75</v>
      </c>
      <c r="MX20" s="234">
        <v>-2.7800000000000007</v>
      </c>
      <c r="MY20" s="1">
        <v>0.5</v>
      </c>
      <c r="MZ20" s="236">
        <v>-2.9999999999999805E-2</v>
      </c>
      <c r="NA20" s="1">
        <v>0.66666666666666663</v>
      </c>
      <c r="NB20" s="238">
        <v>3.23</v>
      </c>
      <c r="NC20" s="1">
        <v>1</v>
      </c>
      <c r="ND20" s="240">
        <v>-6.4</v>
      </c>
      <c r="NE20" s="1">
        <v>0</v>
      </c>
      <c r="NF20" s="242">
        <v>-7.27</v>
      </c>
      <c r="NG20" s="1">
        <v>0.42857142857142855</v>
      </c>
      <c r="NH20" s="244">
        <v>-7.27</v>
      </c>
      <c r="NI20" s="1">
        <v>0.42857142857142855</v>
      </c>
      <c r="NJ20" s="244">
        <v>-5.82</v>
      </c>
      <c r="NK20" s="1">
        <v>0</v>
      </c>
      <c r="NL20" s="246"/>
      <c r="NM20" s="1"/>
      <c r="NN20" s="248">
        <v>-2.6900000000000004</v>
      </c>
      <c r="NO20" s="1">
        <v>0.25</v>
      </c>
      <c r="NP20" s="250">
        <v>5.58</v>
      </c>
      <c r="NQ20" s="1">
        <v>1</v>
      </c>
      <c r="NR20" s="252">
        <v>-3.19</v>
      </c>
      <c r="NS20" s="1">
        <v>0</v>
      </c>
      <c r="NT20" s="254">
        <v>-3.3499999999999996</v>
      </c>
      <c r="NU20" s="1">
        <v>0.4</v>
      </c>
      <c r="NV20" s="256">
        <v>4.83</v>
      </c>
      <c r="NW20" s="1">
        <v>1</v>
      </c>
      <c r="NX20" s="258">
        <v>-3.2</v>
      </c>
      <c r="NY20" s="1">
        <v>0.5</v>
      </c>
      <c r="NZ20" s="260">
        <v>-0.83999999999999986</v>
      </c>
      <c r="OA20" s="1">
        <v>0.5</v>
      </c>
      <c r="OB20" s="262">
        <v>-3.24</v>
      </c>
      <c r="OC20" s="1">
        <v>0</v>
      </c>
      <c r="OD20" s="264">
        <v>-1.5799999999999998</v>
      </c>
      <c r="OE20" s="1">
        <v>0.66666666666666663</v>
      </c>
      <c r="OF20" s="266">
        <v>0.6</v>
      </c>
      <c r="OG20" s="1">
        <v>1</v>
      </c>
      <c r="OH20" s="268">
        <v>-5.7900000000000009</v>
      </c>
      <c r="OI20" s="1">
        <v>0.4</v>
      </c>
      <c r="OJ20" s="270">
        <v>-2.2799999999999998</v>
      </c>
      <c r="OK20" s="1">
        <v>0.5</v>
      </c>
      <c r="OL20" s="272">
        <v>-7.02</v>
      </c>
      <c r="OM20" s="1">
        <v>0.14285714285714285</v>
      </c>
      <c r="ON20" s="274">
        <v>2.46</v>
      </c>
      <c r="OO20" s="1">
        <v>0.625</v>
      </c>
      <c r="OP20" s="276">
        <v>2.33</v>
      </c>
      <c r="OQ20" s="1">
        <v>0.5714285714285714</v>
      </c>
      <c r="OR20" s="278">
        <v>3.7500000000000009</v>
      </c>
      <c r="OS20" s="1">
        <v>0.625</v>
      </c>
      <c r="OT20" s="280">
        <v>-6.02</v>
      </c>
      <c r="OU20" s="1">
        <v>0</v>
      </c>
      <c r="OV20" s="282">
        <v>-3.58</v>
      </c>
      <c r="OW20" s="1">
        <v>0.4</v>
      </c>
      <c r="OX20" s="285">
        <v>-5.24</v>
      </c>
      <c r="OY20" s="1">
        <v>0.33333333333333331</v>
      </c>
      <c r="OZ20" s="288">
        <v>4.6899999999999995</v>
      </c>
      <c r="PA20" s="1">
        <v>0.66666666666666663</v>
      </c>
      <c r="PB20" s="292">
        <v>-2.3899999999999988</v>
      </c>
      <c r="PC20" s="1">
        <v>0.5</v>
      </c>
      <c r="PD20" s="297">
        <v>7.0200000000000005</v>
      </c>
      <c r="PE20" s="1">
        <v>1</v>
      </c>
      <c r="PF20" s="298">
        <v>0.18000000000000016</v>
      </c>
      <c r="PG20" s="1">
        <v>0.5</v>
      </c>
      <c r="PH20" s="301">
        <v>-3.24</v>
      </c>
      <c r="PI20" s="1">
        <v>0</v>
      </c>
      <c r="PJ20" s="302">
        <v>1.4900000000000002</v>
      </c>
      <c r="PK20" s="1">
        <v>0.66666666666666663</v>
      </c>
      <c r="PL20" s="309"/>
      <c r="PM20" s="1"/>
      <c r="PN20" s="313"/>
      <c r="PO20" s="1"/>
      <c r="PP20" s="313">
        <v>4.24</v>
      </c>
      <c r="PQ20" s="1">
        <v>0.8</v>
      </c>
      <c r="PR20" s="315"/>
      <c r="PS20" s="1"/>
      <c r="PT20" s="318">
        <v>5.0500000000000007</v>
      </c>
      <c r="PU20" s="1">
        <v>0.83333333333333337</v>
      </c>
      <c r="PV20" s="321">
        <v>-4.4000000000000004</v>
      </c>
      <c r="PW20" s="1">
        <v>0.5</v>
      </c>
      <c r="PX20" s="323">
        <v>-4.6399999999999997</v>
      </c>
      <c r="PY20" s="1">
        <v>0.5</v>
      </c>
      <c r="PZ20" s="325">
        <v>1.61</v>
      </c>
      <c r="QA20" s="1">
        <v>1</v>
      </c>
      <c r="QB20" s="327">
        <v>3.22</v>
      </c>
      <c r="QC20" s="1">
        <v>1</v>
      </c>
      <c r="QD20" s="334">
        <v>4.0600000000000005</v>
      </c>
      <c r="QE20" s="1">
        <v>0.66666666666666663</v>
      </c>
      <c r="QF20" s="339">
        <v>3.54</v>
      </c>
      <c r="QG20" s="1">
        <v>1</v>
      </c>
      <c r="QH20" s="345">
        <v>0.4700000000000002</v>
      </c>
      <c r="QI20" s="1">
        <v>0.75</v>
      </c>
      <c r="QJ20" s="352">
        <v>-2.25</v>
      </c>
      <c r="QK20" s="1">
        <v>0.33333333333333331</v>
      </c>
      <c r="QL20" s="356">
        <v>0.39000000000000012</v>
      </c>
      <c r="QM20" s="1">
        <v>0.5</v>
      </c>
      <c r="QN20" s="360">
        <v>-2.5599999999999996</v>
      </c>
      <c r="QO20" s="1">
        <v>0.25</v>
      </c>
      <c r="QP20" s="363">
        <v>0.83000000000000052</v>
      </c>
      <c r="QQ20" s="1">
        <v>0.66666666666666663</v>
      </c>
      <c r="QR20" s="366">
        <v>-5.22</v>
      </c>
      <c r="QS20" s="1">
        <v>0.25</v>
      </c>
      <c r="QT20" s="371"/>
      <c r="QU20" s="1"/>
      <c r="QV20" s="374">
        <v>3.8000000000000003</v>
      </c>
      <c r="QW20" s="1">
        <v>0.8</v>
      </c>
      <c r="QX20" s="378">
        <v>-2.33</v>
      </c>
      <c r="QY20" s="1">
        <v>0.5714285714285714</v>
      </c>
      <c r="QZ20" s="386">
        <v>-3.9899999999999998</v>
      </c>
      <c r="RA20" s="1">
        <v>0.4</v>
      </c>
      <c r="RB20" s="395">
        <v>-4.42</v>
      </c>
      <c r="RC20" s="1">
        <v>0.25</v>
      </c>
      <c r="RD20" s="399">
        <v>1.69</v>
      </c>
      <c r="RE20" s="1">
        <v>0.75</v>
      </c>
      <c r="RF20" s="399">
        <v>-0.85999999999999965</v>
      </c>
      <c r="RG20" s="1">
        <v>0.5</v>
      </c>
      <c r="RH20" s="403">
        <v>2.0099999999999998</v>
      </c>
      <c r="RI20" s="1">
        <v>1</v>
      </c>
      <c r="RJ20" s="405">
        <v>-6.9399999999999995</v>
      </c>
      <c r="RK20" s="1">
        <v>0.14285714285714285</v>
      </c>
      <c r="RL20" s="407"/>
      <c r="RM20" s="1"/>
      <c r="RN20" s="410">
        <v>1.3900000000000001</v>
      </c>
      <c r="RO20" s="1">
        <v>0.5</v>
      </c>
      <c r="RP20" s="412">
        <v>2.2199999999999998</v>
      </c>
      <c r="RQ20" s="1">
        <v>0.66666666666666663</v>
      </c>
      <c r="RR20" s="415">
        <v>-1.07</v>
      </c>
      <c r="RS20" s="1">
        <v>0.5</v>
      </c>
      <c r="RT20" s="417">
        <v>5.5200000000000005</v>
      </c>
      <c r="RU20" s="1">
        <v>1</v>
      </c>
      <c r="RV20" s="422">
        <v>-6.95</v>
      </c>
      <c r="RW20" s="1">
        <v>0.2</v>
      </c>
      <c r="RX20" s="427">
        <v>-2.5499999999999998</v>
      </c>
      <c r="RY20" s="1">
        <v>0.33333333333333331</v>
      </c>
      <c r="RZ20" s="433">
        <v>3.79</v>
      </c>
      <c r="SA20" s="1">
        <v>0.8</v>
      </c>
      <c r="SB20" s="436">
        <v>-5.98</v>
      </c>
      <c r="SC20" s="1">
        <v>0.42857142857142855</v>
      </c>
      <c r="SD20" s="443">
        <v>-1.7000000000000004</v>
      </c>
      <c r="SE20" s="1">
        <v>0.5</v>
      </c>
      <c r="SF20" s="445">
        <v>-3.45</v>
      </c>
      <c r="SG20" s="1">
        <v>0.4</v>
      </c>
      <c r="SH20" s="450">
        <v>9.82</v>
      </c>
      <c r="SI20" s="1">
        <v>1</v>
      </c>
      <c r="SJ20" s="452">
        <v>-1.97</v>
      </c>
      <c r="SK20" s="1">
        <v>0.5</v>
      </c>
      <c r="SL20" s="457">
        <v>-2.92</v>
      </c>
      <c r="SM20" s="1">
        <v>0.25</v>
      </c>
      <c r="SN20" s="459">
        <v>-1.4400000000000002</v>
      </c>
      <c r="SO20" s="1">
        <v>0.5</v>
      </c>
      <c r="SP20" s="461">
        <v>-3.17</v>
      </c>
      <c r="SQ20" s="1">
        <v>0.25</v>
      </c>
      <c r="SR20" s="463">
        <v>2.3199999999999998</v>
      </c>
      <c r="SS20" s="1">
        <v>0.5</v>
      </c>
      <c r="ST20" s="464">
        <v>-3.23</v>
      </c>
      <c r="SU20" s="1">
        <v>0</v>
      </c>
      <c r="SV20" s="466">
        <v>-1.36</v>
      </c>
      <c r="SW20" s="1">
        <v>0</v>
      </c>
      <c r="SX20" s="467">
        <v>-0.29999999999999982</v>
      </c>
      <c r="SY20" s="1">
        <v>0.6</v>
      </c>
      <c r="SZ20" s="469">
        <v>-0.35999999999999965</v>
      </c>
      <c r="TA20" s="1">
        <v>0.5</v>
      </c>
      <c r="TB20" s="471">
        <v>-2.38</v>
      </c>
      <c r="TC20" s="1">
        <v>0.33333333333333331</v>
      </c>
      <c r="TD20" s="472">
        <v>0.08</v>
      </c>
      <c r="TE20" s="1">
        <v>1</v>
      </c>
      <c r="TF20" s="474">
        <v>-2.0499999999999998</v>
      </c>
      <c r="TG20" s="1">
        <v>0</v>
      </c>
      <c r="TH20" s="488">
        <v>2.54</v>
      </c>
      <c r="TI20" s="1">
        <v>0.66666666666666663</v>
      </c>
      <c r="TJ20" s="489">
        <v>-3.0700000000000003</v>
      </c>
      <c r="TK20" s="1">
        <v>0.4</v>
      </c>
      <c r="TL20" s="490">
        <v>-4.1900000000000013</v>
      </c>
      <c r="TM20" s="1">
        <v>0.6</v>
      </c>
      <c r="TN20" s="495">
        <v>-4.6899999999999995</v>
      </c>
      <c r="TO20" s="1">
        <v>0.5</v>
      </c>
      <c r="TP20" s="500">
        <v>-7.23</v>
      </c>
      <c r="TQ20" s="1">
        <v>0.375</v>
      </c>
      <c r="TR20" s="511">
        <v>6.4</v>
      </c>
      <c r="TS20" s="1">
        <v>0.83333333333333337</v>
      </c>
      <c r="TT20" s="515">
        <v>-2.8999999999999995</v>
      </c>
      <c r="TU20" s="1">
        <v>0.25</v>
      </c>
      <c r="TV20" s="518">
        <v>3.3300000000000005</v>
      </c>
      <c r="TW20" s="1">
        <v>0.6</v>
      </c>
      <c r="TX20" s="521"/>
      <c r="TY20" s="1"/>
      <c r="TZ20" s="524">
        <v>-7.72</v>
      </c>
      <c r="UA20" s="1">
        <v>0.25</v>
      </c>
      <c r="UB20" s="527">
        <v>-4.43</v>
      </c>
      <c r="UC20" s="1">
        <v>0</v>
      </c>
      <c r="UD20" s="530">
        <v>-1.3499999999999996</v>
      </c>
      <c r="UE20" s="1">
        <v>0.55555555555555558</v>
      </c>
      <c r="UF20" s="533">
        <v>-2.4600000000000004</v>
      </c>
      <c r="UG20" s="1">
        <v>0.4</v>
      </c>
      <c r="UH20" s="536">
        <v>-4.05</v>
      </c>
      <c r="UI20" s="1">
        <v>0.25</v>
      </c>
      <c r="UJ20" s="539">
        <v>0.89</v>
      </c>
      <c r="UK20" s="1">
        <v>0.5</v>
      </c>
      <c r="UL20" s="540">
        <v>-2.5</v>
      </c>
      <c r="UM20" s="1">
        <v>0</v>
      </c>
      <c r="UN20" s="543">
        <v>2.5299999999999998</v>
      </c>
      <c r="UO20" s="1">
        <v>0.4</v>
      </c>
      <c r="UP20" s="544">
        <v>-1.2300000000000002</v>
      </c>
      <c r="UQ20" s="1">
        <v>0.4</v>
      </c>
      <c r="UR20" s="551">
        <v>1.62</v>
      </c>
      <c r="US20" s="1">
        <v>1</v>
      </c>
      <c r="UT20" s="551">
        <v>-3.65</v>
      </c>
      <c r="UU20" s="1">
        <v>0.33333333333333331</v>
      </c>
      <c r="UV20" s="562">
        <v>5.0100000000000007</v>
      </c>
      <c r="UW20" s="1">
        <v>1</v>
      </c>
      <c r="UX20" s="566">
        <v>1.47</v>
      </c>
      <c r="UY20" s="1">
        <v>1</v>
      </c>
      <c r="UZ20" s="568">
        <v>-8.0000000000000016E-2</v>
      </c>
      <c r="VA20" s="1">
        <v>0.4</v>
      </c>
      <c r="VB20" s="572">
        <v>3.99</v>
      </c>
      <c r="VC20" s="1">
        <v>1</v>
      </c>
      <c r="VD20" s="576">
        <v>-0.91999999999999993</v>
      </c>
      <c r="VE20" s="1">
        <v>0.66666666666666663</v>
      </c>
      <c r="VF20" s="580">
        <v>-0.73</v>
      </c>
      <c r="VG20" s="1">
        <v>0.75</v>
      </c>
      <c r="VH20" s="584">
        <v>-9.9999999999999992E-2</v>
      </c>
      <c r="VI20" s="1">
        <v>0</v>
      </c>
      <c r="VJ20" s="589">
        <v>7.0000000000000007E-2</v>
      </c>
      <c r="VK20" s="1">
        <v>0.4</v>
      </c>
      <c r="VL20" s="593">
        <v>1.9100000000000001</v>
      </c>
      <c r="VM20" s="1">
        <v>1</v>
      </c>
      <c r="VN20" s="597">
        <v>-1.4999999999999998</v>
      </c>
      <c r="VO20" s="1">
        <v>0.6</v>
      </c>
      <c r="VP20" s="601">
        <v>2.9</v>
      </c>
      <c r="VQ20" s="1">
        <v>0.5</v>
      </c>
      <c r="VR20" s="603">
        <v>-2.12</v>
      </c>
      <c r="VS20" s="1">
        <v>0.5</v>
      </c>
      <c r="VT20" s="607">
        <v>3.5999999999999996</v>
      </c>
      <c r="VU20" s="1">
        <v>0.7142857142857143</v>
      </c>
      <c r="VV20" s="609">
        <v>-7.2</v>
      </c>
      <c r="VW20" s="1">
        <v>0.16666666666666666</v>
      </c>
      <c r="VX20" s="613">
        <v>2.2799999999999998</v>
      </c>
      <c r="VY20" s="1">
        <v>1</v>
      </c>
      <c r="VZ20" s="617">
        <v>0.67000000000000015</v>
      </c>
      <c r="WA20" s="1">
        <v>0.5</v>
      </c>
      <c r="WB20" s="619"/>
      <c r="WC20" s="1"/>
      <c r="WD20" s="624">
        <v>-4.45</v>
      </c>
      <c r="WE20" s="1">
        <v>0.2</v>
      </c>
      <c r="WF20" s="626">
        <v>0.90000000000000013</v>
      </c>
      <c r="WG20" s="1">
        <v>0.5</v>
      </c>
      <c r="WH20" s="630">
        <v>6.37</v>
      </c>
      <c r="WI20" s="1">
        <v>0.8</v>
      </c>
      <c r="WJ20" s="636">
        <v>-2.0500000000000003</v>
      </c>
      <c r="WK20" s="1">
        <v>0.5</v>
      </c>
      <c r="WL20" s="638">
        <v>-1.8100000000000005</v>
      </c>
      <c r="WM20" s="1">
        <v>0.33333333333333331</v>
      </c>
      <c r="WN20" s="642">
        <v>0.96000000000000019</v>
      </c>
      <c r="WO20" s="1">
        <v>0.33333333333333331</v>
      </c>
      <c r="WP20" s="646">
        <v>-1.54</v>
      </c>
      <c r="WQ20" s="1">
        <v>0.2</v>
      </c>
      <c r="WR20" s="652">
        <v>0.89000000000000012</v>
      </c>
      <c r="WS20" s="1">
        <v>0.4</v>
      </c>
      <c r="WT20" s="659">
        <v>-2.7299999999999995</v>
      </c>
      <c r="WU20" s="1">
        <v>0.25</v>
      </c>
      <c r="WV20" s="659">
        <v>-3.7</v>
      </c>
      <c r="WW20" s="1">
        <v>0.33333333333333331</v>
      </c>
      <c r="WX20" s="672">
        <v>-7.7999999999999989</v>
      </c>
      <c r="WY20" s="1">
        <v>0.36363636363636365</v>
      </c>
      <c r="WZ20" s="677"/>
      <c r="XA20" s="1"/>
      <c r="XB20" s="681">
        <v>-2.58</v>
      </c>
      <c r="XC20" s="1">
        <v>0.33333333333333331</v>
      </c>
      <c r="XD20" s="683">
        <v>3.05</v>
      </c>
      <c r="XE20" s="1">
        <v>0.75</v>
      </c>
      <c r="XF20" s="687">
        <v>-1.81</v>
      </c>
      <c r="XG20" s="1">
        <v>0.5</v>
      </c>
      <c r="XH20" s="689">
        <v>0.59000000000000008</v>
      </c>
      <c r="XI20" s="1">
        <v>0.5</v>
      </c>
      <c r="XJ20" s="696">
        <v>-12.450000000000001</v>
      </c>
      <c r="XK20" s="1">
        <v>0.25</v>
      </c>
      <c r="XL20" s="696">
        <v>0</v>
      </c>
      <c r="XM20" s="1" t="e">
        <v>#DIV/0!</v>
      </c>
      <c r="XN20" s="696">
        <v>-10.590000000000002</v>
      </c>
      <c r="XO20" s="1">
        <v>0.14285714285714285</v>
      </c>
      <c r="XP20" s="700">
        <v>-1.8299999999999996</v>
      </c>
      <c r="XQ20" s="1">
        <v>0.5</v>
      </c>
      <c r="XR20" s="705">
        <v>-24.980000000000004</v>
      </c>
      <c r="XS20" s="1">
        <v>0.16666666666666666</v>
      </c>
      <c r="XT20" s="709">
        <v>0.2400000000000001</v>
      </c>
      <c r="XU20" s="1">
        <v>0.4</v>
      </c>
      <c r="XV20" s="715"/>
      <c r="XW20" s="1"/>
    </row>
    <row r="21" spans="2:647" x14ac:dyDescent="0.25">
      <c r="B21" s="755"/>
      <c r="C21" s="764"/>
      <c r="D21" s="757" t="s">
        <v>16</v>
      </c>
      <c r="E21" s="757"/>
      <c r="F21" s="57">
        <v>0.3</v>
      </c>
      <c r="G21" s="768"/>
      <c r="H21" s="3">
        <v>5.7083333333333357</v>
      </c>
      <c r="I21" s="1">
        <v>0.8</v>
      </c>
      <c r="J21" s="3">
        <v>-0.17749999999999932</v>
      </c>
      <c r="K21" s="1">
        <v>0.73333333333333328</v>
      </c>
      <c r="L21" s="3"/>
      <c r="M21" s="1"/>
      <c r="N21" s="3">
        <v>-3.6608333333333332</v>
      </c>
      <c r="O21" s="1">
        <v>0.53333333333333333</v>
      </c>
      <c r="P21" s="3">
        <v>5.0908333333333342</v>
      </c>
      <c r="Q21" s="1">
        <v>0.73333333333333328</v>
      </c>
      <c r="R21" s="3">
        <v>7.0191666666666679</v>
      </c>
      <c r="S21" s="1">
        <v>0.73333333333333328</v>
      </c>
      <c r="T21" s="3"/>
      <c r="U21" s="1"/>
      <c r="V21" s="3">
        <v>-6.8966666666666656</v>
      </c>
      <c r="W21" s="1">
        <v>0.46153846153846156</v>
      </c>
      <c r="X21" s="3"/>
      <c r="Y21" s="1"/>
      <c r="Z21" s="3">
        <v>-12.608333333333334</v>
      </c>
      <c r="AA21" s="1">
        <v>0.4</v>
      </c>
      <c r="AB21" s="3"/>
      <c r="AC21" s="1"/>
      <c r="AD21" s="3">
        <v>6.0608333333333322</v>
      </c>
      <c r="AE21" s="1">
        <v>0.8</v>
      </c>
      <c r="AF21" s="3"/>
      <c r="AG21" s="1"/>
      <c r="AH21" s="3">
        <v>5.515833333333334</v>
      </c>
      <c r="AI21" s="1">
        <v>0.8666666666666667</v>
      </c>
      <c r="AJ21" s="3">
        <v>4.440833333333333</v>
      </c>
      <c r="AK21" s="1">
        <v>0.73333333333333328</v>
      </c>
      <c r="AL21" s="3">
        <v>12.506666666666666</v>
      </c>
      <c r="AM21" s="1">
        <v>1</v>
      </c>
      <c r="AN21" s="3"/>
      <c r="AO21" s="1"/>
      <c r="AP21" s="3">
        <v>-4.6783333333333337</v>
      </c>
      <c r="AQ21" s="1">
        <v>0.6</v>
      </c>
      <c r="AR21" s="3">
        <v>-11.461666666666666</v>
      </c>
      <c r="AS21" s="1">
        <v>0.33333333333333331</v>
      </c>
      <c r="AT21" s="3"/>
      <c r="AU21" s="1"/>
      <c r="AV21" s="3">
        <v>-0.88749999999999962</v>
      </c>
      <c r="AW21" s="1">
        <v>0.66666666666666663</v>
      </c>
      <c r="AX21" s="3">
        <v>3.2499999999999751E-2</v>
      </c>
      <c r="AY21" s="1">
        <v>0.7142857142857143</v>
      </c>
      <c r="AZ21" s="3">
        <v>-13.9475</v>
      </c>
      <c r="BA21" s="1">
        <v>0.33333333333333331</v>
      </c>
      <c r="BB21" s="3">
        <v>6.640833333333334</v>
      </c>
      <c r="BC21" s="1">
        <v>0.7857142857142857</v>
      </c>
      <c r="BD21" s="3"/>
      <c r="BE21" s="1"/>
      <c r="BF21" s="3">
        <v>-6.8591666666666677</v>
      </c>
      <c r="BG21" s="1">
        <v>0.5</v>
      </c>
      <c r="BH21" s="3">
        <v>-4.7333333333333334</v>
      </c>
      <c r="BI21" s="1">
        <v>0.6</v>
      </c>
      <c r="BJ21" s="3">
        <v>5.8741666666666674</v>
      </c>
      <c r="BK21" s="1">
        <v>0.8666666666666667</v>
      </c>
      <c r="BL21" s="3">
        <v>9.7816666666666681</v>
      </c>
      <c r="BM21" s="1">
        <v>0.8666666666666667</v>
      </c>
      <c r="BN21" s="3"/>
      <c r="BO21" s="1"/>
      <c r="BP21" s="3">
        <v>-1.4874999999999992</v>
      </c>
      <c r="BQ21" s="1">
        <v>0.53333333333333333</v>
      </c>
      <c r="BR21" s="3">
        <v>2.1808333333333341</v>
      </c>
      <c r="BS21" s="1">
        <v>0.66666666666666663</v>
      </c>
      <c r="BT21" s="3"/>
      <c r="BU21" s="1"/>
      <c r="BV21" s="3"/>
      <c r="BW21" s="1"/>
      <c r="BX21" s="3">
        <v>-8.1958333333333329</v>
      </c>
      <c r="BY21" s="1">
        <v>0.46666666666666667</v>
      </c>
      <c r="BZ21" s="3">
        <v>6.354166666666667</v>
      </c>
      <c r="CA21" s="1">
        <v>0.8666666666666667</v>
      </c>
      <c r="CB21" s="3">
        <v>6.1741666666666681</v>
      </c>
      <c r="CC21" s="1">
        <v>0.8666666666666667</v>
      </c>
      <c r="CD21" s="3">
        <v>6.0941666666666672</v>
      </c>
      <c r="CE21" s="1">
        <v>0.8666666666666667</v>
      </c>
      <c r="CF21" s="3">
        <v>-3.1599999999999997</v>
      </c>
      <c r="CG21" s="1">
        <v>0.6</v>
      </c>
      <c r="CH21" s="3"/>
      <c r="CI21" s="1"/>
      <c r="CJ21" s="3">
        <v>-6.9633333333333312</v>
      </c>
      <c r="CK21" s="1">
        <v>0.4</v>
      </c>
      <c r="CL21" s="3">
        <v>1.0000000000000007</v>
      </c>
      <c r="CM21" s="1">
        <v>0.6428571428571429</v>
      </c>
      <c r="CN21" s="3"/>
      <c r="CO21" s="1"/>
      <c r="CP21" s="3">
        <v>-2.7908333333333317</v>
      </c>
      <c r="CQ21" s="1">
        <v>0.6</v>
      </c>
      <c r="CR21" s="3">
        <v>-12.778333333333331</v>
      </c>
      <c r="CS21" s="1">
        <v>0.35714285714285715</v>
      </c>
      <c r="CT21" s="3">
        <v>-1.8349999999999997</v>
      </c>
      <c r="CU21" s="1">
        <v>0.5714285714285714</v>
      </c>
      <c r="CV21" s="3">
        <v>-6.1025</v>
      </c>
      <c r="CW21" s="1">
        <v>0.46666666666666667</v>
      </c>
      <c r="CX21" s="3">
        <v>2.9833333333333329</v>
      </c>
      <c r="CY21" s="1">
        <v>0.7857142857142857</v>
      </c>
      <c r="CZ21" s="3">
        <v>6.5100000000000007</v>
      </c>
      <c r="DA21" s="1">
        <v>0.8666666666666667</v>
      </c>
      <c r="DB21" s="3">
        <v>-13.215833333333334</v>
      </c>
      <c r="DC21" s="1">
        <v>0.4</v>
      </c>
      <c r="DD21" s="3">
        <v>0.9008333333333326</v>
      </c>
      <c r="DE21" s="1">
        <v>0.73333333333333328</v>
      </c>
      <c r="DF21" s="3">
        <v>2.7891666666666666</v>
      </c>
      <c r="DG21" s="1">
        <v>0.73333333333333328</v>
      </c>
      <c r="DH21" s="3">
        <v>6.5824999999999996</v>
      </c>
      <c r="DI21" s="1">
        <v>0.8666666666666667</v>
      </c>
      <c r="DJ21" s="3">
        <v>-3.8525000000000005</v>
      </c>
      <c r="DK21" s="1">
        <v>0.53333333333333333</v>
      </c>
      <c r="DL21" s="3">
        <v>-3.8441666666666658</v>
      </c>
      <c r="DM21" s="1">
        <v>0.6</v>
      </c>
      <c r="DN21" s="3">
        <v>-4.0708333333333337</v>
      </c>
      <c r="DO21" s="1">
        <v>0.6</v>
      </c>
      <c r="DP21" s="3">
        <v>-1.6241666666666665</v>
      </c>
      <c r="DQ21" s="1">
        <v>0.6</v>
      </c>
      <c r="DR21" s="3">
        <v>2.0846666666666662</v>
      </c>
      <c r="DS21" s="1">
        <v>0.6</v>
      </c>
      <c r="DT21" s="3"/>
      <c r="DU21" s="1"/>
      <c r="DV21" s="3">
        <v>7.9491666666666676</v>
      </c>
      <c r="DW21" s="1">
        <v>0.8666666666666667</v>
      </c>
      <c r="DX21" s="3">
        <v>7.9491666666666676</v>
      </c>
      <c r="DY21" s="1">
        <v>0.8666666666666667</v>
      </c>
      <c r="DZ21" s="3">
        <v>-0.97250000000000025</v>
      </c>
      <c r="EA21" s="1">
        <v>0.6428571428571429</v>
      </c>
      <c r="EB21" s="3">
        <v>1.6258333333333337</v>
      </c>
      <c r="EC21" s="1">
        <v>0.66666666666666663</v>
      </c>
      <c r="ED21" s="3">
        <v>-5.5000000000000125E-2</v>
      </c>
      <c r="EE21" s="1">
        <v>0.6</v>
      </c>
      <c r="EF21" s="3">
        <v>-19.923333333333336</v>
      </c>
      <c r="EG21" s="1">
        <v>0.26666666666666666</v>
      </c>
      <c r="EH21" s="3">
        <v>-1.8808333333333331</v>
      </c>
      <c r="EI21" s="1">
        <v>0.53333333333333333</v>
      </c>
      <c r="EJ21" s="3">
        <v>8.6616666666666671</v>
      </c>
      <c r="EK21" s="1">
        <v>0.9285714285714286</v>
      </c>
      <c r="EL21" s="3"/>
      <c r="EM21" s="1"/>
      <c r="EN21" s="3">
        <v>-3.6666666666665293E-2</v>
      </c>
      <c r="EO21" s="1">
        <v>0.66666666666666663</v>
      </c>
      <c r="EP21" s="3"/>
      <c r="EQ21" s="1"/>
      <c r="ER21" s="3">
        <v>-3.9833333333333338</v>
      </c>
      <c r="ES21" s="1">
        <v>0.5</v>
      </c>
      <c r="ET21" s="3">
        <v>-2.1258333333333335</v>
      </c>
      <c r="EU21" s="1">
        <v>0.53333333333333333</v>
      </c>
      <c r="EV21" s="3">
        <v>-12.915000000000001</v>
      </c>
      <c r="EW21" s="1">
        <v>0.33333333333333331</v>
      </c>
      <c r="EX21" s="3">
        <v>1.7166666666666668</v>
      </c>
      <c r="EY21" s="1">
        <v>0.73333333333333328</v>
      </c>
      <c r="EZ21" s="3">
        <v>3.5558333333333327</v>
      </c>
      <c r="FA21" s="1">
        <v>0.78666666666666674</v>
      </c>
      <c r="FB21" s="3">
        <v>14.11</v>
      </c>
      <c r="FC21" s="1">
        <v>0.8</v>
      </c>
      <c r="FD21" s="3">
        <v>-8.39</v>
      </c>
      <c r="FE21" s="1">
        <v>0.6</v>
      </c>
      <c r="FF21" s="3">
        <v>-6.6100000000000012</v>
      </c>
      <c r="FG21" s="1">
        <v>0.5714285714285714</v>
      </c>
      <c r="FH21" s="3">
        <v>-3.9599999999999986</v>
      </c>
      <c r="FI21" s="1">
        <v>0.6</v>
      </c>
      <c r="FJ21" s="3">
        <v>-34.269999999999989</v>
      </c>
      <c r="FK21" s="1">
        <v>0.46666666666666667</v>
      </c>
      <c r="FL21" s="3">
        <v>-44.830000000000005</v>
      </c>
      <c r="FM21" s="1">
        <v>0.4</v>
      </c>
      <c r="FN21" s="3">
        <v>-3.9600000000000009</v>
      </c>
      <c r="FO21" s="1">
        <v>0.66666666666666663</v>
      </c>
      <c r="FP21" s="3">
        <v>-5.4899999999999993</v>
      </c>
      <c r="FQ21" s="1">
        <v>0.6</v>
      </c>
      <c r="FR21" s="3">
        <v>-19.119999999999994</v>
      </c>
      <c r="FS21" s="1">
        <v>0.6</v>
      </c>
      <c r="FT21" s="3">
        <v>15.190000000000001</v>
      </c>
      <c r="FU21" s="1">
        <v>0.73333333333333328</v>
      </c>
      <c r="FV21" s="3">
        <v>-2.97</v>
      </c>
      <c r="FW21" s="1">
        <v>0.5714285714285714</v>
      </c>
      <c r="FX21" s="3">
        <v>-23.709999999999997</v>
      </c>
      <c r="FY21" s="1">
        <v>0.46666666666666667</v>
      </c>
      <c r="FZ21" s="3">
        <v>11.030000000000001</v>
      </c>
      <c r="GA21" s="1">
        <v>0.8</v>
      </c>
      <c r="GB21" s="3">
        <v>-32.32</v>
      </c>
      <c r="GC21" s="1">
        <v>0.33333333333333331</v>
      </c>
      <c r="GD21" s="3">
        <v>-22.35</v>
      </c>
      <c r="GE21" s="1">
        <v>0.53846153846153844</v>
      </c>
      <c r="GF21" s="3">
        <v>-2.5399999999999991</v>
      </c>
      <c r="GG21" s="1">
        <v>0.46666666666666667</v>
      </c>
      <c r="GH21" s="3">
        <v>-0.22999999999999954</v>
      </c>
      <c r="GI21" s="1">
        <v>0.66666666666666663</v>
      </c>
      <c r="GJ21" s="3">
        <v>-1.0799999999999996</v>
      </c>
      <c r="GK21" s="1">
        <v>0.6428571428571429</v>
      </c>
      <c r="GL21" s="3">
        <v>-14.559999999999997</v>
      </c>
      <c r="GM21" s="1">
        <v>0.6</v>
      </c>
      <c r="GN21" s="3">
        <v>-36.61</v>
      </c>
      <c r="GO21" s="1">
        <v>0.35714285714285715</v>
      </c>
      <c r="GP21" s="3">
        <v>-20.530000000000005</v>
      </c>
      <c r="GQ21" s="1">
        <v>0.5</v>
      </c>
      <c r="GR21" s="3">
        <v>-6.269999999999996</v>
      </c>
      <c r="GS21" s="1">
        <v>0.6</v>
      </c>
      <c r="GT21" s="3">
        <v>-40.74</v>
      </c>
      <c r="GU21" s="1">
        <v>0.33333333333333331</v>
      </c>
      <c r="GV21" s="3">
        <v>19.489999999999998</v>
      </c>
      <c r="GW21" s="1">
        <v>0.8666666666666667</v>
      </c>
      <c r="GX21" s="3">
        <v>-48.05</v>
      </c>
      <c r="GY21" s="1">
        <v>0.33333333333333331</v>
      </c>
      <c r="GZ21" s="3">
        <v>11.08</v>
      </c>
      <c r="HA21" s="1">
        <v>0.8</v>
      </c>
      <c r="HB21" s="3">
        <v>22.909999999999993</v>
      </c>
      <c r="HC21" s="1">
        <v>0.8666666666666667</v>
      </c>
      <c r="HD21" s="76">
        <v>20.29</v>
      </c>
      <c r="HE21" s="1">
        <v>0.8666666666666667</v>
      </c>
      <c r="HF21" s="78">
        <v>-6.080000000000001</v>
      </c>
      <c r="HG21" s="1">
        <v>0.66666666666666663</v>
      </c>
      <c r="HH21" s="79">
        <v>22.710000000000004</v>
      </c>
      <c r="HI21" s="1">
        <v>0.8666666666666667</v>
      </c>
      <c r="HJ21" s="80">
        <v>8.5999999999999979</v>
      </c>
      <c r="HK21" s="1">
        <v>0.66666666666666663</v>
      </c>
      <c r="HL21" s="81">
        <v>6.7099999999999991</v>
      </c>
      <c r="HM21" s="1">
        <v>0.53333333333333333</v>
      </c>
      <c r="HN21" s="82">
        <v>-13.17</v>
      </c>
      <c r="HO21" s="1">
        <v>0.53333333333333333</v>
      </c>
      <c r="HP21" s="83">
        <v>-6.9399999999999995</v>
      </c>
      <c r="HQ21" s="1">
        <v>0.5714285714285714</v>
      </c>
      <c r="HR21" s="84">
        <v>-10.580000000000002</v>
      </c>
      <c r="HS21" s="1">
        <v>0.4</v>
      </c>
      <c r="HT21" s="85">
        <v>13.489999999999998</v>
      </c>
      <c r="HU21" s="1">
        <v>0.8</v>
      </c>
      <c r="HV21" s="88">
        <v>2.379999999999999</v>
      </c>
      <c r="HW21" s="1">
        <v>0.7142857142857143</v>
      </c>
      <c r="HX21" s="89">
        <v>18.830000000000002</v>
      </c>
      <c r="HY21" s="1">
        <v>0.73333333333333328</v>
      </c>
      <c r="HZ21" s="91"/>
      <c r="IA21" s="1"/>
      <c r="IB21" s="92">
        <v>30.900000000000009</v>
      </c>
      <c r="IC21" s="1">
        <v>0.93333333333333335</v>
      </c>
      <c r="ID21" s="93">
        <v>-9.77</v>
      </c>
      <c r="IE21" s="1">
        <v>0.6</v>
      </c>
      <c r="IF21" s="94">
        <v>3.7799999999999976</v>
      </c>
      <c r="IG21" s="1">
        <v>0.73333333333333328</v>
      </c>
      <c r="IH21" s="97">
        <v>8.4700000000000006</v>
      </c>
      <c r="II21" s="1">
        <v>0.8</v>
      </c>
      <c r="IJ21" s="98">
        <v>-26.279999999999998</v>
      </c>
      <c r="IK21" s="1">
        <v>0.46666666666666667</v>
      </c>
      <c r="IL21" s="99">
        <v>-22.830000000000002</v>
      </c>
      <c r="IM21" s="1">
        <v>0.53333333333333333</v>
      </c>
      <c r="IN21" s="100">
        <v>-23.05</v>
      </c>
      <c r="IO21" s="1">
        <v>0.42857142857142855</v>
      </c>
      <c r="IP21" s="101">
        <v>-42.109999999999992</v>
      </c>
      <c r="IQ21" s="1">
        <v>0.2857142857142857</v>
      </c>
      <c r="IR21" s="102"/>
      <c r="IS21" s="1"/>
      <c r="IT21" s="103"/>
      <c r="IU21" s="1"/>
      <c r="IV21" s="104">
        <v>33.68</v>
      </c>
      <c r="IW21" s="1">
        <v>0.93333333333333335</v>
      </c>
      <c r="IX21" s="104">
        <v>-0.58999999999999964</v>
      </c>
      <c r="IY21" s="1">
        <v>0.6428571428571429</v>
      </c>
      <c r="IZ21" s="105"/>
      <c r="JA21" s="1"/>
      <c r="JB21" s="112"/>
      <c r="JC21" s="1"/>
      <c r="JD21" s="113"/>
      <c r="JE21" s="1"/>
      <c r="JF21" s="114">
        <v>19.809999999999999</v>
      </c>
      <c r="JG21" s="1">
        <v>0.8666666666666667</v>
      </c>
      <c r="JH21" s="115">
        <v>-8.5500000000000007</v>
      </c>
      <c r="JI21" s="1">
        <v>0.6</v>
      </c>
      <c r="JJ21" s="116">
        <v>13.120000000000001</v>
      </c>
      <c r="JK21" s="1">
        <v>0.66666666666666663</v>
      </c>
      <c r="JL21" s="117"/>
      <c r="JM21" s="1"/>
      <c r="JN21" s="118">
        <v>-34.01</v>
      </c>
      <c r="JO21" s="1">
        <v>0.26666666666666666</v>
      </c>
      <c r="JP21" s="119">
        <v>-34.35</v>
      </c>
      <c r="JQ21" s="1">
        <v>0.4</v>
      </c>
      <c r="JR21" s="120">
        <v>-13.009999999999998</v>
      </c>
      <c r="JS21" s="1">
        <v>0.6</v>
      </c>
      <c r="JT21" s="122"/>
      <c r="JU21" s="1"/>
      <c r="JV21" s="126"/>
      <c r="JW21" s="1"/>
      <c r="JX21" s="132"/>
      <c r="JY21" s="1"/>
      <c r="JZ21" s="133">
        <v>-8.5300000000000047</v>
      </c>
      <c r="KA21" s="1">
        <v>0.6</v>
      </c>
      <c r="KB21" s="138">
        <v>-25.490000000000002</v>
      </c>
      <c r="KC21" s="1">
        <v>0.5</v>
      </c>
      <c r="KD21" s="140">
        <v>-14.549999999999997</v>
      </c>
      <c r="KE21" s="1">
        <v>0.6</v>
      </c>
      <c r="KF21" s="144">
        <v>8.0999999999999979</v>
      </c>
      <c r="KG21" s="1">
        <v>0.66666666666666663</v>
      </c>
      <c r="KH21" s="148">
        <v>-13.170000000000002</v>
      </c>
      <c r="KI21" s="1">
        <v>0.53333333333333333</v>
      </c>
      <c r="KJ21" s="152">
        <v>15.690000000000001</v>
      </c>
      <c r="KK21" s="1">
        <v>0.8</v>
      </c>
      <c r="KL21" s="156">
        <v>-61.79</v>
      </c>
      <c r="KM21" s="1">
        <v>0.2</v>
      </c>
      <c r="KN21" s="160">
        <v>-9.2900000000000009</v>
      </c>
      <c r="KO21" s="1">
        <v>0.53333333333333333</v>
      </c>
      <c r="KP21" s="163">
        <v>-18.62</v>
      </c>
      <c r="KQ21" s="1">
        <v>0.53333333333333333</v>
      </c>
      <c r="KR21" s="165">
        <v>-20.870000000000012</v>
      </c>
      <c r="KS21" s="1">
        <v>0.53333333333333333</v>
      </c>
      <c r="KT21" s="168"/>
      <c r="KU21" s="1"/>
      <c r="KV21" s="171">
        <v>10.649999999999997</v>
      </c>
      <c r="KW21" s="1">
        <v>0.8</v>
      </c>
      <c r="KX21" s="174">
        <v>25.200000000000003</v>
      </c>
      <c r="KY21" s="1">
        <v>0.8666666666666667</v>
      </c>
      <c r="KZ21" s="179">
        <v>-14.37</v>
      </c>
      <c r="LA21" s="1">
        <v>0.6</v>
      </c>
      <c r="LB21" s="183">
        <v>-22.64</v>
      </c>
      <c r="LC21" s="1">
        <v>0.53333333333333333</v>
      </c>
      <c r="LD21" s="187">
        <v>37.36</v>
      </c>
      <c r="LE21" s="1">
        <v>1</v>
      </c>
      <c r="LF21" s="189">
        <v>11.020000000000001</v>
      </c>
      <c r="LG21" s="1">
        <v>0.8</v>
      </c>
      <c r="LH21" s="191">
        <v>-6.0300000000000011</v>
      </c>
      <c r="LI21" s="1">
        <v>0.66666666666666663</v>
      </c>
      <c r="LJ21" s="194">
        <v>-4.669999999999999</v>
      </c>
      <c r="LK21" s="1">
        <v>0.66666666666666663</v>
      </c>
      <c r="LL21" s="196"/>
      <c r="LM21" s="1"/>
      <c r="LN21" s="198">
        <v>2.9299999999999988</v>
      </c>
      <c r="LO21" s="1">
        <v>0.73333333333333328</v>
      </c>
      <c r="LP21" s="200">
        <v>2.2200000000000011</v>
      </c>
      <c r="LQ21" s="1">
        <v>0.73333333333333328</v>
      </c>
      <c r="LR21" s="202">
        <v>-8.06</v>
      </c>
      <c r="LS21" s="1">
        <v>0.66666666666666663</v>
      </c>
      <c r="LT21" s="204">
        <v>2.4600000000000004</v>
      </c>
      <c r="LU21" s="1">
        <v>0.73333333333333328</v>
      </c>
      <c r="LV21" s="206">
        <v>-0.93999999999999728</v>
      </c>
      <c r="LW21" s="1">
        <v>0.7142857142857143</v>
      </c>
      <c r="LX21" s="208">
        <v>-4.969999999999998</v>
      </c>
      <c r="LY21" s="1">
        <v>0.66666666666666663</v>
      </c>
      <c r="LZ21" s="210">
        <v>-2.609999999999999</v>
      </c>
      <c r="MA21" s="1">
        <v>0.6875</v>
      </c>
      <c r="MB21" s="212">
        <v>4.5100000000000016</v>
      </c>
      <c r="MC21" s="1">
        <v>0.73333333333333328</v>
      </c>
      <c r="MD21" s="214">
        <v>6.6700000000000017</v>
      </c>
      <c r="ME21" s="1">
        <v>0.75</v>
      </c>
      <c r="MF21" s="216">
        <v>-19.240000000000002</v>
      </c>
      <c r="MG21" s="1">
        <v>0.5</v>
      </c>
      <c r="MH21" s="218">
        <v>0.87999999999999945</v>
      </c>
      <c r="MI21" s="1">
        <v>0.7142857142857143</v>
      </c>
      <c r="MJ21" s="220">
        <v>2.3099999999999996</v>
      </c>
      <c r="MK21" s="1">
        <v>0.75</v>
      </c>
      <c r="ML21" s="222">
        <v>-28.75</v>
      </c>
      <c r="MM21" s="1">
        <v>0.5</v>
      </c>
      <c r="MN21" s="224">
        <v>-20.5</v>
      </c>
      <c r="MO21" s="1">
        <v>0.5625</v>
      </c>
      <c r="MP21" s="226">
        <v>30.71</v>
      </c>
      <c r="MQ21" s="1">
        <v>0.9375</v>
      </c>
      <c r="MR21" s="228">
        <v>-5.3699999999999983</v>
      </c>
      <c r="MS21" s="1">
        <v>0.66666666666666663</v>
      </c>
      <c r="MT21" s="230">
        <v>-28.360000000000007</v>
      </c>
      <c r="MU21" s="1">
        <v>0.46666666666666667</v>
      </c>
      <c r="MV21" s="232">
        <v>-4.5399999999999991</v>
      </c>
      <c r="MW21" s="1">
        <v>0.66666666666666663</v>
      </c>
      <c r="MX21" s="234">
        <v>-13.36</v>
      </c>
      <c r="MY21" s="1">
        <v>0.6</v>
      </c>
      <c r="MZ21" s="236">
        <v>12.459999999999997</v>
      </c>
      <c r="NA21" s="1">
        <v>0.8</v>
      </c>
      <c r="NB21" s="238">
        <v>-14.399999999999997</v>
      </c>
      <c r="NC21" s="1">
        <v>0.6</v>
      </c>
      <c r="ND21" s="240">
        <v>-13.95</v>
      </c>
      <c r="NE21" s="1">
        <v>0.6</v>
      </c>
      <c r="NF21" s="242">
        <v>-14.21</v>
      </c>
      <c r="NG21" s="1">
        <v>0.6</v>
      </c>
      <c r="NH21" s="244">
        <v>-14.21</v>
      </c>
      <c r="NI21" s="1">
        <v>0.6</v>
      </c>
      <c r="NJ21" s="244">
        <v>2.8800000000000003</v>
      </c>
      <c r="NK21" s="1">
        <v>0.73333333333333328</v>
      </c>
      <c r="NL21" s="246"/>
      <c r="NM21" s="1"/>
      <c r="NN21" s="248">
        <v>-29.27</v>
      </c>
      <c r="NO21" s="1">
        <v>0.42857142857142855</v>
      </c>
      <c r="NP21" s="250">
        <v>-12.099999999999998</v>
      </c>
      <c r="NQ21" s="1">
        <v>0.55555555555555558</v>
      </c>
      <c r="NR21" s="252">
        <v>-1.3599999999999994</v>
      </c>
      <c r="NS21" s="1">
        <v>0.66666666666666663</v>
      </c>
      <c r="NT21" s="254">
        <v>-3.2399999999999993</v>
      </c>
      <c r="NU21" s="1">
        <v>0.66666666666666663</v>
      </c>
      <c r="NV21" s="256">
        <v>12.600000000000001</v>
      </c>
      <c r="NW21" s="1">
        <v>0.83333333333333337</v>
      </c>
      <c r="NX21" s="258">
        <v>-6.71</v>
      </c>
      <c r="NY21" s="1">
        <v>0.625</v>
      </c>
      <c r="NZ21" s="260">
        <v>18.71</v>
      </c>
      <c r="OA21" s="1">
        <v>0.90909090909090906</v>
      </c>
      <c r="OB21" s="262">
        <v>-4.5599999999999987</v>
      </c>
      <c r="OC21" s="1">
        <v>0.55555555555555558</v>
      </c>
      <c r="OD21" s="264">
        <v>-11.609999999999996</v>
      </c>
      <c r="OE21" s="1">
        <v>0.61538461538461542</v>
      </c>
      <c r="OF21" s="266">
        <v>-8.6699999999999982</v>
      </c>
      <c r="OG21" s="1">
        <v>0.5714285714285714</v>
      </c>
      <c r="OH21" s="268">
        <v>-28.980000000000004</v>
      </c>
      <c r="OI21" s="1">
        <v>0.4</v>
      </c>
      <c r="OJ21" s="270">
        <v>5.24</v>
      </c>
      <c r="OK21" s="1">
        <v>0.75</v>
      </c>
      <c r="OL21" s="272">
        <v>-12.699999999999998</v>
      </c>
      <c r="OM21" s="1">
        <v>0.61538461538461542</v>
      </c>
      <c r="ON21" s="274">
        <v>-22.849999999999998</v>
      </c>
      <c r="OO21" s="1">
        <v>0.53333333333333333</v>
      </c>
      <c r="OP21" s="276">
        <v>26.09</v>
      </c>
      <c r="OQ21" s="1">
        <v>0.93333333333333335</v>
      </c>
      <c r="OR21" s="278">
        <v>14.08</v>
      </c>
      <c r="OS21" s="1">
        <v>0.75</v>
      </c>
      <c r="OT21" s="280">
        <v>-34.229999999999997</v>
      </c>
      <c r="OU21" s="1">
        <v>0.4375</v>
      </c>
      <c r="OV21" s="282">
        <v>-22.810000000000002</v>
      </c>
      <c r="OW21" s="1">
        <v>0.53333333333333333</v>
      </c>
      <c r="OX21" s="285">
        <v>-23.039999999999996</v>
      </c>
      <c r="OY21" s="1">
        <v>0.53333333333333333</v>
      </c>
      <c r="OZ21" s="288">
        <v>5.32</v>
      </c>
      <c r="PA21" s="1">
        <v>0.75</v>
      </c>
      <c r="PB21" s="292">
        <v>-1.4800000000000013</v>
      </c>
      <c r="PC21" s="1">
        <v>0.6875</v>
      </c>
      <c r="PD21" s="297">
        <v>39.25</v>
      </c>
      <c r="PE21" s="1">
        <v>1</v>
      </c>
      <c r="PF21" s="298">
        <v>-15</v>
      </c>
      <c r="PG21" s="1">
        <v>0.6</v>
      </c>
      <c r="PH21" s="301">
        <v>-47.84</v>
      </c>
      <c r="PI21" s="1">
        <v>0.33333333333333331</v>
      </c>
      <c r="PJ21" s="302">
        <v>15.419999999999998</v>
      </c>
      <c r="PK21" s="1">
        <v>0.8</v>
      </c>
      <c r="PL21" s="309"/>
      <c r="PM21" s="1"/>
      <c r="PN21" s="313"/>
      <c r="PO21" s="1"/>
      <c r="PP21" s="313">
        <v>15.360000000000003</v>
      </c>
      <c r="PQ21" s="1">
        <v>0.8</v>
      </c>
      <c r="PR21" s="315"/>
      <c r="PS21" s="1"/>
      <c r="PT21" s="318">
        <v>6.2200000000000006</v>
      </c>
      <c r="PU21" s="1">
        <v>0.75</v>
      </c>
      <c r="PV21" s="321">
        <v>5.12</v>
      </c>
      <c r="PW21" s="1">
        <v>0.75</v>
      </c>
      <c r="PX21" s="323">
        <v>-22.72</v>
      </c>
      <c r="PY21" s="1">
        <v>0.53333333333333333</v>
      </c>
      <c r="PZ21" s="325">
        <v>-30.740000000000002</v>
      </c>
      <c r="QA21" s="1">
        <v>0.46666666666666667</v>
      </c>
      <c r="QB21" s="327">
        <v>-13.469999999999995</v>
      </c>
      <c r="QC21" s="1">
        <v>0.6</v>
      </c>
      <c r="QD21" s="334">
        <v>18.450000000000003</v>
      </c>
      <c r="QE21" s="1">
        <v>0.8125</v>
      </c>
      <c r="QF21" s="339">
        <v>9.5200000000000031</v>
      </c>
      <c r="QG21" s="1">
        <v>0.73333333333333328</v>
      </c>
      <c r="QH21" s="345">
        <v>19.52</v>
      </c>
      <c r="QI21" s="1">
        <v>0.8666666666666667</v>
      </c>
      <c r="QJ21" s="352">
        <v>2.7900000000000005</v>
      </c>
      <c r="QK21" s="1">
        <v>0.73333333333333328</v>
      </c>
      <c r="QL21" s="356">
        <v>-19.899999999999999</v>
      </c>
      <c r="QM21" s="1">
        <v>0.5</v>
      </c>
      <c r="QN21" s="360">
        <v>5.910000000000001</v>
      </c>
      <c r="QO21" s="1">
        <v>0.73333333333333328</v>
      </c>
      <c r="QP21" s="363">
        <v>-10.57</v>
      </c>
      <c r="QQ21" s="1">
        <v>0.6</v>
      </c>
      <c r="QR21" s="366">
        <v>5.0100000000000025</v>
      </c>
      <c r="QS21" s="1">
        <v>0.75</v>
      </c>
      <c r="QT21" s="371"/>
      <c r="QU21" s="1"/>
      <c r="QV21" s="374">
        <v>-7.9399999999999995</v>
      </c>
      <c r="QW21" s="1">
        <v>0.6</v>
      </c>
      <c r="QX21" s="378">
        <v>-44</v>
      </c>
      <c r="QY21" s="1">
        <v>0.33333333333333331</v>
      </c>
      <c r="QZ21" s="386">
        <v>-10.269999999999998</v>
      </c>
      <c r="RA21" s="1">
        <v>0.5</v>
      </c>
      <c r="RB21" s="395">
        <v>15.759999999999998</v>
      </c>
      <c r="RC21" s="1">
        <v>0.8</v>
      </c>
      <c r="RD21" s="399">
        <v>8.7700000000000014</v>
      </c>
      <c r="RE21" s="1">
        <v>0.75</v>
      </c>
      <c r="RF21" s="399">
        <v>-0.50999999999999945</v>
      </c>
      <c r="RG21" s="1">
        <v>0.66666666666666663</v>
      </c>
      <c r="RH21" s="403">
        <v>36.909999999999997</v>
      </c>
      <c r="RI21" s="1">
        <v>1</v>
      </c>
      <c r="RJ21" s="405">
        <v>-34.18</v>
      </c>
      <c r="RK21" s="1">
        <v>0.4375</v>
      </c>
      <c r="RL21" s="407"/>
      <c r="RM21" s="1"/>
      <c r="RN21" s="410">
        <v>-13.1</v>
      </c>
      <c r="RO21" s="1">
        <v>0.6</v>
      </c>
      <c r="RP21" s="412">
        <v>-14.209999999999999</v>
      </c>
      <c r="RQ21" s="1">
        <v>0.6</v>
      </c>
      <c r="RR21" s="415">
        <v>-3.4999999999999987</v>
      </c>
      <c r="RS21" s="1">
        <v>0.6</v>
      </c>
      <c r="RT21" s="417">
        <v>7.86</v>
      </c>
      <c r="RU21" s="1">
        <v>0.6875</v>
      </c>
      <c r="RV21" s="422">
        <v>-40.229999999999997</v>
      </c>
      <c r="RW21" s="1">
        <v>0.375</v>
      </c>
      <c r="RX21" s="427">
        <v>-14.669999999999998</v>
      </c>
      <c r="RY21" s="1">
        <v>0.53333333333333333</v>
      </c>
      <c r="RZ21" s="433">
        <v>13.57</v>
      </c>
      <c r="SA21" s="1">
        <v>0.8125</v>
      </c>
      <c r="SB21" s="436">
        <v>-17.77</v>
      </c>
      <c r="SC21" s="1">
        <v>0.5625</v>
      </c>
      <c r="SD21" s="443">
        <v>-3.9799999999999991</v>
      </c>
      <c r="SE21" s="1">
        <v>0.625</v>
      </c>
      <c r="SF21" s="445">
        <v>-18.95</v>
      </c>
      <c r="SG21" s="1">
        <v>0.53333333333333333</v>
      </c>
      <c r="SH21" s="450">
        <v>20.309999999999999</v>
      </c>
      <c r="SI21" s="1">
        <v>0.8666666666666667</v>
      </c>
      <c r="SJ21" s="452">
        <v>-5.5699999999999994</v>
      </c>
      <c r="SK21" s="1">
        <v>0.66666666666666663</v>
      </c>
      <c r="SL21" s="457">
        <v>-46.579999999999991</v>
      </c>
      <c r="SM21" s="1">
        <v>0.3125</v>
      </c>
      <c r="SN21" s="459">
        <v>15.730000000000002</v>
      </c>
      <c r="SO21" s="1">
        <v>0.8</v>
      </c>
      <c r="SP21" s="461">
        <v>-1.7999999999999994</v>
      </c>
      <c r="SQ21" s="1">
        <v>0.66666666666666663</v>
      </c>
      <c r="SR21" s="463">
        <v>3.830000000000001</v>
      </c>
      <c r="SS21" s="1">
        <v>0.75</v>
      </c>
      <c r="ST21" s="464">
        <v>13.69</v>
      </c>
      <c r="SU21" s="1">
        <v>0.73333333333333328</v>
      </c>
      <c r="SV21" s="466">
        <v>-9.7800000000000011</v>
      </c>
      <c r="SW21" s="1">
        <v>0.6428571428571429</v>
      </c>
      <c r="SX21" s="467">
        <v>2.8599999999999994</v>
      </c>
      <c r="SY21" s="1">
        <v>0.73333333333333328</v>
      </c>
      <c r="SZ21" s="469">
        <v>-48.76</v>
      </c>
      <c r="TA21" s="1">
        <v>0.33333333333333331</v>
      </c>
      <c r="TB21" s="471">
        <v>-3.1399999999999983</v>
      </c>
      <c r="TC21" s="1">
        <v>0.6</v>
      </c>
      <c r="TD21" s="472">
        <v>2.9300000000000015</v>
      </c>
      <c r="TE21" s="1">
        <v>0.73333333333333328</v>
      </c>
      <c r="TF21" s="474">
        <v>-14.24</v>
      </c>
      <c r="TG21" s="1">
        <v>0.6</v>
      </c>
      <c r="TH21" s="488">
        <v>-0.85000000000000187</v>
      </c>
      <c r="TI21" s="1">
        <v>0.66666666666666663</v>
      </c>
      <c r="TJ21" s="489">
        <v>1.0499999999999992</v>
      </c>
      <c r="TK21" s="1">
        <v>0.73333333333333328</v>
      </c>
      <c r="TL21" s="490">
        <v>5.3000000000000007</v>
      </c>
      <c r="TM21" s="1">
        <v>0.75</v>
      </c>
      <c r="TN21" s="495">
        <v>-43.19</v>
      </c>
      <c r="TO21" s="1">
        <v>0.33333333333333331</v>
      </c>
      <c r="TP21" s="500">
        <v>-28.809999999999995</v>
      </c>
      <c r="TQ21" s="1">
        <v>0.5</v>
      </c>
      <c r="TR21" s="511">
        <v>19.43</v>
      </c>
      <c r="TS21" s="1">
        <v>0.8125</v>
      </c>
      <c r="TT21" s="515">
        <v>-26.599999999999998</v>
      </c>
      <c r="TU21" s="1">
        <v>0.46666666666666667</v>
      </c>
      <c r="TV21" s="518">
        <v>19.479999999999997</v>
      </c>
      <c r="TW21" s="1">
        <v>0.875</v>
      </c>
      <c r="TX21" s="521"/>
      <c r="TY21" s="1"/>
      <c r="TZ21" s="524">
        <v>1.5000000000000018</v>
      </c>
      <c r="UA21" s="1">
        <v>0.625</v>
      </c>
      <c r="UB21" s="527">
        <v>-2.2699999999999987</v>
      </c>
      <c r="UC21" s="1">
        <v>0.625</v>
      </c>
      <c r="UD21" s="530">
        <v>13.69</v>
      </c>
      <c r="UE21" s="1">
        <v>0.8125</v>
      </c>
      <c r="UF21" s="533">
        <v>-36.74</v>
      </c>
      <c r="UG21" s="1">
        <v>0.375</v>
      </c>
      <c r="UH21" s="536">
        <v>-4.6400000000000006</v>
      </c>
      <c r="UI21" s="1">
        <v>0.6875</v>
      </c>
      <c r="UJ21" s="539">
        <v>13.239999999999997</v>
      </c>
      <c r="UK21" s="1">
        <v>0.8125</v>
      </c>
      <c r="UL21" s="540">
        <v>-30.099999999999994</v>
      </c>
      <c r="UM21" s="1">
        <v>0.4375</v>
      </c>
      <c r="UN21" s="543">
        <v>-0.17999999999999927</v>
      </c>
      <c r="UO21" s="1">
        <v>0.6</v>
      </c>
      <c r="UP21" s="544">
        <v>10.360000000000001</v>
      </c>
      <c r="UQ21" s="1">
        <v>0.75</v>
      </c>
      <c r="UR21" s="551">
        <v>-45.44</v>
      </c>
      <c r="US21" s="1">
        <v>0.375</v>
      </c>
      <c r="UT21" s="551">
        <v>-25.08</v>
      </c>
      <c r="UU21" s="1">
        <v>0.3125</v>
      </c>
      <c r="UV21" s="562">
        <v>-0.46999999999999897</v>
      </c>
      <c r="UW21" s="1">
        <v>0.625</v>
      </c>
      <c r="UX21" s="566">
        <v>-5.2699999999999978</v>
      </c>
      <c r="UY21" s="1">
        <v>0.5625</v>
      </c>
      <c r="UZ21" s="568">
        <v>19.03</v>
      </c>
      <c r="VA21" s="1">
        <v>0.8571428571428571</v>
      </c>
      <c r="VB21" s="572">
        <v>5.1099999999999994</v>
      </c>
      <c r="VC21" s="1">
        <v>0.75</v>
      </c>
      <c r="VD21" s="576">
        <v>-48.320000000000007</v>
      </c>
      <c r="VE21" s="1">
        <v>0.375</v>
      </c>
      <c r="VF21" s="580">
        <v>25.12</v>
      </c>
      <c r="VG21" s="1">
        <v>0.875</v>
      </c>
      <c r="VH21" s="584">
        <v>-14.970000000000002</v>
      </c>
      <c r="VI21" s="1">
        <v>0.5625</v>
      </c>
      <c r="VJ21" s="589">
        <v>-16.030000000000005</v>
      </c>
      <c r="VK21" s="1">
        <v>0.5</v>
      </c>
      <c r="VL21" s="593">
        <v>8.1900000000000013</v>
      </c>
      <c r="VM21" s="1">
        <v>0.8571428571428571</v>
      </c>
      <c r="VN21" s="597">
        <v>-21.900000000000002</v>
      </c>
      <c r="VO21" s="1">
        <v>0.5</v>
      </c>
      <c r="VP21" s="601">
        <v>14.970000000000004</v>
      </c>
      <c r="VQ21" s="1">
        <v>0.8125</v>
      </c>
      <c r="VR21" s="603">
        <v>2.450000000000002</v>
      </c>
      <c r="VS21" s="1">
        <v>0.75</v>
      </c>
      <c r="VT21" s="607">
        <v>29.990000000000002</v>
      </c>
      <c r="VU21" s="1">
        <v>0.9375</v>
      </c>
      <c r="VV21" s="609">
        <v>-48.42</v>
      </c>
      <c r="VW21" s="1">
        <v>0.3125</v>
      </c>
      <c r="VX21" s="613">
        <v>31.86</v>
      </c>
      <c r="VY21" s="1">
        <v>0.875</v>
      </c>
      <c r="VZ21" s="617">
        <v>-7.509999999999998</v>
      </c>
      <c r="WA21" s="1">
        <v>0.625</v>
      </c>
      <c r="WB21" s="619"/>
      <c r="WC21" s="1"/>
      <c r="WD21" s="624">
        <v>-13.320000000000002</v>
      </c>
      <c r="WE21" s="1">
        <v>0.625</v>
      </c>
      <c r="WF21" s="626">
        <v>18.120000000000005</v>
      </c>
      <c r="WG21" s="1">
        <v>0.8125</v>
      </c>
      <c r="WH21" s="630">
        <v>1.6900000000000011</v>
      </c>
      <c r="WI21" s="1">
        <v>0.6875</v>
      </c>
      <c r="WJ21" s="636">
        <v>-31.300000000000008</v>
      </c>
      <c r="WK21" s="1">
        <v>0.5</v>
      </c>
      <c r="WL21" s="638">
        <v>-11.360000000000001</v>
      </c>
      <c r="WM21" s="1">
        <v>0.625</v>
      </c>
      <c r="WN21" s="642">
        <v>-3.8099999999999992</v>
      </c>
      <c r="WO21" s="1">
        <v>0.6875</v>
      </c>
      <c r="WP21" s="646">
        <v>4.2600000000000016</v>
      </c>
      <c r="WQ21" s="1">
        <v>0.6875</v>
      </c>
      <c r="WR21" s="652">
        <v>17.12</v>
      </c>
      <c r="WS21" s="1">
        <v>0.8125</v>
      </c>
      <c r="WT21" s="659">
        <v>4.9400000000000031</v>
      </c>
      <c r="WU21" s="1">
        <v>0.75</v>
      </c>
      <c r="WV21" s="659">
        <v>-34.78</v>
      </c>
      <c r="WW21" s="1">
        <v>0.4375</v>
      </c>
      <c r="WX21" s="672">
        <v>-24.11</v>
      </c>
      <c r="WY21" s="1">
        <v>0.5</v>
      </c>
      <c r="WZ21" s="677"/>
      <c r="XA21" s="1"/>
      <c r="XB21" s="681">
        <v>-9.2200000000000006</v>
      </c>
      <c r="XC21" s="1">
        <v>0.5625</v>
      </c>
      <c r="XD21" s="683">
        <v>-5.4899999999999984</v>
      </c>
      <c r="XE21" s="1">
        <v>0.66666666666666663</v>
      </c>
      <c r="XF21" s="687">
        <v>-52.189999999999991</v>
      </c>
      <c r="XG21" s="1">
        <v>0.3125</v>
      </c>
      <c r="XH21" s="689">
        <v>-38.090000000000003</v>
      </c>
      <c r="XI21" s="1">
        <v>0.4375</v>
      </c>
      <c r="XJ21" s="696">
        <v>-28.720000000000002</v>
      </c>
      <c r="XK21" s="1">
        <v>0.5</v>
      </c>
      <c r="XL21" s="696">
        <v>-0.27000000000000046</v>
      </c>
      <c r="XM21" s="1">
        <v>0.6875</v>
      </c>
      <c r="XN21" s="696">
        <v>-5.7299999999999995</v>
      </c>
      <c r="XO21" s="1">
        <v>0.5625</v>
      </c>
      <c r="XP21" s="700">
        <v>-37.299999999999997</v>
      </c>
      <c r="XQ21" s="1">
        <v>0.4375</v>
      </c>
      <c r="XR21" s="705">
        <v>-73.84999999999998</v>
      </c>
      <c r="XS21" s="1">
        <v>0.40625</v>
      </c>
      <c r="XT21" s="709">
        <v>2.4900000000000015</v>
      </c>
      <c r="XU21" s="1">
        <v>0.6875</v>
      </c>
      <c r="XV21" s="715"/>
      <c r="XW21" s="1"/>
    </row>
    <row r="22" spans="2:647" ht="15.75" thickBot="1" x14ac:dyDescent="0.3">
      <c r="B22" s="755"/>
      <c r="C22" s="732"/>
      <c r="D22" s="725" t="s">
        <v>17</v>
      </c>
      <c r="E22" s="725"/>
      <c r="F22" s="55">
        <v>0.4</v>
      </c>
      <c r="G22" s="769"/>
      <c r="H22" s="4">
        <v>1.0346153846153845</v>
      </c>
      <c r="I22" s="5">
        <v>0.6</v>
      </c>
      <c r="J22" s="4">
        <v>-2.3392307692307694</v>
      </c>
      <c r="K22" s="5">
        <v>0.2</v>
      </c>
      <c r="L22" s="4"/>
      <c r="M22" s="5"/>
      <c r="N22" s="4">
        <v>-3.083076923076923</v>
      </c>
      <c r="O22" s="5">
        <v>0.2</v>
      </c>
      <c r="P22" s="4">
        <v>6.3076923076923169E-2</v>
      </c>
      <c r="Q22" s="5">
        <v>0.33333333333333331</v>
      </c>
      <c r="R22" s="4">
        <v>-1.1030769230769231</v>
      </c>
      <c r="S22" s="5">
        <v>0.27272727272727271</v>
      </c>
      <c r="T22" s="4"/>
      <c r="U22" s="5"/>
      <c r="V22" s="4">
        <v>0.69000000000000028</v>
      </c>
      <c r="W22" s="5">
        <v>0.5</v>
      </c>
      <c r="X22" s="4"/>
      <c r="Y22" s="5"/>
      <c r="Z22" s="4">
        <v>-5.3069230769230762</v>
      </c>
      <c r="AA22" s="5">
        <v>0.25</v>
      </c>
      <c r="AB22" s="4"/>
      <c r="AC22" s="5"/>
      <c r="AD22" s="4">
        <v>0.74846153846153873</v>
      </c>
      <c r="AE22" s="5">
        <v>0.5714285714285714</v>
      </c>
      <c r="AF22" s="4"/>
      <c r="AG22" s="5"/>
      <c r="AH22" s="4">
        <v>2.666923076923077</v>
      </c>
      <c r="AI22" s="5">
        <v>0.83333333333333337</v>
      </c>
      <c r="AJ22" s="4">
        <v>-0.4684615384615386</v>
      </c>
      <c r="AK22" s="5">
        <v>0.375</v>
      </c>
      <c r="AL22" s="4">
        <v>-2.7576923076923077</v>
      </c>
      <c r="AM22" s="5">
        <v>0.33333333333333331</v>
      </c>
      <c r="AN22" s="4"/>
      <c r="AO22" s="5"/>
      <c r="AP22" s="4">
        <v>-1.8084615384615386</v>
      </c>
      <c r="AQ22" s="5">
        <v>0.55555555555555558</v>
      </c>
      <c r="AR22" s="4">
        <v>-1.496923076923077</v>
      </c>
      <c r="AS22" s="5">
        <v>0.5</v>
      </c>
      <c r="AT22" s="4"/>
      <c r="AU22" s="5"/>
      <c r="AV22" s="4">
        <v>2.2899999999999996</v>
      </c>
      <c r="AW22" s="5">
        <v>0.75</v>
      </c>
      <c r="AX22" s="4">
        <v>1.2753846153846156</v>
      </c>
      <c r="AY22" s="5">
        <v>0.42857142857142855</v>
      </c>
      <c r="AZ22" s="4">
        <v>-1.0323076923076924</v>
      </c>
      <c r="BA22" s="5">
        <v>0.4</v>
      </c>
      <c r="BB22" s="4">
        <v>-3.0738461538461546</v>
      </c>
      <c r="BC22" s="5">
        <v>0.16666666666666666</v>
      </c>
      <c r="BD22" s="4"/>
      <c r="BE22" s="5"/>
      <c r="BF22" s="4">
        <v>-1.4899999999999998</v>
      </c>
      <c r="BG22" s="5">
        <v>0.375</v>
      </c>
      <c r="BH22" s="4">
        <v>-4.2484615384615374</v>
      </c>
      <c r="BI22" s="5">
        <v>0.38461538461538464</v>
      </c>
      <c r="BJ22" s="4">
        <v>-2.6092307692307695</v>
      </c>
      <c r="BK22" s="5">
        <v>0.4</v>
      </c>
      <c r="BL22" s="4">
        <v>-1.5153846153846153</v>
      </c>
      <c r="BM22" s="5">
        <v>0.375</v>
      </c>
      <c r="BN22" s="4"/>
      <c r="BO22" s="5"/>
      <c r="BP22" s="4">
        <v>-3.2800000000000002</v>
      </c>
      <c r="BQ22" s="5">
        <v>0.14285714285714285</v>
      </c>
      <c r="BR22" s="4">
        <v>-0.47</v>
      </c>
      <c r="BS22" s="5">
        <v>0.42857142857142855</v>
      </c>
      <c r="BT22" s="4"/>
      <c r="BU22" s="5"/>
      <c r="BV22" s="4"/>
      <c r="BW22" s="5"/>
      <c r="BX22" s="4">
        <v>-2.916923076923077</v>
      </c>
      <c r="BY22" s="5">
        <v>0.22222222222222221</v>
      </c>
      <c r="BZ22" s="4">
        <v>0.36846153846153862</v>
      </c>
      <c r="CA22" s="5">
        <v>0.6</v>
      </c>
      <c r="CB22" s="4">
        <v>-5.5538461538461537</v>
      </c>
      <c r="CC22" s="5">
        <v>0.2</v>
      </c>
      <c r="CD22" s="4">
        <v>2.1338461538461542</v>
      </c>
      <c r="CE22" s="5">
        <v>0.54545454545454541</v>
      </c>
      <c r="CF22" s="4">
        <v>0.7323076923076921</v>
      </c>
      <c r="CG22" s="5">
        <v>0.58333333333333337</v>
      </c>
      <c r="CH22" s="4"/>
      <c r="CI22" s="5"/>
      <c r="CJ22" s="4">
        <v>-1.9153846153846152</v>
      </c>
      <c r="CK22" s="5">
        <v>0.33333333333333331</v>
      </c>
      <c r="CL22" s="4">
        <v>0.79692307692307707</v>
      </c>
      <c r="CM22" s="5">
        <v>0.375</v>
      </c>
      <c r="CN22" s="4"/>
      <c r="CO22" s="5"/>
      <c r="CP22" s="4">
        <v>0.8869230769230767</v>
      </c>
      <c r="CQ22" s="5">
        <v>0.66666666666666663</v>
      </c>
      <c r="CR22" s="4">
        <v>0.89692307692307705</v>
      </c>
      <c r="CS22" s="5">
        <v>0.5</v>
      </c>
      <c r="CT22" s="4">
        <v>1.1576923076923076</v>
      </c>
      <c r="CU22" s="5">
        <v>0.5</v>
      </c>
      <c r="CV22" s="4">
        <v>-5.1692307692307686</v>
      </c>
      <c r="CW22" s="5">
        <v>0.46153846153846156</v>
      </c>
      <c r="CX22" s="4">
        <v>-1.2153846153846151</v>
      </c>
      <c r="CY22" s="5">
        <v>0.25</v>
      </c>
      <c r="CZ22" s="4">
        <v>3.2176923076923081</v>
      </c>
      <c r="DA22" s="5">
        <v>0.8571428571428571</v>
      </c>
      <c r="DB22" s="4">
        <v>3.9730769230769232</v>
      </c>
      <c r="DC22" s="5">
        <v>0.77777777777777779</v>
      </c>
      <c r="DD22" s="4">
        <v>0.14076923076923065</v>
      </c>
      <c r="DE22" s="5">
        <v>0.5714285714285714</v>
      </c>
      <c r="DF22" s="4">
        <v>4.4615384615384758E-2</v>
      </c>
      <c r="DG22" s="5">
        <v>0.4</v>
      </c>
      <c r="DH22" s="4">
        <v>-0.24307692307692338</v>
      </c>
      <c r="DI22" s="5">
        <v>0.5714285714285714</v>
      </c>
      <c r="DJ22" s="4">
        <v>0.87846153846153818</v>
      </c>
      <c r="DK22" s="5">
        <v>0.55555555555555558</v>
      </c>
      <c r="DL22" s="4">
        <v>-2.6961538461538459</v>
      </c>
      <c r="DM22" s="5">
        <v>0.33333333333333331</v>
      </c>
      <c r="DN22" s="4">
        <v>-4.985384615384616</v>
      </c>
      <c r="DO22" s="5">
        <v>0.22222222222222221</v>
      </c>
      <c r="DP22" s="4">
        <v>-0.19461538461538458</v>
      </c>
      <c r="DQ22" s="5">
        <v>0.55555555555555558</v>
      </c>
      <c r="DR22" s="4">
        <v>-6.7268750000000015</v>
      </c>
      <c r="DS22" s="5">
        <v>0.625</v>
      </c>
      <c r="DT22" s="4"/>
      <c r="DU22" s="5"/>
      <c r="DV22" s="4">
        <v>-1.4800000000000002</v>
      </c>
      <c r="DW22" s="5">
        <v>0.44444444444444442</v>
      </c>
      <c r="DX22" s="4">
        <v>-1.4800000000000002</v>
      </c>
      <c r="DY22" s="5">
        <v>0.44444444444444442</v>
      </c>
      <c r="DZ22" s="4">
        <v>-1.1761538461538463</v>
      </c>
      <c r="EA22" s="5">
        <v>0.375</v>
      </c>
      <c r="EB22" s="4">
        <v>1.3984615384615384</v>
      </c>
      <c r="EC22" s="5">
        <v>0.63636363636363635</v>
      </c>
      <c r="ED22" s="4">
        <v>1.5384615384615365E-2</v>
      </c>
      <c r="EE22" s="5">
        <v>0.375</v>
      </c>
      <c r="EF22" s="4">
        <v>-1.43</v>
      </c>
      <c r="EG22" s="5">
        <v>0.4</v>
      </c>
      <c r="EH22" s="4">
        <v>0.61538461538461542</v>
      </c>
      <c r="EI22" s="5">
        <v>0.7142857142857143</v>
      </c>
      <c r="EJ22" s="4">
        <v>-0.24538461538461534</v>
      </c>
      <c r="EK22" s="5">
        <v>0.5</v>
      </c>
      <c r="EL22" s="4"/>
      <c r="EM22" s="5"/>
      <c r="EN22" s="4">
        <v>1.2061538461538459</v>
      </c>
      <c r="EO22" s="5">
        <v>0.7</v>
      </c>
      <c r="EP22" s="4"/>
      <c r="EQ22" s="5"/>
      <c r="ER22" s="4">
        <v>1.1038461538461539</v>
      </c>
      <c r="ES22" s="5">
        <v>0.5714285714285714</v>
      </c>
      <c r="ET22" s="4">
        <v>-0.20846153846153867</v>
      </c>
      <c r="EU22" s="5">
        <v>0.44444444444444442</v>
      </c>
      <c r="EV22" s="4">
        <v>-2.8323076923076922</v>
      </c>
      <c r="EW22" s="5">
        <v>0.5</v>
      </c>
      <c r="EX22" s="4">
        <v>-0.48384615384615376</v>
      </c>
      <c r="EY22" s="5">
        <v>0.7142857142857143</v>
      </c>
      <c r="EZ22" s="4">
        <v>1.2007692307692308</v>
      </c>
      <c r="FA22" s="5">
        <v>0.5714285714285714</v>
      </c>
      <c r="FB22" s="4">
        <v>-5.0999999999999996</v>
      </c>
      <c r="FC22" s="5">
        <v>0.33333333333333331</v>
      </c>
      <c r="FD22" s="4">
        <v>-4.43</v>
      </c>
      <c r="FE22" s="5">
        <v>0.375</v>
      </c>
      <c r="FF22" s="4">
        <v>6.78</v>
      </c>
      <c r="FG22" s="5">
        <v>0.5714285714285714</v>
      </c>
      <c r="FH22" s="4">
        <v>0.2799999999999998</v>
      </c>
      <c r="FI22" s="5">
        <v>0.5</v>
      </c>
      <c r="FJ22" s="4">
        <v>4.2800000000000011</v>
      </c>
      <c r="FK22" s="5">
        <v>0.66666666666666663</v>
      </c>
      <c r="FL22" s="4">
        <v>7.1800000000000006</v>
      </c>
      <c r="FM22" s="5">
        <v>0.75</v>
      </c>
      <c r="FN22" s="4">
        <v>8.01</v>
      </c>
      <c r="FO22" s="5">
        <v>0.7142857142857143</v>
      </c>
      <c r="FP22" s="4">
        <v>4.2000000000000011</v>
      </c>
      <c r="FQ22" s="5">
        <v>0.5714285714285714</v>
      </c>
      <c r="FR22" s="4">
        <v>-24.180000000000003</v>
      </c>
      <c r="FS22" s="5">
        <v>0.25</v>
      </c>
      <c r="FT22" s="4">
        <v>10.509999999999998</v>
      </c>
      <c r="FU22" s="5">
        <v>0.7142857142857143</v>
      </c>
      <c r="FV22" s="4">
        <v>-11.8</v>
      </c>
      <c r="FW22" s="5">
        <v>0</v>
      </c>
      <c r="FX22" s="4">
        <v>5.4</v>
      </c>
      <c r="FY22" s="5">
        <v>0.5714285714285714</v>
      </c>
      <c r="FZ22" s="4">
        <v>-6.4399999999999995</v>
      </c>
      <c r="GA22" s="5">
        <v>0.22222222222222221</v>
      </c>
      <c r="GB22" s="4">
        <v>-13.709999999999999</v>
      </c>
      <c r="GC22" s="5">
        <v>0.125</v>
      </c>
      <c r="GD22" s="4">
        <v>4.41</v>
      </c>
      <c r="GE22" s="5">
        <v>0.42857142857142855</v>
      </c>
      <c r="GF22" s="4">
        <v>-10.559999999999999</v>
      </c>
      <c r="GG22" s="5">
        <v>0.4</v>
      </c>
      <c r="GH22" s="4">
        <v>3.12</v>
      </c>
      <c r="GI22" s="5">
        <v>0.5714285714285714</v>
      </c>
      <c r="GJ22" s="4">
        <v>-7.14</v>
      </c>
      <c r="GK22" s="5">
        <v>0.16666666666666666</v>
      </c>
      <c r="GL22" s="4">
        <v>-9.5200000000000014</v>
      </c>
      <c r="GM22" s="5">
        <v>0.22222222222222221</v>
      </c>
      <c r="GN22" s="4">
        <v>-18.57</v>
      </c>
      <c r="GO22" s="5">
        <v>0.1111111111111111</v>
      </c>
      <c r="GP22" s="4">
        <v>0.61000000000000032</v>
      </c>
      <c r="GQ22" s="5">
        <v>0.4</v>
      </c>
      <c r="GR22" s="4">
        <v>0.91999999999999993</v>
      </c>
      <c r="GS22" s="5">
        <v>0.5714285714285714</v>
      </c>
      <c r="GT22" s="4">
        <v>-25.869999999999997</v>
      </c>
      <c r="GU22" s="5">
        <v>0.22222222222222221</v>
      </c>
      <c r="GV22" s="4">
        <v>2.6900000000000004</v>
      </c>
      <c r="GW22" s="5">
        <v>0.6</v>
      </c>
      <c r="GX22" s="4">
        <v>-9.02</v>
      </c>
      <c r="GY22" s="5">
        <v>0.4</v>
      </c>
      <c r="GZ22" s="4">
        <v>-5.39</v>
      </c>
      <c r="HA22" s="5">
        <v>0.44444444444444442</v>
      </c>
      <c r="HB22" s="4">
        <v>-4.38</v>
      </c>
      <c r="HC22" s="5">
        <v>0.16666666666666666</v>
      </c>
      <c r="HD22" s="4">
        <v>-4.5100000000000007</v>
      </c>
      <c r="HE22" s="5">
        <v>0.36363636363636365</v>
      </c>
      <c r="HF22" s="4">
        <v>-5.1199999999999992</v>
      </c>
      <c r="HG22" s="5">
        <v>0.16666666666666666</v>
      </c>
      <c r="HH22" s="4">
        <v>-3.92</v>
      </c>
      <c r="HI22" s="5">
        <v>0.42857142857142855</v>
      </c>
      <c r="HJ22" s="4">
        <v>-0.42000000000000026</v>
      </c>
      <c r="HK22" s="5">
        <v>0.2</v>
      </c>
      <c r="HL22" s="4">
        <v>3.41</v>
      </c>
      <c r="HM22" s="5">
        <v>0.6</v>
      </c>
      <c r="HN22" s="4">
        <v>-10.419999999999998</v>
      </c>
      <c r="HO22" s="5">
        <v>0</v>
      </c>
      <c r="HP22" s="4">
        <v>-6.3299999999999983</v>
      </c>
      <c r="HQ22" s="5">
        <v>0.44444444444444442</v>
      </c>
      <c r="HR22" s="4">
        <v>-3.2199999999999998</v>
      </c>
      <c r="HS22" s="5">
        <v>0.2857142857142857</v>
      </c>
      <c r="HT22" s="4">
        <v>-3.1599999999999997</v>
      </c>
      <c r="HU22" s="5">
        <v>0.5</v>
      </c>
      <c r="HV22" s="4">
        <v>-1.429999999999999</v>
      </c>
      <c r="HW22" s="5">
        <v>0.4</v>
      </c>
      <c r="HX22" s="4">
        <v>-6.1899999999999995</v>
      </c>
      <c r="HY22" s="5">
        <v>0.5714285714285714</v>
      </c>
      <c r="HZ22" s="4"/>
      <c r="IA22" s="5"/>
      <c r="IB22" s="4">
        <v>-6.42</v>
      </c>
      <c r="IC22" s="5">
        <v>0.4</v>
      </c>
      <c r="ID22" s="4">
        <v>1.8499999999999999</v>
      </c>
      <c r="IE22" s="5">
        <v>0.33333333333333331</v>
      </c>
      <c r="IF22" s="4">
        <v>-16.700000000000003</v>
      </c>
      <c r="IG22" s="5">
        <v>0</v>
      </c>
      <c r="IH22" s="4">
        <v>-5.84</v>
      </c>
      <c r="II22" s="5">
        <v>0.33333333333333331</v>
      </c>
      <c r="IJ22" s="4">
        <v>0.7699999999999998</v>
      </c>
      <c r="IK22" s="5">
        <v>0.42857142857142855</v>
      </c>
      <c r="IL22" s="4">
        <v>-24.74</v>
      </c>
      <c r="IM22" s="5">
        <v>0.16666666666666666</v>
      </c>
      <c r="IN22" s="4">
        <v>-1.609999999999999</v>
      </c>
      <c r="IO22" s="5">
        <v>0.33333333333333331</v>
      </c>
      <c r="IP22" s="4">
        <v>-1.8299999999999998</v>
      </c>
      <c r="IQ22" s="5">
        <v>0.6</v>
      </c>
      <c r="IR22" s="4"/>
      <c r="IS22" s="5"/>
      <c r="IT22" s="4"/>
      <c r="IU22" s="5"/>
      <c r="IV22" s="4">
        <v>-6.2899999999999991</v>
      </c>
      <c r="IW22" s="5">
        <v>0.375</v>
      </c>
      <c r="IX22" s="4">
        <v>-1.3299999999999998</v>
      </c>
      <c r="IY22" s="5">
        <v>0.25</v>
      </c>
      <c r="IZ22" s="4"/>
      <c r="JA22" s="5"/>
      <c r="JB22" s="4"/>
      <c r="JC22" s="5"/>
      <c r="JD22" s="4"/>
      <c r="JE22" s="5"/>
      <c r="JF22" s="4">
        <v>-7.6499999999999995</v>
      </c>
      <c r="JG22" s="5">
        <v>0.22222222222222221</v>
      </c>
      <c r="JH22" s="4">
        <v>-5.92</v>
      </c>
      <c r="JI22" s="5">
        <v>0.16666666666666666</v>
      </c>
      <c r="JJ22" s="4">
        <v>5.78</v>
      </c>
      <c r="JK22" s="5">
        <v>0.5</v>
      </c>
      <c r="JL22" s="4"/>
      <c r="JM22" s="5"/>
      <c r="JN22" s="4">
        <v>-14.999999999999996</v>
      </c>
      <c r="JO22" s="5">
        <v>0.125</v>
      </c>
      <c r="JP22" s="4">
        <v>-4.8599999999999994</v>
      </c>
      <c r="JQ22" s="5">
        <v>0.3</v>
      </c>
      <c r="JR22" s="4">
        <v>-7.6000000000000014</v>
      </c>
      <c r="JS22" s="5">
        <v>0.16666666666666666</v>
      </c>
      <c r="JT22" s="4"/>
      <c r="JU22" s="5"/>
      <c r="JV22" s="4"/>
      <c r="JW22" s="5"/>
      <c r="JX22" s="4"/>
      <c r="JY22" s="5"/>
      <c r="JZ22" s="4">
        <v>8.0500000000000007</v>
      </c>
      <c r="KA22" s="5">
        <v>0.75</v>
      </c>
      <c r="KB22" s="4">
        <v>-7.2299999999999986</v>
      </c>
      <c r="KC22" s="5">
        <v>0.14285714285714285</v>
      </c>
      <c r="KD22" s="4">
        <v>2.2400000000000002</v>
      </c>
      <c r="KE22" s="5">
        <v>0.44444444444444442</v>
      </c>
      <c r="KF22" s="4">
        <v>-2.37</v>
      </c>
      <c r="KG22" s="5">
        <v>0.375</v>
      </c>
      <c r="KH22" s="4">
        <v>-10.08</v>
      </c>
      <c r="KI22" s="5">
        <v>0.25</v>
      </c>
      <c r="KJ22" s="4">
        <v>-3.97</v>
      </c>
      <c r="KK22" s="5">
        <v>0.33333333333333331</v>
      </c>
      <c r="KL22" s="4">
        <v>-1.4500000000000002</v>
      </c>
      <c r="KM22" s="5">
        <v>0.4</v>
      </c>
      <c r="KN22" s="4">
        <v>-7.04</v>
      </c>
      <c r="KO22" s="5">
        <v>0.5</v>
      </c>
      <c r="KP22" s="4">
        <v>3.38</v>
      </c>
      <c r="KQ22" s="5">
        <v>0.33333333333333331</v>
      </c>
      <c r="KR22" s="4">
        <v>-10.5</v>
      </c>
      <c r="KS22" s="5">
        <v>0.125</v>
      </c>
      <c r="KT22" s="4"/>
      <c r="KU22" s="5"/>
      <c r="KV22" s="4">
        <v>-6.68</v>
      </c>
      <c r="KW22" s="5">
        <v>0.16666666666666666</v>
      </c>
      <c r="KX22" s="4">
        <v>-13.399999999999999</v>
      </c>
      <c r="KY22" s="5">
        <v>0.33333333333333331</v>
      </c>
      <c r="KZ22" s="4">
        <v>5.54</v>
      </c>
      <c r="LA22" s="5">
        <v>0.75</v>
      </c>
      <c r="LB22" s="4">
        <v>-11.2</v>
      </c>
      <c r="LC22" s="5">
        <v>0.375</v>
      </c>
      <c r="LD22" s="4">
        <v>6.33</v>
      </c>
      <c r="LE22" s="5">
        <v>0.7142857142857143</v>
      </c>
      <c r="LF22" s="4">
        <v>5.74</v>
      </c>
      <c r="LG22" s="5">
        <v>0.7142857142857143</v>
      </c>
      <c r="LH22" s="4">
        <v>3.22</v>
      </c>
      <c r="LI22" s="5">
        <v>0.75</v>
      </c>
      <c r="LJ22" s="4">
        <v>-11.81</v>
      </c>
      <c r="LK22" s="5">
        <v>0.44444444444444442</v>
      </c>
      <c r="LL22" s="4"/>
      <c r="LM22" s="5"/>
      <c r="LN22" s="4">
        <v>3.7600000000000007</v>
      </c>
      <c r="LO22" s="5">
        <v>0.66666666666666663</v>
      </c>
      <c r="LP22" s="4">
        <v>-5.1000000000000014</v>
      </c>
      <c r="LQ22" s="5">
        <v>0.58333333333333337</v>
      </c>
      <c r="LR22" s="4">
        <v>1.0500000000000003</v>
      </c>
      <c r="LS22" s="5">
        <v>0.66666666666666663</v>
      </c>
      <c r="LT22" s="4">
        <v>-6.7100000000000009</v>
      </c>
      <c r="LU22" s="5">
        <v>0.5714285714285714</v>
      </c>
      <c r="LV22" s="4">
        <v>-21.72</v>
      </c>
      <c r="LW22" s="5">
        <v>0.5</v>
      </c>
      <c r="LX22" s="4">
        <v>10.57</v>
      </c>
      <c r="LY22" s="5">
        <v>0.83333333333333337</v>
      </c>
      <c r="LZ22" s="4">
        <v>3.4700000000000006</v>
      </c>
      <c r="MA22" s="5">
        <v>0.7142857142857143</v>
      </c>
      <c r="MB22" s="4">
        <v>-29.730000000000004</v>
      </c>
      <c r="MC22" s="5">
        <v>0.25</v>
      </c>
      <c r="MD22" s="4">
        <v>16.810000000000002</v>
      </c>
      <c r="ME22" s="5">
        <v>0.8571428571428571</v>
      </c>
      <c r="MF22" s="4">
        <v>-0.33000000000000007</v>
      </c>
      <c r="MG22" s="5">
        <v>0.66666666666666663</v>
      </c>
      <c r="MH22" s="4">
        <v>3.7600000000000011</v>
      </c>
      <c r="MI22" s="5">
        <v>0.7142857142857143</v>
      </c>
      <c r="MJ22" s="4">
        <v>-3.4399999999999995</v>
      </c>
      <c r="MK22" s="5">
        <v>0.6</v>
      </c>
      <c r="ML22" s="4">
        <v>6.6199999999999992</v>
      </c>
      <c r="MM22" s="5">
        <v>0.72727272727272729</v>
      </c>
      <c r="MN22" s="4">
        <v>-26.18</v>
      </c>
      <c r="MO22" s="5">
        <v>0.4</v>
      </c>
      <c r="MP22" s="4">
        <v>13.919999999999998</v>
      </c>
      <c r="MQ22" s="5">
        <v>0.8571428571428571</v>
      </c>
      <c r="MR22" s="4">
        <v>-18.53</v>
      </c>
      <c r="MS22" s="5">
        <v>0.2</v>
      </c>
      <c r="MT22" s="4">
        <v>9.7899999999999991</v>
      </c>
      <c r="MU22" s="5">
        <v>0.77777777777777779</v>
      </c>
      <c r="MV22" s="4">
        <v>3.49</v>
      </c>
      <c r="MW22" s="5">
        <v>0.75</v>
      </c>
      <c r="MX22" s="4">
        <v>-1.9699999999999998</v>
      </c>
      <c r="MY22" s="5">
        <v>0.6</v>
      </c>
      <c r="MZ22" s="4">
        <v>-2.4099999999999997</v>
      </c>
      <c r="NA22" s="5">
        <v>0.5714285714285714</v>
      </c>
      <c r="NB22" s="4">
        <v>-9.1099999999999959</v>
      </c>
      <c r="NC22" s="5">
        <v>0.5714285714285714</v>
      </c>
      <c r="ND22" s="4">
        <v>-7.49</v>
      </c>
      <c r="NE22" s="5">
        <v>0.33333333333333331</v>
      </c>
      <c r="NF22" s="4">
        <v>0.70000000000000018</v>
      </c>
      <c r="NG22" s="5">
        <v>0.66666666666666663</v>
      </c>
      <c r="NH22" s="4">
        <v>0.70000000000000018</v>
      </c>
      <c r="NI22" s="5">
        <v>0.66666666666666663</v>
      </c>
      <c r="NJ22" s="4">
        <v>0.36000000000000032</v>
      </c>
      <c r="NK22" s="5">
        <v>0.66666666666666663</v>
      </c>
      <c r="NL22" s="4"/>
      <c r="NM22" s="5"/>
      <c r="NN22" s="4">
        <v>6.21</v>
      </c>
      <c r="NO22" s="5">
        <v>0.625</v>
      </c>
      <c r="NP22" s="4">
        <v>7.26</v>
      </c>
      <c r="NQ22" s="5">
        <v>0.7142857142857143</v>
      </c>
      <c r="NR22" s="4">
        <v>2.0000000000000018E-2</v>
      </c>
      <c r="NS22" s="5">
        <v>0.6</v>
      </c>
      <c r="NT22" s="4">
        <v>-4.01</v>
      </c>
      <c r="NU22" s="5">
        <v>0.5</v>
      </c>
      <c r="NV22" s="4">
        <v>3.3800000000000003</v>
      </c>
      <c r="NW22" s="5">
        <v>0.75</v>
      </c>
      <c r="NX22" s="4">
        <v>16.78</v>
      </c>
      <c r="NY22" s="5">
        <v>1</v>
      </c>
      <c r="NZ22" s="4">
        <v>12.5</v>
      </c>
      <c r="OA22" s="5">
        <v>0.83333333333333337</v>
      </c>
      <c r="OB22" s="4">
        <v>-3.11</v>
      </c>
      <c r="OC22" s="5">
        <v>0</v>
      </c>
      <c r="OD22" s="4">
        <v>6.95</v>
      </c>
      <c r="OE22" s="5">
        <v>0.75</v>
      </c>
      <c r="OF22" s="4">
        <v>-6.52</v>
      </c>
      <c r="OG22" s="5">
        <v>0</v>
      </c>
      <c r="OH22" s="4">
        <v>-8.5499999999999989</v>
      </c>
      <c r="OI22" s="5">
        <v>0.5</v>
      </c>
      <c r="OJ22" s="4">
        <v>-19.959999999999997</v>
      </c>
      <c r="OK22" s="5">
        <v>0.45454545454545453</v>
      </c>
      <c r="OL22" s="4">
        <v>-0.41000000000000014</v>
      </c>
      <c r="OM22" s="5">
        <v>0.33333333333333331</v>
      </c>
      <c r="ON22" s="4">
        <v>-6.67</v>
      </c>
      <c r="OO22" s="5">
        <v>0.54545454545454541</v>
      </c>
      <c r="OP22" s="4">
        <v>-8.23</v>
      </c>
      <c r="OQ22" s="5">
        <v>0.44444444444444442</v>
      </c>
      <c r="OR22" s="4">
        <v>-10.46</v>
      </c>
      <c r="OS22" s="5">
        <v>0.42857142857142855</v>
      </c>
      <c r="OT22" s="4">
        <v>-2.8399999999999985</v>
      </c>
      <c r="OU22" s="5">
        <v>0.66666666666666663</v>
      </c>
      <c r="OV22" s="4">
        <v>-1.9100000000000019</v>
      </c>
      <c r="OW22" s="5">
        <v>0.6</v>
      </c>
      <c r="OX22" s="4">
        <v>1.17</v>
      </c>
      <c r="OY22" s="5">
        <v>0.5</v>
      </c>
      <c r="OZ22" s="4">
        <v>-11.27</v>
      </c>
      <c r="PA22" s="5">
        <v>0.42857142857142855</v>
      </c>
      <c r="PB22" s="4">
        <v>3.5600000000000005</v>
      </c>
      <c r="PC22" s="5">
        <v>0.5714285714285714</v>
      </c>
      <c r="PD22" s="4">
        <v>-4.0599999999999987</v>
      </c>
      <c r="PE22" s="5">
        <v>0.5</v>
      </c>
      <c r="PF22" s="4">
        <v>-1.8200000000000003</v>
      </c>
      <c r="PG22" s="5">
        <v>0.5714285714285714</v>
      </c>
      <c r="PH22" s="4">
        <v>15.46</v>
      </c>
      <c r="PI22" s="5">
        <v>0.75</v>
      </c>
      <c r="PJ22" s="4">
        <v>-3.89</v>
      </c>
      <c r="PK22" s="5">
        <v>0.5</v>
      </c>
      <c r="PL22" s="4"/>
      <c r="PM22" s="5"/>
      <c r="PN22" s="4"/>
      <c r="PO22" s="5"/>
      <c r="PP22" s="4">
        <v>10.48</v>
      </c>
      <c r="PQ22" s="5">
        <v>0.66666666666666663</v>
      </c>
      <c r="PR22" s="4"/>
      <c r="PS22" s="5"/>
      <c r="PT22" s="4">
        <v>-10.129999999999999</v>
      </c>
      <c r="PU22" s="5">
        <v>0.5714285714285714</v>
      </c>
      <c r="PV22" s="4">
        <v>-17.259999999999998</v>
      </c>
      <c r="PW22" s="5">
        <v>0.41666666666666669</v>
      </c>
      <c r="PX22" s="4">
        <v>14.05</v>
      </c>
      <c r="PY22" s="5">
        <v>0.8571428571428571</v>
      </c>
      <c r="PZ22" s="4">
        <v>-13.079999999999998</v>
      </c>
      <c r="QA22" s="5">
        <v>0.55555555555555558</v>
      </c>
      <c r="QB22" s="4">
        <v>8.84</v>
      </c>
      <c r="QC22" s="5">
        <v>0.55555555555555558</v>
      </c>
      <c r="QD22" s="4">
        <v>3.0200000000000005</v>
      </c>
      <c r="QE22" s="5">
        <v>0.54545454545454541</v>
      </c>
      <c r="QF22" s="4">
        <v>-22.44</v>
      </c>
      <c r="QG22" s="5">
        <v>0.27272727272727271</v>
      </c>
      <c r="QH22" s="4">
        <v>-5.5499999999999989</v>
      </c>
      <c r="QI22" s="5">
        <v>0.6</v>
      </c>
      <c r="QJ22" s="4">
        <v>-0.16999999999999948</v>
      </c>
      <c r="QK22" s="5">
        <v>0.5</v>
      </c>
      <c r="QL22" s="4">
        <v>-13.049999999999999</v>
      </c>
      <c r="QM22" s="5">
        <v>0.16666666666666666</v>
      </c>
      <c r="QN22" s="4">
        <v>-13.15</v>
      </c>
      <c r="QO22" s="5">
        <v>0.5714285714285714</v>
      </c>
      <c r="QP22" s="4">
        <v>-14.25</v>
      </c>
      <c r="QQ22" s="5">
        <v>0.44444444444444442</v>
      </c>
      <c r="QR22" s="4">
        <v>-15.150000000000002</v>
      </c>
      <c r="QS22" s="5">
        <v>0.2</v>
      </c>
      <c r="QT22" s="4"/>
      <c r="QU22" s="5"/>
      <c r="QV22" s="4">
        <v>7.4999999999999991</v>
      </c>
      <c r="QW22" s="5">
        <v>0.7</v>
      </c>
      <c r="QX22" s="4">
        <v>-20.45</v>
      </c>
      <c r="QY22" s="5">
        <v>0.22222222222222221</v>
      </c>
      <c r="QZ22" s="4">
        <v>-2.83</v>
      </c>
      <c r="RA22" s="5">
        <v>0.5</v>
      </c>
      <c r="RB22" s="4">
        <v>-6.1100000000000012</v>
      </c>
      <c r="RC22" s="5">
        <v>0.5</v>
      </c>
      <c r="RD22" s="4">
        <v>-4.32</v>
      </c>
      <c r="RE22" s="5">
        <v>0.4</v>
      </c>
      <c r="RF22" s="4">
        <v>-1.0999999999999996</v>
      </c>
      <c r="RG22" s="5">
        <v>0.6</v>
      </c>
      <c r="RH22" s="4">
        <v>-5.1999999999999993</v>
      </c>
      <c r="RI22" s="5">
        <v>0.375</v>
      </c>
      <c r="RJ22" s="4">
        <v>-16.760000000000002</v>
      </c>
      <c r="RK22" s="5">
        <v>0.1111111111111111</v>
      </c>
      <c r="RL22" s="4"/>
      <c r="RM22" s="5"/>
      <c r="RN22" s="4">
        <v>-0.21999999999999997</v>
      </c>
      <c r="RO22" s="5">
        <v>0.4</v>
      </c>
      <c r="RP22" s="4">
        <v>3.9600000000000009</v>
      </c>
      <c r="RQ22" s="5">
        <v>0.625</v>
      </c>
      <c r="RR22" s="4">
        <v>4.6499999999999995</v>
      </c>
      <c r="RS22" s="5">
        <v>0.5</v>
      </c>
      <c r="RT22" s="4">
        <v>10.02</v>
      </c>
      <c r="RU22" s="5">
        <v>0.83333333333333337</v>
      </c>
      <c r="RV22" s="4">
        <v>1.9199999999999995</v>
      </c>
      <c r="RW22" s="5">
        <v>0.5</v>
      </c>
      <c r="RX22" s="4">
        <v>-2.5599999999999996</v>
      </c>
      <c r="RY22" s="5">
        <v>0.42857142857142855</v>
      </c>
      <c r="RZ22" s="4">
        <v>5.0799999999999992</v>
      </c>
      <c r="SA22" s="5">
        <v>0.6</v>
      </c>
      <c r="SB22" s="4">
        <v>-29.770000000000003</v>
      </c>
      <c r="SC22" s="5">
        <v>0.22222222222222221</v>
      </c>
      <c r="SD22" s="4">
        <v>4.3000000000000007</v>
      </c>
      <c r="SE22" s="5">
        <v>0.66666666666666663</v>
      </c>
      <c r="SF22" s="4">
        <v>-6.9500000000000011</v>
      </c>
      <c r="SG22" s="5">
        <v>0.4</v>
      </c>
      <c r="SH22" s="4">
        <v>6.9399999999999995</v>
      </c>
      <c r="SI22" s="5">
        <v>0.75</v>
      </c>
      <c r="SJ22" s="4">
        <v>-17.329999999999998</v>
      </c>
      <c r="SK22" s="5">
        <v>0.375</v>
      </c>
      <c r="SL22" s="4">
        <v>0.2799999999999998</v>
      </c>
      <c r="SM22" s="5">
        <v>0.2857142857142857</v>
      </c>
      <c r="SN22" s="4">
        <v>-7.0300000000000011</v>
      </c>
      <c r="SO22" s="5">
        <v>0.55555555555555558</v>
      </c>
      <c r="SP22" s="4">
        <v>-10.719999999999999</v>
      </c>
      <c r="SQ22" s="5">
        <v>0.44444444444444442</v>
      </c>
      <c r="SR22" s="4">
        <v>10.75</v>
      </c>
      <c r="SS22" s="5">
        <v>0.8571428571428571</v>
      </c>
      <c r="ST22" s="4">
        <v>-4.24</v>
      </c>
      <c r="SU22" s="5">
        <v>0.25</v>
      </c>
      <c r="SV22" s="4">
        <v>-7.53</v>
      </c>
      <c r="SW22" s="5">
        <v>0.42857142857142855</v>
      </c>
      <c r="SX22" s="4">
        <v>-1.5900000000000003</v>
      </c>
      <c r="SY22" s="5">
        <v>0.55555555555555558</v>
      </c>
      <c r="SZ22" s="4">
        <v>14.16</v>
      </c>
      <c r="TA22" s="5">
        <v>0.8571428571428571</v>
      </c>
      <c r="TB22" s="4">
        <v>2.87</v>
      </c>
      <c r="TC22" s="5">
        <v>0.66666666666666663</v>
      </c>
      <c r="TD22" s="4">
        <v>-2.4399999999999995</v>
      </c>
      <c r="TE22" s="5">
        <v>0.5</v>
      </c>
      <c r="TF22" s="4">
        <v>-5.0499999999999989</v>
      </c>
      <c r="TG22" s="5">
        <v>0.375</v>
      </c>
      <c r="TH22" s="4">
        <v>7.59</v>
      </c>
      <c r="TI22" s="5">
        <v>0.66666666666666663</v>
      </c>
      <c r="TJ22" s="4">
        <v>-10.670000000000002</v>
      </c>
      <c r="TK22" s="5">
        <v>0.44444444444444442</v>
      </c>
      <c r="TL22" s="4">
        <v>-10.169999999999998</v>
      </c>
      <c r="TM22" s="5">
        <v>0.44444444444444442</v>
      </c>
      <c r="TN22" s="4">
        <v>-25.15</v>
      </c>
      <c r="TO22" s="5">
        <v>0.44444444444444442</v>
      </c>
      <c r="TP22" s="4">
        <v>7.38</v>
      </c>
      <c r="TQ22" s="5">
        <v>0.5</v>
      </c>
      <c r="TR22" s="4">
        <v>-3.33</v>
      </c>
      <c r="TS22" s="5">
        <v>0.5</v>
      </c>
      <c r="TT22" s="4">
        <v>2.5399999999999991</v>
      </c>
      <c r="TU22" s="5">
        <v>0.55555555555555558</v>
      </c>
      <c r="TV22" s="4">
        <v>-6.99</v>
      </c>
      <c r="TW22" s="5">
        <v>0.42857142857142855</v>
      </c>
      <c r="TX22" s="4"/>
      <c r="TY22" s="5"/>
      <c r="TZ22" s="4">
        <v>-9.3200000000000021</v>
      </c>
      <c r="UA22" s="5">
        <v>0.5</v>
      </c>
      <c r="UB22" s="4">
        <v>-2.9499999999999997</v>
      </c>
      <c r="UC22" s="5">
        <v>0.5</v>
      </c>
      <c r="UD22" s="4">
        <v>7.120000000000001</v>
      </c>
      <c r="UE22" s="5">
        <v>0.55555555555555558</v>
      </c>
      <c r="UF22" s="4">
        <v>7.2099999999999991</v>
      </c>
      <c r="UG22" s="5">
        <v>0.625</v>
      </c>
      <c r="UH22" s="4">
        <v>3.38</v>
      </c>
      <c r="UI22" s="5">
        <v>0.66666666666666663</v>
      </c>
      <c r="UJ22" s="4">
        <v>-7.48</v>
      </c>
      <c r="UK22" s="5">
        <v>0.33333333333333331</v>
      </c>
      <c r="UL22" s="4">
        <v>-2.83</v>
      </c>
      <c r="UM22" s="5">
        <v>0.5</v>
      </c>
      <c r="UN22" s="4">
        <v>2.589999999999999</v>
      </c>
      <c r="UO22" s="5">
        <v>0.33333333333333331</v>
      </c>
      <c r="UP22" s="4">
        <v>-7.8899999999999988</v>
      </c>
      <c r="UQ22" s="5">
        <v>0.5</v>
      </c>
      <c r="UR22" s="4">
        <v>-24.240000000000002</v>
      </c>
      <c r="US22" s="5">
        <v>0.27272727272727271</v>
      </c>
      <c r="UT22" s="4">
        <v>-21.93</v>
      </c>
      <c r="UU22" s="5">
        <v>0.42857142857142855</v>
      </c>
      <c r="UV22" s="4">
        <v>-1.27</v>
      </c>
      <c r="UW22" s="5">
        <v>0.5</v>
      </c>
      <c r="UX22" s="4">
        <v>1.6699999999999995</v>
      </c>
      <c r="UY22" s="5">
        <v>0.45454545454545453</v>
      </c>
      <c r="UZ22" s="4">
        <v>-6.5500000000000007</v>
      </c>
      <c r="VA22" s="5">
        <v>0.375</v>
      </c>
      <c r="VB22" s="4">
        <v>10.45</v>
      </c>
      <c r="VC22" s="5">
        <v>0.66666666666666663</v>
      </c>
      <c r="VD22" s="4">
        <v>4.28</v>
      </c>
      <c r="VE22" s="5">
        <v>0.625</v>
      </c>
      <c r="VF22" s="4">
        <v>-13.37</v>
      </c>
      <c r="VG22" s="5">
        <v>0.375</v>
      </c>
      <c r="VH22" s="4">
        <v>-8.6199999999999992</v>
      </c>
      <c r="VI22" s="5">
        <v>0.33333333333333331</v>
      </c>
      <c r="VJ22" s="4">
        <v>15.300000000000002</v>
      </c>
      <c r="VK22" s="5">
        <v>0.72727272727272729</v>
      </c>
      <c r="VL22" s="4">
        <v>3.7300000000000004</v>
      </c>
      <c r="VM22" s="5">
        <v>0.75</v>
      </c>
      <c r="VN22" s="4">
        <v>-8.51</v>
      </c>
      <c r="VO22" s="5">
        <v>0.5</v>
      </c>
      <c r="VP22" s="4">
        <v>-14.44</v>
      </c>
      <c r="VQ22" s="5">
        <v>0.33333333333333331</v>
      </c>
      <c r="VR22" s="4">
        <v>-6.9799999999999995</v>
      </c>
      <c r="VS22" s="5">
        <v>0.2857142857142857</v>
      </c>
      <c r="VT22" s="4">
        <v>0.91999999999999993</v>
      </c>
      <c r="VU22" s="5">
        <v>0.54545454545454541</v>
      </c>
      <c r="VV22" s="4">
        <v>-18.379999999999995</v>
      </c>
      <c r="VW22" s="5">
        <v>0.36363636363636365</v>
      </c>
      <c r="VX22" s="4">
        <v>1.1699999999999995</v>
      </c>
      <c r="VY22" s="5">
        <v>0.5</v>
      </c>
      <c r="VZ22" s="4">
        <v>1.2400000000000002</v>
      </c>
      <c r="WA22" s="5">
        <v>0.44444444444444442</v>
      </c>
      <c r="WB22" s="4"/>
      <c r="WC22" s="5"/>
      <c r="WD22" s="4">
        <v>-27.07</v>
      </c>
      <c r="WE22" s="5">
        <v>0.25</v>
      </c>
      <c r="WF22" s="4">
        <v>-7.3000000000000007</v>
      </c>
      <c r="WG22" s="5">
        <v>0.4</v>
      </c>
      <c r="WH22" s="4">
        <v>3.7499999999999982</v>
      </c>
      <c r="WI22" s="5">
        <v>0.66666666666666663</v>
      </c>
      <c r="WJ22" s="4">
        <v>-26.240000000000002</v>
      </c>
      <c r="WK22" s="5">
        <v>0.22222222222222221</v>
      </c>
      <c r="WL22" s="4">
        <v>-9.3899999999999988</v>
      </c>
      <c r="WM22" s="5">
        <v>0.23076923076923078</v>
      </c>
      <c r="WN22" s="4">
        <v>-10.46</v>
      </c>
      <c r="WO22" s="5">
        <v>0.2857142857142857</v>
      </c>
      <c r="WP22" s="4">
        <v>3.87</v>
      </c>
      <c r="WQ22" s="5">
        <v>0.66666666666666663</v>
      </c>
      <c r="WR22" s="4">
        <v>-5.92</v>
      </c>
      <c r="WS22" s="5">
        <v>0.33333333333333331</v>
      </c>
      <c r="WT22" s="4">
        <v>-0.46999999999999975</v>
      </c>
      <c r="WU22" s="5">
        <v>0.33333333333333331</v>
      </c>
      <c r="WV22" s="4">
        <v>-9.7899999999999991</v>
      </c>
      <c r="WW22" s="5">
        <v>0.33333333333333331</v>
      </c>
      <c r="WX22" s="4">
        <v>-26.979999999999997</v>
      </c>
      <c r="WY22" s="5">
        <v>0.25</v>
      </c>
      <c r="WZ22" s="4"/>
      <c r="XA22" s="5"/>
      <c r="XB22" s="4">
        <v>-19.830000000000002</v>
      </c>
      <c r="XC22" s="5">
        <v>0.3</v>
      </c>
      <c r="XD22" s="4">
        <v>-6.45</v>
      </c>
      <c r="XE22" s="5">
        <v>0.5</v>
      </c>
      <c r="XF22" s="4">
        <v>12.34</v>
      </c>
      <c r="XG22" s="5">
        <v>0.77777777777777779</v>
      </c>
      <c r="XH22" s="4">
        <v>9.6300000000000008</v>
      </c>
      <c r="XI22" s="5">
        <v>0.7142857142857143</v>
      </c>
      <c r="XJ22" s="4">
        <v>-19.729999999999997</v>
      </c>
      <c r="XK22" s="5">
        <v>0.14285714285714285</v>
      </c>
      <c r="XL22" s="4">
        <v>-1.1099999999999994</v>
      </c>
      <c r="XM22" s="5">
        <v>0.55555555555555558</v>
      </c>
      <c r="XN22" s="4">
        <v>10.930000000000001</v>
      </c>
      <c r="XO22" s="5">
        <v>0.625</v>
      </c>
      <c r="XP22" s="4">
        <v>2.5100000000000007</v>
      </c>
      <c r="XQ22" s="5">
        <v>0.66666666666666663</v>
      </c>
      <c r="XR22" s="4">
        <v>-44.819999999999993</v>
      </c>
      <c r="XS22" s="5">
        <v>0.21052631578947367</v>
      </c>
      <c r="XT22" s="4">
        <v>-11.7</v>
      </c>
      <c r="XU22" s="5">
        <v>0.33333333333333331</v>
      </c>
      <c r="XV22" s="4"/>
      <c r="XW22" s="5"/>
    </row>
    <row r="23" spans="2:647" x14ac:dyDescent="0.25">
      <c r="B23" s="737" t="s">
        <v>3</v>
      </c>
      <c r="C23" s="742" t="s">
        <v>9</v>
      </c>
      <c r="D23" s="749" t="s">
        <v>14</v>
      </c>
      <c r="E23" s="749"/>
      <c r="F23" s="446">
        <v>0.1</v>
      </c>
      <c r="G23" s="778" t="s">
        <v>5</v>
      </c>
      <c r="H23" s="61">
        <v>-0.42999999999999994</v>
      </c>
      <c r="I23" s="62">
        <v>0.42857142857142855</v>
      </c>
      <c r="J23" s="61">
        <v>-1.51</v>
      </c>
      <c r="K23" s="62">
        <v>0.30769230769230771</v>
      </c>
      <c r="L23" s="61">
        <v>-8.0000000000000071E-2</v>
      </c>
      <c r="M23" s="62">
        <v>0.61538461538461542</v>
      </c>
      <c r="N23" s="61">
        <v>-3.5199999999999996</v>
      </c>
      <c r="O23" s="62">
        <v>0.2857142857142857</v>
      </c>
      <c r="P23" s="61">
        <v>-0.4900000000000001</v>
      </c>
      <c r="Q23" s="62">
        <v>0.5</v>
      </c>
      <c r="R23" s="61">
        <v>-3.4499999999999997</v>
      </c>
      <c r="S23" s="62">
        <v>0.21428571428571427</v>
      </c>
      <c r="T23" s="61"/>
      <c r="U23" s="62"/>
      <c r="V23" s="61">
        <v>-2.1599999999999997</v>
      </c>
      <c r="W23" s="62">
        <v>0.2857142857142857</v>
      </c>
      <c r="X23" s="61"/>
      <c r="Y23" s="62"/>
      <c r="Z23" s="61">
        <v>0.25000000000000011</v>
      </c>
      <c r="AA23" s="62">
        <v>0.35714285714285715</v>
      </c>
      <c r="AB23" s="61"/>
      <c r="AC23" s="62"/>
      <c r="AD23" s="61">
        <v>-0.37</v>
      </c>
      <c r="AE23" s="62">
        <v>0.5</v>
      </c>
      <c r="AF23" s="61"/>
      <c r="AG23" s="62"/>
      <c r="AH23" s="61">
        <v>-3.9</v>
      </c>
      <c r="AI23" s="62">
        <v>0.21428571428571427</v>
      </c>
      <c r="AJ23" s="61">
        <v>-1.2899999999999998</v>
      </c>
      <c r="AK23" s="62">
        <v>0.35714285714285715</v>
      </c>
      <c r="AL23" s="61">
        <v>-2.13</v>
      </c>
      <c r="AM23" s="62">
        <v>0.23076923076923078</v>
      </c>
      <c r="AN23" s="61"/>
      <c r="AO23" s="62"/>
      <c r="AP23" s="61">
        <v>0.16999999999999993</v>
      </c>
      <c r="AQ23" s="62">
        <v>0.42857142857142855</v>
      </c>
      <c r="AR23" s="61">
        <v>0.96999999999999975</v>
      </c>
      <c r="AS23" s="62">
        <v>0.42857142857142855</v>
      </c>
      <c r="AT23" s="61"/>
      <c r="AU23" s="62"/>
      <c r="AV23" s="61">
        <v>-2.4300000000000002</v>
      </c>
      <c r="AW23" s="62">
        <v>0.21428571428571427</v>
      </c>
      <c r="AX23" s="61">
        <v>-2.34</v>
      </c>
      <c r="AY23" s="62">
        <v>0.21428571428571427</v>
      </c>
      <c r="AZ23" s="61">
        <v>-3.2699999999999996</v>
      </c>
      <c r="BA23" s="62">
        <v>0.2857142857142857</v>
      </c>
      <c r="BB23" s="61">
        <v>-2.58</v>
      </c>
      <c r="BC23" s="62">
        <v>0.2857142857142857</v>
      </c>
      <c r="BD23" s="61">
        <v>-1.6199999999999999</v>
      </c>
      <c r="BE23" s="62">
        <v>0.35714285714285715</v>
      </c>
      <c r="BF23" s="61">
        <v>-4.07</v>
      </c>
      <c r="BG23" s="62">
        <v>0.35714285714285715</v>
      </c>
      <c r="BH23" s="61"/>
      <c r="BI23" s="62"/>
      <c r="BJ23" s="61">
        <v>-3.91</v>
      </c>
      <c r="BK23" s="62">
        <v>0.30769230769230771</v>
      </c>
      <c r="BL23" s="61">
        <v>-0.20000000000000007</v>
      </c>
      <c r="BM23" s="62">
        <v>0.46153846153846156</v>
      </c>
      <c r="BN23" s="61"/>
      <c r="BO23" s="62"/>
      <c r="BP23" s="61">
        <v>-3.66</v>
      </c>
      <c r="BQ23" s="62">
        <v>0.2857142857142857</v>
      </c>
      <c r="BR23" s="61">
        <v>-1.5900000000000007</v>
      </c>
      <c r="BS23" s="62">
        <v>0.35714285714285715</v>
      </c>
      <c r="BT23" s="61"/>
      <c r="BU23" s="62"/>
      <c r="BV23" s="61">
        <v>-2.1799999999999997</v>
      </c>
      <c r="BW23" s="62">
        <v>0.42857142857142855</v>
      </c>
      <c r="BX23" s="61">
        <v>-1.2999999999999998</v>
      </c>
      <c r="BY23" s="62">
        <v>0.30769230769230771</v>
      </c>
      <c r="BZ23" s="61">
        <v>-2.81</v>
      </c>
      <c r="CA23" s="62">
        <v>0.30769230769230771</v>
      </c>
      <c r="CB23" s="61">
        <v>-1.2600000000000002</v>
      </c>
      <c r="CC23" s="62">
        <v>0.5</v>
      </c>
      <c r="CD23" s="61">
        <v>-2.6799999999999993</v>
      </c>
      <c r="CE23" s="62">
        <v>0.21428571428571427</v>
      </c>
      <c r="CF23" s="61"/>
      <c r="CG23" s="62"/>
      <c r="CH23" s="61"/>
      <c r="CI23" s="62"/>
      <c r="CJ23" s="61">
        <v>0.7999999999999996</v>
      </c>
      <c r="CK23" s="62">
        <v>0.5714285714285714</v>
      </c>
      <c r="CL23" s="61">
        <v>0.79999999999999982</v>
      </c>
      <c r="CM23" s="62">
        <v>0.38461538461538464</v>
      </c>
      <c r="CN23" s="61">
        <v>-1.8800000000000001</v>
      </c>
      <c r="CO23" s="62">
        <v>0.21428571428571427</v>
      </c>
      <c r="CP23" s="61">
        <v>-2.27</v>
      </c>
      <c r="CQ23" s="62">
        <v>0.35714285714285715</v>
      </c>
      <c r="CR23" s="61">
        <v>-1.37</v>
      </c>
      <c r="CS23" s="62">
        <v>0.2857142857142857</v>
      </c>
      <c r="CT23" s="61">
        <v>-0.88000000000000012</v>
      </c>
      <c r="CU23" s="62">
        <v>0.30769230769230771</v>
      </c>
      <c r="CV23" s="61">
        <v>-3.38</v>
      </c>
      <c r="CW23" s="62">
        <v>0.30769230769230771</v>
      </c>
      <c r="CX23" s="61">
        <v>-2.5399999999999996</v>
      </c>
      <c r="CY23" s="62">
        <v>0.42857142857142855</v>
      </c>
      <c r="CZ23" s="61"/>
      <c r="DA23" s="62"/>
      <c r="DB23" s="61">
        <v>-1.2700000000000005</v>
      </c>
      <c r="DC23" s="62">
        <v>0.46153846153846156</v>
      </c>
      <c r="DD23" s="61">
        <v>-0.66000000000000036</v>
      </c>
      <c r="DE23" s="62">
        <v>0.5</v>
      </c>
      <c r="DF23" s="61">
        <v>0.48000000000000004</v>
      </c>
      <c r="DG23" s="62">
        <v>0.5</v>
      </c>
      <c r="DH23" s="61">
        <v>-1.06</v>
      </c>
      <c r="DI23" s="62">
        <v>0.35714285714285715</v>
      </c>
      <c r="DJ23" s="61">
        <v>-1.3599999999999997</v>
      </c>
      <c r="DK23" s="62">
        <v>0.5</v>
      </c>
      <c r="DL23" s="61">
        <v>-2.19</v>
      </c>
      <c r="DM23" s="62">
        <v>0.42857142857142855</v>
      </c>
      <c r="DN23" s="61">
        <v>1.0800000000000003</v>
      </c>
      <c r="DO23" s="62">
        <v>0.5714285714285714</v>
      </c>
      <c r="DP23" s="61"/>
      <c r="DQ23" s="62"/>
      <c r="DR23" s="61">
        <v>4.1550000000000002</v>
      </c>
      <c r="DS23" s="62">
        <v>0.5625</v>
      </c>
      <c r="DT23" s="61">
        <v>1.0299999999999998</v>
      </c>
      <c r="DU23" s="62">
        <v>0.5714285714285714</v>
      </c>
      <c r="DV23" s="61">
        <v>0.66000000000000014</v>
      </c>
      <c r="DW23" s="62">
        <v>0.38461538461538464</v>
      </c>
      <c r="DX23" s="61">
        <v>0.66000000000000014</v>
      </c>
      <c r="DY23" s="62">
        <v>0.38461538461538464</v>
      </c>
      <c r="DZ23" s="61">
        <v>1.4900000000000002</v>
      </c>
      <c r="EA23" s="62">
        <v>0.5714285714285714</v>
      </c>
      <c r="EB23" s="61">
        <v>-2.83</v>
      </c>
      <c r="EC23" s="62">
        <v>0.2857142857142857</v>
      </c>
      <c r="ED23" s="61">
        <v>-3.0900000000000003</v>
      </c>
      <c r="EE23" s="62">
        <v>0.35714285714285715</v>
      </c>
      <c r="EF23" s="61">
        <v>-4.16</v>
      </c>
      <c r="EG23" s="62">
        <v>0.35714285714285715</v>
      </c>
      <c r="EH23" s="61">
        <v>0.6</v>
      </c>
      <c r="EI23" s="62">
        <v>0.35714285714285715</v>
      </c>
      <c r="EJ23" s="61"/>
      <c r="EK23" s="62"/>
      <c r="EL23" s="61"/>
      <c r="EM23" s="62"/>
      <c r="EN23" s="61">
        <v>8.9999999999999969E-2</v>
      </c>
      <c r="EO23" s="62">
        <v>0.42857142857142855</v>
      </c>
      <c r="EP23" s="61"/>
      <c r="EQ23" s="62"/>
      <c r="ER23" s="61">
        <v>-0.87000000000000011</v>
      </c>
      <c r="ES23" s="62">
        <v>0.42857142857142855</v>
      </c>
      <c r="ET23" s="61">
        <v>-5.3599999999999985</v>
      </c>
      <c r="EU23" s="62">
        <v>7.1428571428571425E-2</v>
      </c>
      <c r="EV23" s="61">
        <v>-3.6599999999999993</v>
      </c>
      <c r="EW23" s="62">
        <v>0.21428571428571427</v>
      </c>
      <c r="EX23" s="61">
        <v>-2.6</v>
      </c>
      <c r="EY23" s="62">
        <v>0.35714285714285715</v>
      </c>
      <c r="EZ23" s="61"/>
      <c r="FA23" s="62"/>
      <c r="FB23" s="61">
        <v>-3.1900000000000004</v>
      </c>
      <c r="FC23" s="62">
        <v>0.30769230769230771</v>
      </c>
      <c r="FD23" s="61">
        <v>-4.91</v>
      </c>
      <c r="FE23" s="62">
        <v>0.2857142857142857</v>
      </c>
      <c r="FF23" s="61">
        <v>-2.5299999999999998</v>
      </c>
      <c r="FG23" s="62">
        <v>0.2857142857142857</v>
      </c>
      <c r="FH23" s="61">
        <v>-2.6399999999999997</v>
      </c>
      <c r="FI23" s="62">
        <v>0.33333333333333331</v>
      </c>
      <c r="FJ23" s="61">
        <v>-3.4899999999999998</v>
      </c>
      <c r="FK23" s="62">
        <v>0.35714285714285715</v>
      </c>
      <c r="FL23" s="61">
        <v>-3.6700000000000004</v>
      </c>
      <c r="FM23" s="62">
        <v>0.5</v>
      </c>
      <c r="FN23" s="61">
        <v>-3.59</v>
      </c>
      <c r="FO23" s="62">
        <v>0.35714285714285715</v>
      </c>
      <c r="FP23" s="61">
        <v>-0.32000000000000006</v>
      </c>
      <c r="FQ23" s="62">
        <v>0.2857142857142857</v>
      </c>
      <c r="FR23" s="61">
        <v>-3.73</v>
      </c>
      <c r="FS23" s="62">
        <v>0.21428571428571427</v>
      </c>
      <c r="FT23" s="61">
        <v>-6.9</v>
      </c>
      <c r="FU23" s="62">
        <v>0.21428571428571427</v>
      </c>
      <c r="FV23" s="61">
        <v>-2.9599999999999995</v>
      </c>
      <c r="FW23" s="62">
        <v>0.21428571428571427</v>
      </c>
      <c r="FX23" s="61">
        <v>-2.9999999999999971E-2</v>
      </c>
      <c r="FY23" s="62">
        <v>0.42857142857142855</v>
      </c>
      <c r="FZ23" s="61">
        <v>-3.11</v>
      </c>
      <c r="GA23" s="62">
        <v>0.42857142857142855</v>
      </c>
      <c r="GB23" s="61">
        <v>-1.6099999999999997</v>
      </c>
      <c r="GC23" s="62">
        <v>0.42857142857142855</v>
      </c>
      <c r="GD23" s="61">
        <v>-2.7300000000000004</v>
      </c>
      <c r="GE23" s="62">
        <v>0.2857142857142857</v>
      </c>
      <c r="GF23" s="61">
        <v>-3.33</v>
      </c>
      <c r="GG23" s="62">
        <v>0.2857142857142857</v>
      </c>
      <c r="GH23" s="61">
        <v>-1.37</v>
      </c>
      <c r="GI23" s="62">
        <v>0.5</v>
      </c>
      <c r="GJ23" s="61">
        <v>-1.1599999999999997</v>
      </c>
      <c r="GK23" s="62">
        <v>0.30769230769230771</v>
      </c>
      <c r="GL23" s="61">
        <v>0.18000000000000038</v>
      </c>
      <c r="GM23" s="62">
        <v>0.6428571428571429</v>
      </c>
      <c r="GN23" s="61"/>
      <c r="GO23" s="62"/>
      <c r="GP23" s="61">
        <v>-0.84000000000000008</v>
      </c>
      <c r="GQ23" s="62">
        <v>0.42857142857142855</v>
      </c>
      <c r="GR23" s="61">
        <v>-0.68000000000000016</v>
      </c>
      <c r="GS23" s="62">
        <v>0.42857142857142855</v>
      </c>
      <c r="GT23" s="61">
        <v>-4.6800000000000015</v>
      </c>
      <c r="GU23" s="62">
        <v>0.35714285714285715</v>
      </c>
      <c r="GV23" s="61">
        <v>-1.1900000000000002</v>
      </c>
      <c r="GW23" s="62">
        <v>0.5</v>
      </c>
      <c r="GX23" s="61">
        <v>-3.21</v>
      </c>
      <c r="GY23" s="62">
        <v>0.15384615384615385</v>
      </c>
      <c r="GZ23" s="61"/>
      <c r="HA23" s="62"/>
      <c r="HB23" s="61">
        <v>-0.16999999999999982</v>
      </c>
      <c r="HC23" s="62">
        <v>0.38461538461538464</v>
      </c>
      <c r="HD23" s="61">
        <v>-0.59999999999999976</v>
      </c>
      <c r="HE23" s="62">
        <v>0.42857142857142855</v>
      </c>
      <c r="HF23" s="61">
        <v>1.8099999999999998</v>
      </c>
      <c r="HG23" s="62">
        <v>0.5714285714285714</v>
      </c>
      <c r="HH23" s="61">
        <v>-4.4799999999999995</v>
      </c>
      <c r="HI23" s="62">
        <v>0.35714285714285715</v>
      </c>
      <c r="HJ23" s="61">
        <v>-1.87</v>
      </c>
      <c r="HK23" s="62">
        <v>0.38461538461538464</v>
      </c>
      <c r="HL23" s="61">
        <v>-3.54</v>
      </c>
      <c r="HM23" s="62">
        <v>0.2857142857142857</v>
      </c>
      <c r="HN23" s="61">
        <v>-2.33</v>
      </c>
      <c r="HO23" s="62">
        <v>0.16666666666666666</v>
      </c>
      <c r="HP23" s="61">
        <v>-2.4400000000000004</v>
      </c>
      <c r="HQ23" s="62">
        <v>0.35714285714285715</v>
      </c>
      <c r="HR23" s="61">
        <v>-2.73</v>
      </c>
      <c r="HS23" s="62">
        <v>0.2857142857142857</v>
      </c>
      <c r="HT23" s="61">
        <v>-1.3600000000000003</v>
      </c>
      <c r="HU23" s="62">
        <v>0.21428571428571427</v>
      </c>
      <c r="HV23" s="61">
        <v>2.4799999999999995</v>
      </c>
      <c r="HW23" s="62">
        <v>0.42857142857142855</v>
      </c>
      <c r="HX23" s="61"/>
      <c r="HY23" s="62"/>
      <c r="HZ23" s="61"/>
      <c r="IA23" s="62"/>
      <c r="IB23" s="61">
        <v>-1.54</v>
      </c>
      <c r="IC23" s="62">
        <v>0.42857142857142855</v>
      </c>
      <c r="ID23" s="61">
        <v>-1.04</v>
      </c>
      <c r="IE23" s="62">
        <v>0.2</v>
      </c>
      <c r="IF23" s="61">
        <v>-1.28</v>
      </c>
      <c r="IG23" s="62">
        <v>0.21428571428571427</v>
      </c>
      <c r="IH23" s="61">
        <v>-3.56</v>
      </c>
      <c r="II23" s="62">
        <v>0.2857142857142857</v>
      </c>
      <c r="IJ23" s="61">
        <v>-4.21</v>
      </c>
      <c r="IK23" s="62">
        <v>0.42857142857142855</v>
      </c>
      <c r="IL23" s="61">
        <v>-3.1300000000000008</v>
      </c>
      <c r="IM23" s="62">
        <v>0.35714285714285715</v>
      </c>
      <c r="IN23" s="61">
        <v>-9.0000000000000024E-2</v>
      </c>
      <c r="IO23" s="62">
        <v>0.42857142857142855</v>
      </c>
      <c r="IP23" s="61">
        <v>-0.47</v>
      </c>
      <c r="IQ23" s="62">
        <v>0.2857142857142857</v>
      </c>
      <c r="IR23" s="61"/>
      <c r="IS23" s="62"/>
      <c r="IT23" s="61"/>
      <c r="IU23" s="62"/>
      <c r="IV23" s="61">
        <v>-2.63</v>
      </c>
      <c r="IW23" s="62">
        <v>0.2857142857142857</v>
      </c>
      <c r="IX23" s="61"/>
      <c r="IY23" s="62"/>
      <c r="IZ23" s="61"/>
      <c r="JA23" s="62"/>
      <c r="JB23" s="61">
        <v>-2.0999999999999996</v>
      </c>
      <c r="JC23" s="62">
        <v>0.42857142857142855</v>
      </c>
      <c r="JD23" s="61"/>
      <c r="JE23" s="62"/>
      <c r="JF23" s="61">
        <v>-2</v>
      </c>
      <c r="JG23" s="62">
        <v>0.35714285714285715</v>
      </c>
      <c r="JH23" s="61">
        <v>-1.51</v>
      </c>
      <c r="JI23" s="62">
        <v>0.5</v>
      </c>
      <c r="JJ23" s="61">
        <v>-1.9500000000000002</v>
      </c>
      <c r="JK23" s="62">
        <v>0.35714285714285715</v>
      </c>
      <c r="JL23" s="61">
        <v>-4.12</v>
      </c>
      <c r="JM23" s="62">
        <v>0.2857142857142857</v>
      </c>
      <c r="JN23" s="61">
        <v>-1.0000000000000002</v>
      </c>
      <c r="JO23" s="62">
        <v>0.35714285714285715</v>
      </c>
      <c r="JP23" s="61">
        <v>-3.1700000000000004</v>
      </c>
      <c r="JQ23" s="62">
        <v>0.21428571428571427</v>
      </c>
      <c r="JR23" s="61">
        <v>-2.5</v>
      </c>
      <c r="JS23" s="62">
        <v>0.35714285714285715</v>
      </c>
      <c r="JT23" s="61"/>
      <c r="JU23" s="62"/>
      <c r="JV23" s="61"/>
      <c r="JW23" s="62"/>
      <c r="JX23" s="61">
        <v>-0.38000000000000012</v>
      </c>
      <c r="JY23" s="62">
        <v>0.42857142857142855</v>
      </c>
      <c r="JZ23" s="61">
        <v>-3.04</v>
      </c>
      <c r="KA23" s="62">
        <v>0.21428571428571427</v>
      </c>
      <c r="KB23" s="61">
        <v>-0.83000000000000007</v>
      </c>
      <c r="KC23" s="62">
        <v>0.42857142857142855</v>
      </c>
      <c r="KD23" s="61">
        <v>-1.8199999999999998</v>
      </c>
      <c r="KE23" s="62">
        <v>0.5</v>
      </c>
      <c r="KF23" s="61">
        <v>-2.0399999999999996</v>
      </c>
      <c r="KG23" s="62">
        <v>0.35714285714285715</v>
      </c>
      <c r="KH23" s="61">
        <v>-0.8</v>
      </c>
      <c r="KI23" s="62">
        <v>0.5</v>
      </c>
      <c r="KJ23" s="61">
        <v>-1.6800000000000002</v>
      </c>
      <c r="KK23" s="62">
        <v>0.5</v>
      </c>
      <c r="KL23" s="61">
        <v>-1.08</v>
      </c>
      <c r="KM23" s="62">
        <v>0.30769230769230771</v>
      </c>
      <c r="KN23" s="61">
        <v>-1.55</v>
      </c>
      <c r="KO23" s="62">
        <v>0.2857142857142857</v>
      </c>
      <c r="KP23" s="61"/>
      <c r="KQ23" s="62"/>
      <c r="KR23" s="61">
        <v>-1.6099999999999999</v>
      </c>
      <c r="KS23" s="62">
        <v>0.30769230769230771</v>
      </c>
      <c r="KT23" s="61"/>
      <c r="KU23" s="62"/>
      <c r="KV23" s="61">
        <v>-1.9100000000000004</v>
      </c>
      <c r="KW23" s="62">
        <v>0.42857142857142855</v>
      </c>
      <c r="KX23" s="61">
        <v>-3.0100000000000007</v>
      </c>
      <c r="KY23" s="62">
        <v>0.2857142857142857</v>
      </c>
      <c r="KZ23" s="61">
        <v>-5.879999999999999</v>
      </c>
      <c r="LA23" s="62">
        <v>0.23076923076923078</v>
      </c>
      <c r="LB23" s="61">
        <v>0.16000000000000014</v>
      </c>
      <c r="LC23" s="62">
        <v>0.5714285714285714</v>
      </c>
      <c r="LD23" s="61">
        <v>-2.33</v>
      </c>
      <c r="LE23" s="62">
        <v>0.46153846153846156</v>
      </c>
      <c r="LF23" s="61">
        <v>5.14</v>
      </c>
      <c r="LG23" s="62">
        <v>0.5</v>
      </c>
      <c r="LH23" s="61">
        <v>-1.9399999999999997</v>
      </c>
      <c r="LI23" s="62">
        <v>0.5714285714285714</v>
      </c>
      <c r="LJ23" s="61"/>
      <c r="LK23" s="62"/>
      <c r="LL23" s="61"/>
      <c r="LM23" s="62"/>
      <c r="LN23" s="61">
        <v>-0.24</v>
      </c>
      <c r="LO23" s="62">
        <v>0.42857142857142855</v>
      </c>
      <c r="LP23" s="61">
        <v>-1.6300000000000001</v>
      </c>
      <c r="LQ23" s="62">
        <v>0.5714285714285714</v>
      </c>
      <c r="LR23" s="61">
        <v>0.30000000000000054</v>
      </c>
      <c r="LS23" s="62">
        <v>0.6428571428571429</v>
      </c>
      <c r="LT23" s="61">
        <v>-7.080000000000001</v>
      </c>
      <c r="LU23" s="62">
        <v>0.2857142857142857</v>
      </c>
      <c r="LV23" s="61">
        <v>-2.5199999999999982</v>
      </c>
      <c r="LW23" s="62">
        <v>0.58333333333333337</v>
      </c>
      <c r="LX23" s="61">
        <v>-3.6799999999999997</v>
      </c>
      <c r="LY23" s="62">
        <v>0.53846153846153844</v>
      </c>
      <c r="LZ23" s="61">
        <v>-0.92999999999999972</v>
      </c>
      <c r="MA23" s="62">
        <v>0.5</v>
      </c>
      <c r="MB23" s="61">
        <v>-11.03</v>
      </c>
      <c r="MC23" s="62">
        <v>0.35714285714285715</v>
      </c>
      <c r="MD23" s="61"/>
      <c r="ME23" s="62"/>
      <c r="MF23" s="61">
        <v>0.75000000000000044</v>
      </c>
      <c r="MG23" s="62">
        <v>0.5</v>
      </c>
      <c r="MH23" s="61">
        <v>4.66</v>
      </c>
      <c r="MI23" s="62">
        <v>0.66666666666666663</v>
      </c>
      <c r="MJ23" s="61">
        <v>0.31999999999999995</v>
      </c>
      <c r="MK23" s="62">
        <v>0.5</v>
      </c>
      <c r="ML23" s="61">
        <v>-4.7699999999999996</v>
      </c>
      <c r="MM23" s="62">
        <v>0.4</v>
      </c>
      <c r="MN23" s="61">
        <v>-1.52</v>
      </c>
      <c r="MO23" s="62">
        <v>0</v>
      </c>
      <c r="MP23" s="61">
        <v>0.9</v>
      </c>
      <c r="MQ23" s="62">
        <v>1</v>
      </c>
      <c r="MR23" s="61">
        <v>0.73</v>
      </c>
      <c r="MS23" s="62">
        <v>0.5</v>
      </c>
      <c r="MT23" s="61">
        <v>-0.3</v>
      </c>
      <c r="MU23" s="62">
        <v>0.5</v>
      </c>
      <c r="MV23" s="61">
        <v>-1.0599999999999998</v>
      </c>
      <c r="MW23" s="62">
        <v>0.5</v>
      </c>
      <c r="MX23" s="61">
        <v>-3.06</v>
      </c>
      <c r="MY23" s="62">
        <v>0.16666666666666666</v>
      </c>
      <c r="MZ23" s="61">
        <v>0.81000000000000016</v>
      </c>
      <c r="NA23" s="62">
        <v>0.5714285714285714</v>
      </c>
      <c r="NB23" s="61">
        <v>-4.4499999999999993</v>
      </c>
      <c r="NC23" s="62">
        <v>0.25</v>
      </c>
      <c r="ND23" s="61"/>
      <c r="NE23" s="62"/>
      <c r="NF23" s="61">
        <v>2.2399999999999998</v>
      </c>
      <c r="NG23" s="62">
        <v>0.45454545454545453</v>
      </c>
      <c r="NH23" s="61">
        <v>2.2399999999999998</v>
      </c>
      <c r="NI23" s="62">
        <v>0.45454545454545453</v>
      </c>
      <c r="NJ23" s="61">
        <v>-5.1599999999999993</v>
      </c>
      <c r="NK23" s="62">
        <v>0.46153846153846156</v>
      </c>
      <c r="NL23" s="61"/>
      <c r="NM23" s="62"/>
      <c r="NN23" s="61"/>
      <c r="NO23" s="62"/>
      <c r="NP23" s="61">
        <v>-2.57</v>
      </c>
      <c r="NQ23" s="62">
        <v>0.44444444444444442</v>
      </c>
      <c r="NR23" s="61">
        <v>-2.4</v>
      </c>
      <c r="NS23" s="62">
        <v>0.14285714285714285</v>
      </c>
      <c r="NT23" s="61">
        <v>-9.9999999999999978E-2</v>
      </c>
      <c r="NU23" s="62">
        <v>0.4</v>
      </c>
      <c r="NV23" s="61">
        <v>-1.000000000000012E-2</v>
      </c>
      <c r="NW23" s="62">
        <v>0.5</v>
      </c>
      <c r="NX23" s="61">
        <v>1.3699999999999997</v>
      </c>
      <c r="NY23" s="62">
        <v>0.5</v>
      </c>
      <c r="NZ23" s="61">
        <v>0.1900000000000002</v>
      </c>
      <c r="OA23" s="62">
        <v>0.46153846153846156</v>
      </c>
      <c r="OB23" s="61">
        <v>-3.4000000000000004</v>
      </c>
      <c r="OC23" s="62">
        <v>0.33333333333333331</v>
      </c>
      <c r="OD23" s="61">
        <v>-1.1999999999999997</v>
      </c>
      <c r="OE23" s="62">
        <v>0.33333333333333331</v>
      </c>
      <c r="OF23" s="61">
        <v>-4.1900000000000004</v>
      </c>
      <c r="OG23" s="62">
        <v>0.33333333333333331</v>
      </c>
      <c r="OH23" s="61">
        <v>-1.5299999999999998</v>
      </c>
      <c r="OI23" s="62">
        <v>0.4</v>
      </c>
      <c r="OJ23" s="61"/>
      <c r="OK23" s="62"/>
      <c r="OL23" s="61">
        <v>0.61000000000000032</v>
      </c>
      <c r="OM23" s="62">
        <v>0.5</v>
      </c>
      <c r="ON23" s="61">
        <v>-11.030000000000001</v>
      </c>
      <c r="OO23" s="62">
        <v>0.2857142857142857</v>
      </c>
      <c r="OP23" s="61">
        <v>-1.51</v>
      </c>
      <c r="OQ23" s="62">
        <v>0.42857142857142855</v>
      </c>
      <c r="OR23" s="61">
        <v>-2.08</v>
      </c>
      <c r="OS23" s="62">
        <v>0.42857142857142855</v>
      </c>
      <c r="OT23" s="61">
        <v>-0.94000000000000006</v>
      </c>
      <c r="OU23" s="62">
        <v>0.53333333333333333</v>
      </c>
      <c r="OV23" s="61"/>
      <c r="OW23" s="62"/>
      <c r="OX23" s="61">
        <v>-4.47</v>
      </c>
      <c r="OY23" s="62">
        <v>0.2857142857142857</v>
      </c>
      <c r="OZ23" s="61">
        <v>3.92</v>
      </c>
      <c r="PA23" s="62">
        <v>0.73333333333333328</v>
      </c>
      <c r="PB23" s="61">
        <v>3.9599999999999995</v>
      </c>
      <c r="PC23" s="62">
        <v>0.53846153846153844</v>
      </c>
      <c r="PD23" s="61">
        <v>-9.0300000000000011</v>
      </c>
      <c r="PE23" s="62">
        <v>0.21428571428571427</v>
      </c>
      <c r="PF23" s="61">
        <v>2.7899999999999991</v>
      </c>
      <c r="PG23" s="62">
        <v>0.5</v>
      </c>
      <c r="PH23" s="61">
        <v>0.88000000000000023</v>
      </c>
      <c r="PI23" s="62">
        <v>0.42857142857142855</v>
      </c>
      <c r="PJ23" s="61"/>
      <c r="PK23" s="62"/>
      <c r="PL23" s="61"/>
      <c r="PM23" s="62"/>
      <c r="PN23" s="61"/>
      <c r="PO23" s="62"/>
      <c r="PP23" s="61">
        <v>-0.99999999999999978</v>
      </c>
      <c r="PQ23" s="62">
        <v>0.5714285714285714</v>
      </c>
      <c r="PR23" s="61">
        <v>-0.7100000000000003</v>
      </c>
      <c r="PS23" s="62">
        <v>0.5</v>
      </c>
      <c r="PT23" s="61">
        <v>-1.4499999999999997</v>
      </c>
      <c r="PU23" s="62">
        <v>0.4</v>
      </c>
      <c r="PV23" s="61">
        <v>-0.68000000000000016</v>
      </c>
      <c r="PW23" s="62">
        <v>0.35714285714285715</v>
      </c>
      <c r="PX23" s="61">
        <v>2.33</v>
      </c>
      <c r="PY23" s="62">
        <v>0.6428571428571429</v>
      </c>
      <c r="PZ23" s="61">
        <v>-7.8599999999999994</v>
      </c>
      <c r="QA23" s="62">
        <v>0.21428571428571427</v>
      </c>
      <c r="QB23" s="61">
        <v>-7.7800000000000011</v>
      </c>
      <c r="QC23" s="62">
        <v>0.21428571428571427</v>
      </c>
      <c r="QD23" s="61">
        <v>-7.25</v>
      </c>
      <c r="QE23" s="62">
        <v>0.14285714285714285</v>
      </c>
      <c r="QF23" s="61">
        <v>-6.0000000000000109E-2</v>
      </c>
      <c r="QG23" s="62">
        <v>0.5714285714285714</v>
      </c>
      <c r="QH23" s="61">
        <v>-7.4</v>
      </c>
      <c r="QI23" s="62">
        <v>0.14285714285714285</v>
      </c>
      <c r="QJ23" s="61">
        <v>-0.38999999999999935</v>
      </c>
      <c r="QK23" s="62">
        <v>0.38461538461538464</v>
      </c>
      <c r="QL23" s="61">
        <v>-2.44</v>
      </c>
      <c r="QM23" s="62">
        <v>0.5</v>
      </c>
      <c r="QN23" s="61">
        <v>-4.49</v>
      </c>
      <c r="QO23" s="62">
        <v>0.2857142857142857</v>
      </c>
      <c r="QP23" s="61">
        <v>-1.2999999999999998</v>
      </c>
      <c r="QQ23" s="62">
        <v>0.38461538461538464</v>
      </c>
      <c r="QR23" s="61">
        <v>-1.9799999999999998</v>
      </c>
      <c r="QS23" s="62">
        <v>0.46153846153846156</v>
      </c>
      <c r="QT23" s="61">
        <v>-0.14999999999999991</v>
      </c>
      <c r="QU23" s="62">
        <v>0.58333333333333337</v>
      </c>
      <c r="QV23" s="61">
        <v>-2.81</v>
      </c>
      <c r="QW23" s="62">
        <v>0.42857142857142855</v>
      </c>
      <c r="QX23" s="61">
        <v>-4.1399999999999997</v>
      </c>
      <c r="QY23" s="62">
        <v>0.14285714285714285</v>
      </c>
      <c r="QZ23" s="61"/>
      <c r="RA23" s="62"/>
      <c r="RB23" s="61">
        <v>-2.81</v>
      </c>
      <c r="RC23" s="62">
        <v>0.23076923076923078</v>
      </c>
      <c r="RD23" s="61">
        <v>-2.5100000000000007</v>
      </c>
      <c r="RE23" s="62">
        <v>0.33333333333333331</v>
      </c>
      <c r="RF23" s="61">
        <v>-1.56</v>
      </c>
      <c r="RG23" s="62">
        <v>0.42857142857142855</v>
      </c>
      <c r="RH23" s="61">
        <v>-4.6199999999999992</v>
      </c>
      <c r="RI23" s="62">
        <v>0.14285714285714285</v>
      </c>
      <c r="RJ23" s="61">
        <v>0.69000000000000017</v>
      </c>
      <c r="RK23" s="62">
        <v>0.53846153846153844</v>
      </c>
      <c r="RL23" s="61"/>
      <c r="RM23" s="62"/>
      <c r="RN23" s="61">
        <v>-0.16999999999999993</v>
      </c>
      <c r="RO23" s="62">
        <v>0.42857142857142855</v>
      </c>
      <c r="RP23" s="61">
        <v>-0.87000000000000055</v>
      </c>
      <c r="RQ23" s="62">
        <v>0.42857142857142855</v>
      </c>
      <c r="RR23" s="61">
        <v>-3.76</v>
      </c>
      <c r="RS23" s="62">
        <v>0.5</v>
      </c>
      <c r="RT23" s="61">
        <v>-3.7199999999999998</v>
      </c>
      <c r="RU23" s="62">
        <v>0.35714285714285715</v>
      </c>
      <c r="RV23" s="61">
        <v>-1.3799999999999997</v>
      </c>
      <c r="RW23" s="62">
        <v>0.5714285714285714</v>
      </c>
      <c r="RX23" s="61">
        <v>0.72000000000000008</v>
      </c>
      <c r="RY23" s="62">
        <v>0.5</v>
      </c>
      <c r="RZ23" s="61">
        <v>-0.85000000000000009</v>
      </c>
      <c r="SA23" s="62">
        <v>0.42857142857142855</v>
      </c>
      <c r="SB23" s="61">
        <v>-4.25</v>
      </c>
      <c r="SC23" s="62">
        <v>0.35714285714285715</v>
      </c>
      <c r="SD23" s="61">
        <v>-0.27999999999999964</v>
      </c>
      <c r="SE23" s="62">
        <v>0.6428571428571429</v>
      </c>
      <c r="SF23" s="61"/>
      <c r="SG23" s="62"/>
      <c r="SH23" s="61">
        <v>-3.4899999999999998</v>
      </c>
      <c r="SI23" s="62">
        <v>0.30769230769230771</v>
      </c>
      <c r="SJ23" s="61">
        <v>-4.3</v>
      </c>
      <c r="SK23" s="62">
        <v>0.21428571428571427</v>
      </c>
      <c r="SL23" s="61">
        <v>-4.37</v>
      </c>
      <c r="SM23" s="62">
        <v>0.35714285714285715</v>
      </c>
      <c r="SN23" s="61">
        <v>-7.48</v>
      </c>
      <c r="SO23" s="62">
        <v>0.14285714285714285</v>
      </c>
      <c r="SP23" s="61">
        <v>-2.5799999999999996</v>
      </c>
      <c r="SQ23" s="62">
        <v>0.38461538461538464</v>
      </c>
      <c r="SR23" s="61">
        <v>-2.6899999999999995</v>
      </c>
      <c r="SS23" s="62">
        <v>0.38461538461538464</v>
      </c>
      <c r="ST23" s="61">
        <v>-4.1499999999999995</v>
      </c>
      <c r="SU23" s="62">
        <v>0.2857142857142857</v>
      </c>
      <c r="SV23" s="61">
        <v>-4.88</v>
      </c>
      <c r="SW23" s="62">
        <v>0.14285714285714285</v>
      </c>
      <c r="SX23" s="61"/>
      <c r="SY23" s="62"/>
      <c r="SZ23" s="61">
        <v>-5.48</v>
      </c>
      <c r="TA23" s="62">
        <v>0.21428571428571427</v>
      </c>
      <c r="TB23" s="61">
        <v>-3.4600000000000009</v>
      </c>
      <c r="TC23" s="62">
        <v>0.30769230769230771</v>
      </c>
      <c r="TD23" s="61">
        <v>-0.23999999999999988</v>
      </c>
      <c r="TE23" s="62">
        <v>0.46153846153846156</v>
      </c>
      <c r="TF23" s="61">
        <v>0.24000000000000016</v>
      </c>
      <c r="TG23" s="62">
        <v>0.38461538461538464</v>
      </c>
      <c r="TH23" s="61">
        <v>-2.04</v>
      </c>
      <c r="TI23" s="62">
        <v>0.42857142857142855</v>
      </c>
      <c r="TJ23" s="61">
        <v>-1.3299999999999998</v>
      </c>
      <c r="TK23" s="62">
        <v>0.5</v>
      </c>
      <c r="TL23" s="61">
        <v>-2.3699999999999997</v>
      </c>
      <c r="TM23" s="62">
        <v>0.35714285714285715</v>
      </c>
      <c r="TN23" s="61"/>
      <c r="TO23" s="62"/>
      <c r="TP23" s="61">
        <v>-0.42999999999999983</v>
      </c>
      <c r="TQ23" s="62">
        <v>0.35714285714285715</v>
      </c>
      <c r="TR23" s="61">
        <v>-10.440000000000001</v>
      </c>
      <c r="TS23" s="62">
        <v>0</v>
      </c>
      <c r="TT23" s="61">
        <v>1.5999999999999999</v>
      </c>
      <c r="TU23" s="62">
        <v>0.42857142857142855</v>
      </c>
      <c r="TV23" s="61">
        <v>-6.2700000000000005</v>
      </c>
      <c r="TW23" s="62">
        <v>0.21428571428571427</v>
      </c>
      <c r="TX23" s="61"/>
      <c r="TY23" s="62"/>
      <c r="TZ23" s="61">
        <v>-4.12</v>
      </c>
      <c r="UA23" s="62">
        <v>0.21428571428571427</v>
      </c>
      <c r="UB23" s="61">
        <v>-4.6399999999999997</v>
      </c>
      <c r="UC23" s="62">
        <v>0.4</v>
      </c>
      <c r="UD23" s="61">
        <v>-1.3199999999999998</v>
      </c>
      <c r="UE23" s="62">
        <v>0.33333333333333331</v>
      </c>
      <c r="UF23" s="61">
        <v>-3.38</v>
      </c>
      <c r="UG23" s="62">
        <v>0.33333333333333331</v>
      </c>
      <c r="UH23" s="61">
        <v>-6.13</v>
      </c>
      <c r="UI23" s="62">
        <v>0.26666666666666666</v>
      </c>
      <c r="UJ23" s="61">
        <v>-0.4900000000000001</v>
      </c>
      <c r="UK23" s="62">
        <v>0.46666666666666667</v>
      </c>
      <c r="UL23" s="61">
        <v>-4.6599999999999984</v>
      </c>
      <c r="UM23" s="62">
        <v>0.33333333333333331</v>
      </c>
      <c r="UN23" s="61">
        <v>2.7299999999999995</v>
      </c>
      <c r="UO23" s="62">
        <v>0.42857142857142855</v>
      </c>
      <c r="UP23" s="61">
        <v>-4.3299999999999992</v>
      </c>
      <c r="UQ23" s="62">
        <v>0.35714285714285715</v>
      </c>
      <c r="UR23" s="61">
        <v>-0.94999999999999973</v>
      </c>
      <c r="US23" s="62">
        <v>0.33333333333333331</v>
      </c>
      <c r="UT23" s="61">
        <v>-5.18</v>
      </c>
      <c r="UU23" s="62">
        <v>0.21428571428571427</v>
      </c>
      <c r="UV23" s="61">
        <v>-2.0000000000000129E-2</v>
      </c>
      <c r="UW23" s="62">
        <v>0.6</v>
      </c>
      <c r="UX23" s="61">
        <v>-3.8400000000000003</v>
      </c>
      <c r="UY23" s="62">
        <v>0.21428571428571427</v>
      </c>
      <c r="UZ23" s="61"/>
      <c r="VA23" s="62"/>
      <c r="VB23" s="61">
        <v>-4.5600000000000005</v>
      </c>
      <c r="VC23" s="62">
        <v>0.2</v>
      </c>
      <c r="VD23" s="61">
        <v>-4.78</v>
      </c>
      <c r="VE23" s="62">
        <v>0.14285714285714285</v>
      </c>
      <c r="VF23" s="61">
        <v>-1.27</v>
      </c>
      <c r="VG23" s="62">
        <v>0.21428571428571427</v>
      </c>
      <c r="VH23" s="61">
        <v>-2.5699999999999994</v>
      </c>
      <c r="VI23" s="62">
        <v>0.33333333333333331</v>
      </c>
      <c r="VJ23" s="61">
        <v>-1.2400000000000002</v>
      </c>
      <c r="VK23" s="62">
        <v>0.35714285714285715</v>
      </c>
      <c r="VL23" s="61">
        <v>-4.1700000000000008</v>
      </c>
      <c r="VM23" s="62">
        <v>0.26666666666666666</v>
      </c>
      <c r="VN23" s="61">
        <v>-0.90000000000000013</v>
      </c>
      <c r="VO23" s="62">
        <v>0.26666666666666666</v>
      </c>
      <c r="VP23" s="61">
        <v>-1.3400000000000003</v>
      </c>
      <c r="VQ23" s="62">
        <v>0.30769230769230771</v>
      </c>
      <c r="VR23" s="61"/>
      <c r="VS23" s="62"/>
      <c r="VT23" s="61">
        <v>-0.8899999999999999</v>
      </c>
      <c r="VU23" s="62">
        <v>0.4</v>
      </c>
      <c r="VV23" s="61">
        <v>3.9800000000000009</v>
      </c>
      <c r="VW23" s="62">
        <v>0.66666666666666663</v>
      </c>
      <c r="VX23" s="61">
        <v>-7.37</v>
      </c>
      <c r="VY23" s="62">
        <v>0.35714285714285715</v>
      </c>
      <c r="VZ23" s="61">
        <v>-3.01</v>
      </c>
      <c r="WA23" s="62">
        <v>0.35714285714285715</v>
      </c>
      <c r="WB23" s="61"/>
      <c r="WC23" s="62"/>
      <c r="WD23" s="61">
        <v>0.53000000000000014</v>
      </c>
      <c r="WE23" s="62">
        <v>0.4</v>
      </c>
      <c r="WF23" s="61">
        <v>-3.3500000000000005</v>
      </c>
      <c r="WG23" s="62">
        <v>0.46153846153846156</v>
      </c>
      <c r="WH23" s="61">
        <v>2.9999999999999916E-2</v>
      </c>
      <c r="WI23" s="62">
        <v>0.5714285714285714</v>
      </c>
      <c r="WJ23" s="61">
        <v>-2.1</v>
      </c>
      <c r="WK23" s="62">
        <v>0.5</v>
      </c>
      <c r="WL23" s="61">
        <v>-1.0899999999999999</v>
      </c>
      <c r="WM23" s="62">
        <v>0.35714285714285715</v>
      </c>
      <c r="WN23" s="61">
        <v>-0.3499999999999997</v>
      </c>
      <c r="WO23" s="62">
        <v>0.35714285714285715</v>
      </c>
      <c r="WP23" s="61">
        <v>-3.9699999999999998</v>
      </c>
      <c r="WQ23" s="62">
        <v>0.42857142857142855</v>
      </c>
      <c r="WR23" s="61">
        <v>-6.38</v>
      </c>
      <c r="WS23" s="62">
        <v>0.21428571428571427</v>
      </c>
      <c r="WT23" s="61">
        <v>-2.2699999999999996</v>
      </c>
      <c r="WU23" s="62">
        <v>0.46153846153846156</v>
      </c>
      <c r="WV23" s="61">
        <v>-3.88</v>
      </c>
      <c r="WW23" s="62">
        <v>0.2857142857142857</v>
      </c>
      <c r="WX23" s="61">
        <v>-2.56</v>
      </c>
      <c r="WY23" s="62">
        <v>0.33333333333333331</v>
      </c>
      <c r="WZ23" s="61"/>
      <c r="XA23" s="62"/>
      <c r="XB23" s="61">
        <v>-1.7700000000000002</v>
      </c>
      <c r="XC23" s="62">
        <v>0.2857142857142857</v>
      </c>
      <c r="XD23" s="61"/>
      <c r="XE23" s="62"/>
      <c r="XF23" s="61">
        <v>-5.1100000000000003</v>
      </c>
      <c r="XG23" s="62">
        <v>0.42857142857142855</v>
      </c>
      <c r="XH23" s="61">
        <v>-1.0000000000000009E-2</v>
      </c>
      <c r="XI23" s="62">
        <v>0.42857142857142855</v>
      </c>
      <c r="XJ23" s="61">
        <v>-2.84</v>
      </c>
      <c r="XK23" s="62">
        <v>0.33333333333333331</v>
      </c>
      <c r="XL23" s="61">
        <v>1.08</v>
      </c>
      <c r="XM23" s="62">
        <v>0.6428571428571429</v>
      </c>
      <c r="XN23" s="61">
        <v>-8.8299999999999983</v>
      </c>
      <c r="XO23" s="62">
        <v>0.34482758620689657</v>
      </c>
      <c r="XP23" s="61">
        <v>-0.42999999999999994</v>
      </c>
      <c r="XQ23" s="62">
        <v>0.35714285714285715</v>
      </c>
      <c r="XR23" s="61">
        <v>-9.2700000000000014</v>
      </c>
      <c r="XS23" s="62">
        <v>0.31034482758620691</v>
      </c>
      <c r="XT23" s="61">
        <v>-3.36</v>
      </c>
      <c r="XU23" s="62">
        <v>0.2</v>
      </c>
      <c r="XV23" s="61"/>
      <c r="XW23" s="62"/>
    </row>
    <row r="24" spans="2:647" x14ac:dyDescent="0.25">
      <c r="B24" s="755"/>
      <c r="C24" s="760"/>
      <c r="D24" s="757" t="s">
        <v>15</v>
      </c>
      <c r="E24" s="757"/>
      <c r="F24" s="448">
        <v>0.2</v>
      </c>
      <c r="G24" s="768"/>
      <c r="H24" s="450">
        <v>1.2257142857142855</v>
      </c>
      <c r="I24" s="1">
        <v>0.55555555555555558</v>
      </c>
      <c r="J24" s="450">
        <v>-1.8914285714285712</v>
      </c>
      <c r="K24" s="1">
        <v>0.2</v>
      </c>
      <c r="L24" s="450">
        <v>-4.6985714285714284</v>
      </c>
      <c r="M24" s="1">
        <v>0</v>
      </c>
      <c r="N24" s="450">
        <v>-2.8542857142857136</v>
      </c>
      <c r="O24" s="1">
        <v>0.16666666666666666</v>
      </c>
      <c r="P24" s="450">
        <v>1.7128571428571426</v>
      </c>
      <c r="Q24" s="1">
        <v>0.7</v>
      </c>
      <c r="R24" s="450">
        <v>-4.258571428571428</v>
      </c>
      <c r="S24" s="1">
        <v>0.1111111111111111</v>
      </c>
      <c r="T24" s="450"/>
      <c r="U24" s="1"/>
      <c r="V24" s="450">
        <v>1.0014285714285713</v>
      </c>
      <c r="W24" s="1">
        <v>1</v>
      </c>
      <c r="X24" s="450"/>
      <c r="Y24" s="1"/>
      <c r="Z24" s="450">
        <v>-1.9957142857142853</v>
      </c>
      <c r="AA24" s="1">
        <v>0.33333333333333331</v>
      </c>
      <c r="AB24" s="450"/>
      <c r="AC24" s="1"/>
      <c r="AD24" s="450">
        <v>-0.17857142857142852</v>
      </c>
      <c r="AE24" s="1">
        <v>0.42857142857142855</v>
      </c>
      <c r="AF24" s="450"/>
      <c r="AG24" s="1"/>
      <c r="AH24" s="450">
        <v>-3.6128571428571425</v>
      </c>
      <c r="AI24" s="1">
        <v>0.21428571428571427</v>
      </c>
      <c r="AJ24" s="450">
        <v>0.62999999999999989</v>
      </c>
      <c r="AK24" s="1">
        <v>0.33333333333333331</v>
      </c>
      <c r="AL24" s="450">
        <v>-3.4428571428571431</v>
      </c>
      <c r="AM24" s="1">
        <v>0.14285714285714285</v>
      </c>
      <c r="AN24" s="450"/>
      <c r="AO24" s="1"/>
      <c r="AP24" s="450">
        <v>0.317142857142857</v>
      </c>
      <c r="AQ24" s="1">
        <v>0.75</v>
      </c>
      <c r="AR24" s="450">
        <v>1.3057142857142858</v>
      </c>
      <c r="AS24" s="1">
        <v>0.8</v>
      </c>
      <c r="AT24" s="450"/>
      <c r="AU24" s="1"/>
      <c r="AV24" s="450">
        <v>-0.56714285714285728</v>
      </c>
      <c r="AW24" s="1">
        <v>0.66666666666666663</v>
      </c>
      <c r="AX24" s="450">
        <v>-0.72</v>
      </c>
      <c r="AY24" s="1">
        <v>0</v>
      </c>
      <c r="AZ24" s="450">
        <v>-0.3671428571428571</v>
      </c>
      <c r="BA24" s="1">
        <v>0.5</v>
      </c>
      <c r="BB24" s="450">
        <v>-2.5685714285714285</v>
      </c>
      <c r="BC24" s="1">
        <v>0</v>
      </c>
      <c r="BD24" s="450">
        <v>-2.4857142857142853</v>
      </c>
      <c r="BE24" s="1">
        <v>0</v>
      </c>
      <c r="BF24" s="450">
        <v>-1.5185714285714285</v>
      </c>
      <c r="BG24" s="1">
        <v>0.6</v>
      </c>
      <c r="BH24" s="450"/>
      <c r="BI24" s="1"/>
      <c r="BJ24" s="450">
        <v>-2.5928571428571425</v>
      </c>
      <c r="BK24" s="1">
        <v>0.5</v>
      </c>
      <c r="BL24" s="450">
        <v>-9.8571428571428379E-2</v>
      </c>
      <c r="BM24" s="1">
        <v>0.5</v>
      </c>
      <c r="BN24" s="450"/>
      <c r="BO24" s="1"/>
      <c r="BP24" s="450">
        <v>0.71000000000000008</v>
      </c>
      <c r="BQ24" s="1">
        <v>0.66666666666666663</v>
      </c>
      <c r="BR24" s="450">
        <v>-1.0914285714285712</v>
      </c>
      <c r="BS24" s="1">
        <v>0.5</v>
      </c>
      <c r="BT24" s="450"/>
      <c r="BU24" s="1"/>
      <c r="BV24" s="450">
        <v>-3.5028571428571427</v>
      </c>
      <c r="BW24" s="1">
        <v>0.25</v>
      </c>
      <c r="BX24" s="450">
        <v>-3.5571428571428569</v>
      </c>
      <c r="BY24" s="1">
        <v>0.33333333333333331</v>
      </c>
      <c r="BZ24" s="450">
        <v>-4.5771428571428574</v>
      </c>
      <c r="CA24" s="1">
        <v>0.16666666666666666</v>
      </c>
      <c r="CB24" s="450">
        <v>-0.13571428571428537</v>
      </c>
      <c r="CC24" s="1">
        <v>0.42857142857142855</v>
      </c>
      <c r="CD24" s="450">
        <v>0.91</v>
      </c>
      <c r="CE24" s="1">
        <v>0.5714285714285714</v>
      </c>
      <c r="CF24" s="450"/>
      <c r="CG24" s="1"/>
      <c r="CH24" s="450"/>
      <c r="CI24" s="1"/>
      <c r="CJ24" s="450">
        <v>5.0000000000000204E-2</v>
      </c>
      <c r="CK24" s="1">
        <v>0.75</v>
      </c>
      <c r="CL24" s="450">
        <v>-0.41142857142857142</v>
      </c>
      <c r="CM24" s="1">
        <v>0.6</v>
      </c>
      <c r="CN24" s="450">
        <v>-0.33428571428571441</v>
      </c>
      <c r="CO24" s="1">
        <v>0.16666666666666666</v>
      </c>
      <c r="CP24" s="450">
        <v>-0.37142857142857111</v>
      </c>
      <c r="CQ24" s="1">
        <v>0.5</v>
      </c>
      <c r="CR24" s="450">
        <v>-0.70000000000000007</v>
      </c>
      <c r="CS24" s="1">
        <v>0.33333333333333331</v>
      </c>
      <c r="CT24" s="450">
        <v>-7.5714285714285748E-2</v>
      </c>
      <c r="CU24" s="1">
        <v>0.5714285714285714</v>
      </c>
      <c r="CV24" s="450">
        <v>0.60571428571428576</v>
      </c>
      <c r="CW24" s="1">
        <v>0.5</v>
      </c>
      <c r="CX24" s="450">
        <v>-1.9057142857142857</v>
      </c>
      <c r="CY24" s="1">
        <v>0.16666666666666666</v>
      </c>
      <c r="CZ24" s="450"/>
      <c r="DA24" s="1"/>
      <c r="DB24" s="450">
        <v>-0.85285714285714298</v>
      </c>
      <c r="DC24" s="1">
        <v>0.4</v>
      </c>
      <c r="DD24" s="450">
        <v>-1.1914285714285715</v>
      </c>
      <c r="DE24" s="1">
        <v>0.5</v>
      </c>
      <c r="DF24" s="450">
        <v>1.4428571428571431</v>
      </c>
      <c r="DG24" s="1">
        <v>0.8</v>
      </c>
      <c r="DH24" s="450">
        <v>-3.2585714285714289</v>
      </c>
      <c r="DI24" s="1">
        <v>0.4</v>
      </c>
      <c r="DJ24" s="450">
        <v>0.56571428571428573</v>
      </c>
      <c r="DK24" s="1">
        <v>0.66666666666666663</v>
      </c>
      <c r="DL24" s="450">
        <v>-1.0285714285714285</v>
      </c>
      <c r="DM24" s="1">
        <v>0</v>
      </c>
      <c r="DN24" s="450">
        <v>1.3800000000000001</v>
      </c>
      <c r="DO24" s="1">
        <v>0.625</v>
      </c>
      <c r="DP24" s="450"/>
      <c r="DQ24" s="1"/>
      <c r="DR24" s="450"/>
      <c r="DS24" s="1"/>
      <c r="DT24" s="450">
        <v>1.3014285714285716</v>
      </c>
      <c r="DU24" s="1">
        <v>0.66666666666666663</v>
      </c>
      <c r="DV24" s="450">
        <v>3.8000000000000003</v>
      </c>
      <c r="DW24" s="1">
        <v>0.8</v>
      </c>
      <c r="DX24" s="450">
        <v>3.8000000000000003</v>
      </c>
      <c r="DY24" s="1">
        <v>0.8</v>
      </c>
      <c r="DZ24" s="450">
        <v>1.9342857142857146</v>
      </c>
      <c r="EA24" s="1">
        <v>0.83333333333333337</v>
      </c>
      <c r="EB24" s="450">
        <v>-2.21</v>
      </c>
      <c r="EC24" s="1">
        <v>0.5</v>
      </c>
      <c r="ED24" s="450">
        <v>-1.172857142857143</v>
      </c>
      <c r="EE24" s="1">
        <v>0.2857142857142857</v>
      </c>
      <c r="EF24" s="450">
        <v>0.25857142857142851</v>
      </c>
      <c r="EG24" s="1">
        <v>0.4</v>
      </c>
      <c r="EH24" s="450">
        <v>-0.76571428571428579</v>
      </c>
      <c r="EI24" s="1">
        <v>0.33333333333333331</v>
      </c>
      <c r="EJ24" s="450"/>
      <c r="EK24" s="1"/>
      <c r="EL24" s="450"/>
      <c r="EM24" s="1"/>
      <c r="EN24" s="450">
        <v>-2.077142857142857</v>
      </c>
      <c r="EO24" s="1">
        <v>0</v>
      </c>
      <c r="EP24" s="450"/>
      <c r="EQ24" s="1"/>
      <c r="ER24" s="450">
        <v>1.3900000000000001</v>
      </c>
      <c r="ES24" s="1">
        <v>0.66666666666666663</v>
      </c>
      <c r="ET24" s="450">
        <v>-0.38428571428571423</v>
      </c>
      <c r="EU24" s="1">
        <v>0.33333333333333331</v>
      </c>
      <c r="EV24" s="450">
        <v>-2.7585714285714289</v>
      </c>
      <c r="EW24" s="1">
        <v>0.16666666666666666</v>
      </c>
      <c r="EX24" s="450">
        <v>1.28</v>
      </c>
      <c r="EY24" s="1">
        <v>0.66666666666666663</v>
      </c>
      <c r="EZ24" s="450"/>
      <c r="FA24" s="1"/>
      <c r="FB24" s="450">
        <v>-12.02</v>
      </c>
      <c r="FC24" s="1">
        <v>0.25</v>
      </c>
      <c r="FD24" s="450">
        <v>-1.0899999999999999</v>
      </c>
      <c r="FE24" s="1">
        <v>0.5</v>
      </c>
      <c r="FF24" s="450">
        <v>1.3199999999999998</v>
      </c>
      <c r="FG24" s="1">
        <v>0.5</v>
      </c>
      <c r="FH24" s="450">
        <v>-0.37000000000000011</v>
      </c>
      <c r="FI24" s="1">
        <v>0.42857142857142855</v>
      </c>
      <c r="FJ24" s="450">
        <v>-0.50000000000000011</v>
      </c>
      <c r="FK24" s="1">
        <v>0.4</v>
      </c>
      <c r="FL24" s="450">
        <v>0.72000000000000008</v>
      </c>
      <c r="FM24" s="1">
        <v>0.8</v>
      </c>
      <c r="FN24" s="450">
        <v>-6.27</v>
      </c>
      <c r="FO24" s="1">
        <v>0.4</v>
      </c>
      <c r="FP24" s="450">
        <v>4.3499999999999996</v>
      </c>
      <c r="FQ24" s="1">
        <v>0.5714285714285714</v>
      </c>
      <c r="FR24" s="450">
        <v>-1.5800000000000005</v>
      </c>
      <c r="FS24" s="1">
        <v>0.44444444444444442</v>
      </c>
      <c r="FT24" s="450">
        <v>-6.3100000000000005</v>
      </c>
      <c r="FU24" s="1">
        <v>0.33333333333333331</v>
      </c>
      <c r="FV24" s="450">
        <v>-6.6899999999999995</v>
      </c>
      <c r="FW24" s="1">
        <v>0</v>
      </c>
      <c r="FX24" s="450">
        <v>-0.44</v>
      </c>
      <c r="FY24" s="1">
        <v>0</v>
      </c>
      <c r="FZ24" s="450">
        <v>-5.26</v>
      </c>
      <c r="GA24" s="1">
        <v>0</v>
      </c>
      <c r="GB24" s="450">
        <v>-1.33</v>
      </c>
      <c r="GC24" s="1">
        <v>0.42857142857142855</v>
      </c>
      <c r="GD24" s="450">
        <v>-3.11</v>
      </c>
      <c r="GE24" s="1">
        <v>0.16666666666666666</v>
      </c>
      <c r="GF24" s="450">
        <v>-2.8</v>
      </c>
      <c r="GG24" s="1">
        <v>0.125</v>
      </c>
      <c r="GH24" s="450">
        <v>-1.8499999999999999</v>
      </c>
      <c r="GI24" s="1">
        <v>0.5</v>
      </c>
      <c r="GJ24" s="450">
        <v>-4.93</v>
      </c>
      <c r="GK24" s="1">
        <v>0.16666666666666666</v>
      </c>
      <c r="GL24" s="450">
        <v>0.72</v>
      </c>
      <c r="GM24" s="1">
        <v>0.5</v>
      </c>
      <c r="GN24" s="450"/>
      <c r="GO24" s="1"/>
      <c r="GP24" s="450">
        <v>-4.5600000000000005</v>
      </c>
      <c r="GQ24" s="1">
        <v>0.2857142857142857</v>
      </c>
      <c r="GR24" s="450">
        <v>-6.84</v>
      </c>
      <c r="GS24" s="1">
        <v>0.375</v>
      </c>
      <c r="GT24" s="450">
        <v>3.9000000000000004</v>
      </c>
      <c r="GU24" s="1">
        <v>0.7142857142857143</v>
      </c>
      <c r="GV24" s="450">
        <v>1.3600000000000003</v>
      </c>
      <c r="GW24" s="1">
        <v>0.8</v>
      </c>
      <c r="GX24" s="450">
        <v>0.22999999999999954</v>
      </c>
      <c r="GY24" s="1">
        <v>0.5</v>
      </c>
      <c r="GZ24" s="450"/>
      <c r="HA24" s="1"/>
      <c r="HB24" s="450">
        <v>-0.44</v>
      </c>
      <c r="HC24" s="1">
        <v>0</v>
      </c>
      <c r="HD24" s="450">
        <v>-0.60000000000000009</v>
      </c>
      <c r="HE24" s="1">
        <v>0.25</v>
      </c>
      <c r="HF24" s="450">
        <v>2.34</v>
      </c>
      <c r="HG24" s="1">
        <v>0.8</v>
      </c>
      <c r="HH24" s="450">
        <v>8.9999999999999414E-2</v>
      </c>
      <c r="HI24" s="1">
        <v>0.5714285714285714</v>
      </c>
      <c r="HJ24" s="450">
        <v>1.0699999999999998</v>
      </c>
      <c r="HK24" s="1">
        <v>0.75</v>
      </c>
      <c r="HL24" s="450">
        <v>-0.46999999999999992</v>
      </c>
      <c r="HM24" s="1">
        <v>0.5</v>
      </c>
      <c r="HN24" s="450">
        <v>3.08</v>
      </c>
      <c r="HO24" s="1">
        <v>1</v>
      </c>
      <c r="HP24" s="450">
        <v>-2.48</v>
      </c>
      <c r="HQ24" s="1">
        <v>0.16666666666666666</v>
      </c>
      <c r="HR24" s="450">
        <v>-2.9999999999999996</v>
      </c>
      <c r="HS24" s="1">
        <v>0.16666666666666666</v>
      </c>
      <c r="HT24" s="450">
        <v>-1.01</v>
      </c>
      <c r="HU24" s="1">
        <v>0.33333333333333331</v>
      </c>
      <c r="HV24" s="450">
        <v>3.47</v>
      </c>
      <c r="HW24" s="1">
        <v>0.7142857142857143</v>
      </c>
      <c r="HX24" s="450"/>
      <c r="HY24" s="1"/>
      <c r="HZ24" s="450"/>
      <c r="IA24" s="1"/>
      <c r="IB24" s="450">
        <v>0.66999999999999993</v>
      </c>
      <c r="IC24" s="1">
        <v>0.66666666666666663</v>
      </c>
      <c r="ID24" s="450">
        <v>-0.69</v>
      </c>
      <c r="IE24" s="1">
        <v>0.5</v>
      </c>
      <c r="IF24" s="450">
        <v>0.61</v>
      </c>
      <c r="IG24" s="1">
        <v>1</v>
      </c>
      <c r="IH24" s="450"/>
      <c r="II24" s="1"/>
      <c r="IJ24" s="450">
        <v>-2.0000000000000018E-2</v>
      </c>
      <c r="IK24" s="1">
        <v>0.75</v>
      </c>
      <c r="IL24" s="450">
        <v>-6.41</v>
      </c>
      <c r="IM24" s="1">
        <v>0.25</v>
      </c>
      <c r="IN24" s="450">
        <v>3.1</v>
      </c>
      <c r="IO24" s="1">
        <v>1</v>
      </c>
      <c r="IP24" s="450"/>
      <c r="IQ24" s="1"/>
      <c r="IR24" s="450"/>
      <c r="IS24" s="1"/>
      <c r="IT24" s="450"/>
      <c r="IU24" s="1"/>
      <c r="IV24" s="450">
        <v>-0.82</v>
      </c>
      <c r="IW24" s="1">
        <v>0</v>
      </c>
      <c r="IX24" s="450"/>
      <c r="IY24" s="1"/>
      <c r="IZ24" s="450"/>
      <c r="JA24" s="1"/>
      <c r="JB24" s="450">
        <v>-1.54</v>
      </c>
      <c r="JC24" s="1">
        <v>0</v>
      </c>
      <c r="JD24" s="450"/>
      <c r="JE24" s="1"/>
      <c r="JF24" s="450">
        <v>-4.8900000000000006</v>
      </c>
      <c r="JG24" s="1">
        <v>0.2857142857142857</v>
      </c>
      <c r="JH24" s="450">
        <v>-1.3</v>
      </c>
      <c r="JI24" s="1">
        <v>0</v>
      </c>
      <c r="JJ24" s="450">
        <v>-1.2700000000000002</v>
      </c>
      <c r="JK24" s="1">
        <v>0.4</v>
      </c>
      <c r="JL24" s="450">
        <v>-1.0500000000000003</v>
      </c>
      <c r="JM24" s="1">
        <v>0.66666666666666663</v>
      </c>
      <c r="JN24" s="450">
        <v>0.90999999999999992</v>
      </c>
      <c r="JO24" s="1">
        <v>0.6</v>
      </c>
      <c r="JP24" s="450">
        <v>1.94</v>
      </c>
      <c r="JQ24" s="1">
        <v>0.4</v>
      </c>
      <c r="JR24" s="450"/>
      <c r="JS24" s="1"/>
      <c r="JT24" s="450"/>
      <c r="JU24" s="1"/>
      <c r="JV24" s="450"/>
      <c r="JW24" s="1"/>
      <c r="JX24" s="450"/>
      <c r="JY24" s="1"/>
      <c r="JZ24" s="450">
        <v>2.36</v>
      </c>
      <c r="KA24" s="1">
        <v>0.75</v>
      </c>
      <c r="KB24" s="450">
        <v>-0.09</v>
      </c>
      <c r="KC24" s="1">
        <v>0</v>
      </c>
      <c r="KD24" s="450">
        <v>-2.04</v>
      </c>
      <c r="KE24" s="1">
        <v>0.5</v>
      </c>
      <c r="KF24" s="450">
        <v>-0.94</v>
      </c>
      <c r="KG24" s="1">
        <v>0</v>
      </c>
      <c r="KH24" s="450">
        <v>0.75</v>
      </c>
      <c r="KI24" s="1">
        <v>1</v>
      </c>
      <c r="KJ24" s="450">
        <v>-2.83</v>
      </c>
      <c r="KK24" s="1">
        <v>0.25</v>
      </c>
      <c r="KL24" s="450">
        <v>-2.5299999999999998</v>
      </c>
      <c r="KM24" s="1">
        <v>0.33333333333333331</v>
      </c>
      <c r="KN24" s="450">
        <v>0.91999999999999993</v>
      </c>
      <c r="KO24" s="1">
        <v>0.5</v>
      </c>
      <c r="KP24" s="450"/>
      <c r="KQ24" s="1"/>
      <c r="KR24" s="450">
        <v>1.2399999999999998</v>
      </c>
      <c r="KS24" s="1">
        <v>0.42857142857142855</v>
      </c>
      <c r="KT24" s="450"/>
      <c r="KU24" s="1"/>
      <c r="KV24" s="450">
        <v>-0.53</v>
      </c>
      <c r="KW24" s="1">
        <v>0</v>
      </c>
      <c r="KX24" s="450">
        <v>-0.8</v>
      </c>
      <c r="KY24" s="1">
        <v>0</v>
      </c>
      <c r="KZ24" s="450">
        <v>-6.51</v>
      </c>
      <c r="LA24" s="1">
        <v>0.25</v>
      </c>
      <c r="LB24" s="450"/>
      <c r="LC24" s="1"/>
      <c r="LD24" s="450">
        <v>0.13</v>
      </c>
      <c r="LE24" s="1">
        <v>1</v>
      </c>
      <c r="LF24" s="450">
        <v>2.88</v>
      </c>
      <c r="LG24" s="1">
        <v>1</v>
      </c>
      <c r="LH24" s="450"/>
      <c r="LI24" s="1"/>
      <c r="LJ24" s="450"/>
      <c r="LK24" s="1"/>
      <c r="LL24" s="450"/>
      <c r="LM24" s="1"/>
      <c r="LN24" s="450">
        <v>-7.0000000000000062E-2</v>
      </c>
      <c r="LO24" s="1">
        <v>0.5</v>
      </c>
      <c r="LP24" s="450">
        <v>4.22</v>
      </c>
      <c r="LQ24" s="1">
        <v>1</v>
      </c>
      <c r="LR24" s="450"/>
      <c r="LS24" s="1"/>
      <c r="LT24" s="450">
        <v>-7.5300000000000011</v>
      </c>
      <c r="LU24" s="1">
        <v>0.25</v>
      </c>
      <c r="LV24" s="450">
        <v>-1.600000000000001</v>
      </c>
      <c r="LW24" s="1">
        <v>0.6</v>
      </c>
      <c r="LX24" s="450"/>
      <c r="LY24" s="1"/>
      <c r="LZ24" s="450">
        <v>0.37999999999999967</v>
      </c>
      <c r="MA24" s="1">
        <v>0.6</v>
      </c>
      <c r="MB24" s="450">
        <v>1.44</v>
      </c>
      <c r="MC24" s="1">
        <v>1</v>
      </c>
      <c r="MD24" s="450"/>
      <c r="ME24" s="1"/>
      <c r="MF24" s="450">
        <v>-6.18</v>
      </c>
      <c r="MG24" s="1">
        <v>0</v>
      </c>
      <c r="MH24" s="450">
        <v>-2.96</v>
      </c>
      <c r="MI24" s="1">
        <v>0</v>
      </c>
      <c r="MJ24" s="450">
        <v>-3.16</v>
      </c>
      <c r="MK24" s="1">
        <v>0</v>
      </c>
      <c r="ML24" s="450">
        <v>1.38</v>
      </c>
      <c r="MM24" s="1">
        <v>1</v>
      </c>
      <c r="MN24" s="450"/>
      <c r="MO24" s="1"/>
      <c r="MP24" s="450"/>
      <c r="MQ24" s="1"/>
      <c r="MR24" s="450">
        <v>1.45</v>
      </c>
      <c r="MS24" s="1">
        <v>1</v>
      </c>
      <c r="MT24" s="450">
        <v>1.42</v>
      </c>
      <c r="MU24" s="1">
        <v>1</v>
      </c>
      <c r="MV24" s="450"/>
      <c r="MW24" s="1"/>
      <c r="MX24" s="450">
        <v>-5.71</v>
      </c>
      <c r="MY24" s="1">
        <v>0</v>
      </c>
      <c r="MZ24" s="450">
        <v>-6.0400000000000009</v>
      </c>
      <c r="NA24" s="1">
        <v>0.25</v>
      </c>
      <c r="NB24" s="450">
        <v>-1.3900000000000001</v>
      </c>
      <c r="NC24" s="1">
        <v>0.6</v>
      </c>
      <c r="ND24" s="450"/>
      <c r="NE24" s="1"/>
      <c r="NF24" s="450">
        <v>-1.2</v>
      </c>
      <c r="NG24" s="1">
        <v>0.5</v>
      </c>
      <c r="NH24" s="450">
        <v>-1.2</v>
      </c>
      <c r="NI24" s="1">
        <v>0.5</v>
      </c>
      <c r="NJ24" s="450">
        <v>2.3899999999999997</v>
      </c>
      <c r="NK24" s="1">
        <v>1</v>
      </c>
      <c r="NL24" s="450"/>
      <c r="NM24" s="1"/>
      <c r="NN24" s="450"/>
      <c r="NO24" s="1"/>
      <c r="NP24" s="450"/>
      <c r="NQ24" s="1"/>
      <c r="NR24" s="450">
        <v>-1.58</v>
      </c>
      <c r="NS24" s="1">
        <v>0.5</v>
      </c>
      <c r="NT24" s="450">
        <v>-1.58</v>
      </c>
      <c r="NU24" s="1">
        <v>0.5</v>
      </c>
      <c r="NV24" s="450">
        <v>2.83</v>
      </c>
      <c r="NW24" s="1">
        <v>1</v>
      </c>
      <c r="NX24" s="450">
        <v>-0.33</v>
      </c>
      <c r="NY24" s="1">
        <v>0</v>
      </c>
      <c r="NZ24" s="450">
        <v>1.41</v>
      </c>
      <c r="OA24" s="1">
        <v>1</v>
      </c>
      <c r="OB24" s="450">
        <v>-3.21</v>
      </c>
      <c r="OC24" s="1">
        <v>0</v>
      </c>
      <c r="OD24" s="450">
        <v>-3.05</v>
      </c>
      <c r="OE24" s="1">
        <v>0</v>
      </c>
      <c r="OF24" s="450">
        <v>1.46</v>
      </c>
      <c r="OG24" s="1">
        <v>1</v>
      </c>
      <c r="OH24" s="450"/>
      <c r="OI24" s="1"/>
      <c r="OJ24" s="450"/>
      <c r="OK24" s="1"/>
      <c r="OL24" s="450">
        <v>-1.6300000000000001</v>
      </c>
      <c r="OM24" s="1">
        <v>0.5</v>
      </c>
      <c r="ON24" s="450">
        <v>-9.36</v>
      </c>
      <c r="OO24" s="1">
        <v>0.16666666666666666</v>
      </c>
      <c r="OP24" s="450">
        <v>1.46</v>
      </c>
      <c r="OQ24" s="1">
        <v>1</v>
      </c>
      <c r="OR24" s="450">
        <v>-2.8899999999999997</v>
      </c>
      <c r="OS24" s="1">
        <v>0.4</v>
      </c>
      <c r="OT24" s="450">
        <v>-1.0499999999999998</v>
      </c>
      <c r="OU24" s="1">
        <v>0.33333333333333331</v>
      </c>
      <c r="OV24" s="450"/>
      <c r="OW24" s="1"/>
      <c r="OX24" s="450">
        <v>-4.62</v>
      </c>
      <c r="OY24" s="1">
        <v>0.33333333333333331</v>
      </c>
      <c r="OZ24" s="450">
        <v>-2.87</v>
      </c>
      <c r="PA24" s="1">
        <v>0.33333333333333331</v>
      </c>
      <c r="PB24" s="450">
        <v>-2.19</v>
      </c>
      <c r="PC24" s="1">
        <v>0.5</v>
      </c>
      <c r="PD24" s="450">
        <v>-2.1800000000000002</v>
      </c>
      <c r="PE24" s="1">
        <v>0.5</v>
      </c>
      <c r="PF24" s="450">
        <v>2.58</v>
      </c>
      <c r="PG24" s="1">
        <v>1</v>
      </c>
      <c r="PH24" s="450">
        <v>-0.92</v>
      </c>
      <c r="PI24" s="1">
        <v>0.5</v>
      </c>
      <c r="PJ24" s="450"/>
      <c r="PK24" s="1"/>
      <c r="PL24" s="450"/>
      <c r="PM24" s="1"/>
      <c r="PN24" s="450"/>
      <c r="PO24" s="1"/>
      <c r="PP24" s="450">
        <v>-1.58</v>
      </c>
      <c r="PQ24" s="1">
        <v>0.5</v>
      </c>
      <c r="PR24" s="450">
        <v>5.7399999999999993</v>
      </c>
      <c r="PS24" s="1">
        <v>1</v>
      </c>
      <c r="PT24" s="450">
        <v>-7.3</v>
      </c>
      <c r="PU24" s="1">
        <v>0.25</v>
      </c>
      <c r="PV24" s="450">
        <v>-3.5900000000000003</v>
      </c>
      <c r="PW24" s="1">
        <v>0.42857142857142855</v>
      </c>
      <c r="PX24" s="450">
        <v>0.8899999999999999</v>
      </c>
      <c r="PY24" s="1">
        <v>0.625</v>
      </c>
      <c r="PZ24" s="450">
        <v>-7.58</v>
      </c>
      <c r="QA24" s="1">
        <v>0.25</v>
      </c>
      <c r="QB24" s="450">
        <v>-2.16</v>
      </c>
      <c r="QC24" s="1">
        <v>0.55555555555555558</v>
      </c>
      <c r="QD24" s="450"/>
      <c r="QE24" s="1"/>
      <c r="QF24" s="450">
        <v>2.7</v>
      </c>
      <c r="QG24" s="1">
        <v>0.75</v>
      </c>
      <c r="QH24" s="450">
        <v>-4.3499999999999996</v>
      </c>
      <c r="QI24" s="1">
        <v>0</v>
      </c>
      <c r="QJ24" s="450">
        <v>2.0300000000000002</v>
      </c>
      <c r="QK24" s="1">
        <v>0.75</v>
      </c>
      <c r="QL24" s="450">
        <v>-1.4700000000000004</v>
      </c>
      <c r="QM24" s="1">
        <v>0.5714285714285714</v>
      </c>
      <c r="QN24" s="450">
        <v>-0.78</v>
      </c>
      <c r="QO24" s="1">
        <v>0.5</v>
      </c>
      <c r="QP24" s="450">
        <v>-0.9</v>
      </c>
      <c r="QQ24" s="1">
        <v>0.5</v>
      </c>
      <c r="QR24" s="450">
        <v>0.87</v>
      </c>
      <c r="QS24" s="1">
        <v>0.5</v>
      </c>
      <c r="QT24" s="450"/>
      <c r="QU24" s="1"/>
      <c r="QV24" s="450">
        <v>-2.5499999999999998</v>
      </c>
      <c r="QW24" s="1">
        <v>0.5714285714285714</v>
      </c>
      <c r="QX24" s="450">
        <v>-2.1800000000000002</v>
      </c>
      <c r="QY24" s="1">
        <v>0.25</v>
      </c>
      <c r="QZ24" s="450"/>
      <c r="RA24" s="1"/>
      <c r="RB24" s="450">
        <v>1.42</v>
      </c>
      <c r="RC24" s="1">
        <v>1</v>
      </c>
      <c r="RD24" s="450">
        <v>-1.5</v>
      </c>
      <c r="RE24" s="1">
        <v>0.4</v>
      </c>
      <c r="RF24" s="450">
        <v>2.63</v>
      </c>
      <c r="RG24" s="1">
        <v>1</v>
      </c>
      <c r="RH24" s="450"/>
      <c r="RI24" s="1"/>
      <c r="RJ24" s="450">
        <v>-0.64000000000000024</v>
      </c>
      <c r="RK24" s="1">
        <v>0.4</v>
      </c>
      <c r="RL24" s="450"/>
      <c r="RM24" s="1"/>
      <c r="RN24" s="450">
        <v>-1.77</v>
      </c>
      <c r="RO24" s="1">
        <v>0</v>
      </c>
      <c r="RP24" s="450">
        <v>3.36</v>
      </c>
      <c r="RQ24" s="1">
        <v>0.75</v>
      </c>
      <c r="RR24" s="450">
        <v>-4.91</v>
      </c>
      <c r="RS24" s="1">
        <v>0</v>
      </c>
      <c r="RT24" s="450">
        <v>2.87</v>
      </c>
      <c r="RU24" s="1">
        <v>1</v>
      </c>
      <c r="RV24" s="450">
        <v>-11</v>
      </c>
      <c r="RW24" s="1">
        <v>0.2857142857142857</v>
      </c>
      <c r="RX24" s="450">
        <v>-1.1499999999999999</v>
      </c>
      <c r="RY24" s="1">
        <v>0.5</v>
      </c>
      <c r="RZ24" s="450">
        <v>0.25</v>
      </c>
      <c r="SA24" s="1">
        <v>0.5</v>
      </c>
      <c r="SB24" s="450">
        <v>-0.16999999999999993</v>
      </c>
      <c r="SC24" s="1">
        <v>0.5</v>
      </c>
      <c r="SD24" s="450">
        <v>-8.9</v>
      </c>
      <c r="SE24" s="1">
        <v>0.33333333333333331</v>
      </c>
      <c r="SF24" s="450"/>
      <c r="SG24" s="1"/>
      <c r="SH24" s="450">
        <v>-1.8899999999999997</v>
      </c>
      <c r="SI24" s="1">
        <v>0.75</v>
      </c>
      <c r="SJ24" s="452">
        <v>-7.3900000000000006</v>
      </c>
      <c r="SK24" s="1">
        <v>0</v>
      </c>
      <c r="SL24" s="457">
        <v>3.0000000000000027E-2</v>
      </c>
      <c r="SM24" s="1">
        <v>0.5</v>
      </c>
      <c r="SN24" s="459">
        <v>0.16000000000000009</v>
      </c>
      <c r="SO24" s="1">
        <v>0.6</v>
      </c>
      <c r="SP24" s="461">
        <v>-3.66</v>
      </c>
      <c r="SQ24" s="1">
        <v>0</v>
      </c>
      <c r="SR24" s="463">
        <v>4.32</v>
      </c>
      <c r="SS24" s="1">
        <v>1</v>
      </c>
      <c r="ST24" s="464">
        <v>0.23</v>
      </c>
      <c r="SU24" s="1">
        <v>1</v>
      </c>
      <c r="SV24" s="466">
        <v>-2.42</v>
      </c>
      <c r="SW24" s="1">
        <v>0.33333333333333331</v>
      </c>
      <c r="SX24" s="467"/>
      <c r="SY24" s="1"/>
      <c r="SZ24" s="469">
        <v>-0.34</v>
      </c>
      <c r="TA24" s="1">
        <v>0.33333333333333331</v>
      </c>
      <c r="TB24" s="471">
        <v>0.67999999999999972</v>
      </c>
      <c r="TC24" s="1">
        <v>0.66666666666666663</v>
      </c>
      <c r="TD24" s="472">
        <v>-2.9899999999999998</v>
      </c>
      <c r="TE24" s="1">
        <v>0</v>
      </c>
      <c r="TF24" s="474">
        <v>-3.02</v>
      </c>
      <c r="TG24" s="1">
        <v>0</v>
      </c>
      <c r="TH24" s="488">
        <v>-6.33</v>
      </c>
      <c r="TI24" s="1">
        <v>0</v>
      </c>
      <c r="TJ24" s="489">
        <v>-2.36</v>
      </c>
      <c r="TK24" s="1">
        <v>0.625</v>
      </c>
      <c r="TL24" s="490">
        <v>-8</v>
      </c>
      <c r="TM24" s="1">
        <v>0</v>
      </c>
      <c r="TN24" s="495"/>
      <c r="TO24" s="1"/>
      <c r="TP24" s="500">
        <v>1.39</v>
      </c>
      <c r="TQ24" s="1">
        <v>1</v>
      </c>
      <c r="TR24" s="511">
        <v>-3.04</v>
      </c>
      <c r="TS24" s="1">
        <v>0.33333333333333331</v>
      </c>
      <c r="TT24" s="515">
        <v>-1.42</v>
      </c>
      <c r="TU24" s="1">
        <v>0.4</v>
      </c>
      <c r="TV24" s="518">
        <v>-0.25</v>
      </c>
      <c r="TW24" s="1">
        <v>0.66666666666666663</v>
      </c>
      <c r="TX24" s="521"/>
      <c r="TY24" s="1"/>
      <c r="TZ24" s="524">
        <v>4.84</v>
      </c>
      <c r="UA24" s="1">
        <v>0.75</v>
      </c>
      <c r="UB24" s="527">
        <v>-4.2699999999999996</v>
      </c>
      <c r="UC24" s="1">
        <v>0</v>
      </c>
      <c r="UD24" s="530">
        <v>-1.1399999999999997</v>
      </c>
      <c r="UE24" s="1">
        <v>0.66666666666666663</v>
      </c>
      <c r="UF24" s="533">
        <v>-2.0700000000000003</v>
      </c>
      <c r="UG24" s="1">
        <v>0.33333333333333331</v>
      </c>
      <c r="UH24" s="536">
        <v>-1.2700000000000002</v>
      </c>
      <c r="UI24" s="1">
        <v>0.5</v>
      </c>
      <c r="UJ24" s="539">
        <v>5.27</v>
      </c>
      <c r="UK24" s="1">
        <v>1</v>
      </c>
      <c r="UL24" s="540">
        <v>-4.01</v>
      </c>
      <c r="UM24" s="1">
        <v>0.25</v>
      </c>
      <c r="UN24" s="543"/>
      <c r="UO24" s="1"/>
      <c r="UP24" s="544">
        <v>-3.41</v>
      </c>
      <c r="UQ24" s="1">
        <v>0.5</v>
      </c>
      <c r="UR24" s="551">
        <v>4.8100000000000005</v>
      </c>
      <c r="US24" s="1">
        <v>0.8</v>
      </c>
      <c r="UT24" s="551">
        <v>-2.19</v>
      </c>
      <c r="UU24" s="1">
        <v>0</v>
      </c>
      <c r="UV24" s="562">
        <v>-2.97</v>
      </c>
      <c r="UW24" s="1">
        <v>0</v>
      </c>
      <c r="UX24" s="566">
        <v>2.04</v>
      </c>
      <c r="UY24" s="1">
        <v>0.66666666666666663</v>
      </c>
      <c r="UZ24" s="568"/>
      <c r="VA24" s="1"/>
      <c r="VB24" s="572">
        <v>3.26</v>
      </c>
      <c r="VC24" s="1">
        <v>1</v>
      </c>
      <c r="VD24" s="576">
        <v>-2.71</v>
      </c>
      <c r="VE24" s="1">
        <v>0</v>
      </c>
      <c r="VF24" s="580">
        <v>-0.53</v>
      </c>
      <c r="VG24" s="1">
        <v>0.33333333333333331</v>
      </c>
      <c r="VH24" s="584">
        <v>-0.3600000000000001</v>
      </c>
      <c r="VI24" s="1">
        <v>0.5</v>
      </c>
      <c r="VJ24" s="589">
        <v>0.59</v>
      </c>
      <c r="VK24" s="1">
        <v>0.5</v>
      </c>
      <c r="VL24" s="593">
        <v>-3</v>
      </c>
      <c r="VM24" s="1">
        <v>0</v>
      </c>
      <c r="VN24" s="597">
        <v>0.99</v>
      </c>
      <c r="VO24" s="1">
        <v>0.5</v>
      </c>
      <c r="VP24" s="601">
        <v>-6.65</v>
      </c>
      <c r="VQ24" s="1">
        <v>0</v>
      </c>
      <c r="VR24" s="603"/>
      <c r="VS24" s="1"/>
      <c r="VT24" s="607">
        <v>-4.72</v>
      </c>
      <c r="VU24" s="1">
        <v>0.33333333333333331</v>
      </c>
      <c r="VV24" s="609">
        <v>3.09</v>
      </c>
      <c r="VW24" s="1">
        <v>1</v>
      </c>
      <c r="VX24" s="613">
        <v>-8.9999999999999747E-2</v>
      </c>
      <c r="VY24" s="1">
        <v>0.6</v>
      </c>
      <c r="VZ24" s="617">
        <v>0.73999999999999988</v>
      </c>
      <c r="WA24" s="1">
        <v>0.5</v>
      </c>
      <c r="WB24" s="619"/>
      <c r="WC24" s="1"/>
      <c r="WD24" s="624">
        <v>-2.9699999999999998</v>
      </c>
      <c r="WE24" s="1">
        <v>0</v>
      </c>
      <c r="WF24" s="626">
        <v>-5.0399999999999991</v>
      </c>
      <c r="WG24" s="1">
        <v>0.25</v>
      </c>
      <c r="WH24" s="630">
        <v>-1.0100000000000002</v>
      </c>
      <c r="WI24" s="1">
        <v>0.75</v>
      </c>
      <c r="WJ24" s="636">
        <v>-2.4</v>
      </c>
      <c r="WK24" s="1">
        <v>0</v>
      </c>
      <c r="WL24" s="638"/>
      <c r="WM24" s="1"/>
      <c r="WN24" s="642">
        <v>-6.6599999999999993</v>
      </c>
      <c r="WO24" s="1">
        <v>0</v>
      </c>
      <c r="WP24" s="646">
        <v>-9.57</v>
      </c>
      <c r="WQ24" s="1">
        <v>0.25</v>
      </c>
      <c r="WR24" s="652">
        <v>-2.99</v>
      </c>
      <c r="WS24" s="1">
        <v>0.2</v>
      </c>
      <c r="WT24" s="659">
        <v>0.36999999999999988</v>
      </c>
      <c r="WU24" s="1">
        <v>0.5</v>
      </c>
      <c r="WV24" s="659">
        <v>1</v>
      </c>
      <c r="WW24" s="1">
        <v>0.5</v>
      </c>
      <c r="WX24" s="672">
        <v>-8.39</v>
      </c>
      <c r="WY24" s="1">
        <v>0.2</v>
      </c>
      <c r="WZ24" s="677"/>
      <c r="XA24" s="1"/>
      <c r="XB24" s="681">
        <v>1.94</v>
      </c>
      <c r="XC24" s="1">
        <v>0.8</v>
      </c>
      <c r="XD24" s="683"/>
      <c r="XE24" s="1"/>
      <c r="XF24" s="687">
        <v>-3</v>
      </c>
      <c r="XG24" s="1">
        <v>0</v>
      </c>
      <c r="XH24" s="689">
        <v>-0.13000000000000012</v>
      </c>
      <c r="XI24" s="1">
        <v>0.66666666666666663</v>
      </c>
      <c r="XJ24" s="696">
        <v>-5.66</v>
      </c>
      <c r="XK24" s="1">
        <v>0.2</v>
      </c>
      <c r="XL24" s="696">
        <v>-2.0699999999999998</v>
      </c>
      <c r="XM24" s="1">
        <v>0</v>
      </c>
      <c r="XN24" s="696">
        <v>-5.0699999999999994</v>
      </c>
      <c r="XO24" s="1">
        <v>0.375</v>
      </c>
      <c r="XP24" s="700">
        <v>-0.8899999999999999</v>
      </c>
      <c r="XQ24" s="1">
        <v>0.5</v>
      </c>
      <c r="XR24" s="705">
        <v>2.76</v>
      </c>
      <c r="XS24" s="1">
        <v>0.625</v>
      </c>
      <c r="XT24" s="709">
        <v>2.4900000000000007</v>
      </c>
      <c r="XU24" s="1">
        <v>0.5</v>
      </c>
      <c r="XV24" s="715"/>
      <c r="XW24" s="1"/>
    </row>
    <row r="25" spans="2:647" x14ac:dyDescent="0.25">
      <c r="B25" s="755"/>
      <c r="C25" s="760"/>
      <c r="D25" s="757" t="s">
        <v>13</v>
      </c>
      <c r="E25" s="757"/>
      <c r="F25" s="448">
        <v>0.3</v>
      </c>
      <c r="G25" s="768"/>
      <c r="H25" s="450">
        <v>2.8319999999999999</v>
      </c>
      <c r="I25" s="1">
        <v>0.5714285714285714</v>
      </c>
      <c r="J25" s="450">
        <v>-3.8680000000000008</v>
      </c>
      <c r="K25" s="1">
        <v>0.15384615384615385</v>
      </c>
      <c r="L25" s="450">
        <v>-3.5099999999999993</v>
      </c>
      <c r="M25" s="1">
        <v>0.38461538461538464</v>
      </c>
      <c r="N25" s="450">
        <v>-1.6519999999999999</v>
      </c>
      <c r="O25" s="1">
        <v>0.42857142857142855</v>
      </c>
      <c r="P25" s="450">
        <v>1.6600000000000001</v>
      </c>
      <c r="Q25" s="1">
        <v>0.5714285714285714</v>
      </c>
      <c r="R25" s="450">
        <v>-6.8940000000000001</v>
      </c>
      <c r="S25" s="1">
        <v>0.14285714285714285</v>
      </c>
      <c r="T25" s="450"/>
      <c r="U25" s="1"/>
      <c r="V25" s="450">
        <v>0.8380000000000003</v>
      </c>
      <c r="W25" s="1">
        <v>0.6428571428571429</v>
      </c>
      <c r="X25" s="450"/>
      <c r="Y25" s="1"/>
      <c r="Z25" s="450">
        <v>-0.79600000000000004</v>
      </c>
      <c r="AA25" s="1">
        <v>0.42857142857142855</v>
      </c>
      <c r="AB25" s="450"/>
      <c r="AC25" s="1"/>
      <c r="AD25" s="450">
        <v>1.6799999999999997</v>
      </c>
      <c r="AE25" s="1">
        <v>0.5714285714285714</v>
      </c>
      <c r="AF25" s="450"/>
      <c r="AG25" s="1"/>
      <c r="AH25" s="450">
        <v>-3.4899999999999998</v>
      </c>
      <c r="AI25" s="1">
        <v>0.21428571428571427</v>
      </c>
      <c r="AJ25" s="450">
        <v>0.97</v>
      </c>
      <c r="AK25" s="1">
        <v>0.35714285714285715</v>
      </c>
      <c r="AL25" s="450">
        <v>-4.6999999999999993</v>
      </c>
      <c r="AM25" s="1">
        <v>0.23076923076923078</v>
      </c>
      <c r="AN25" s="450"/>
      <c r="AO25" s="1"/>
      <c r="AP25" s="450">
        <v>0.434</v>
      </c>
      <c r="AQ25" s="1">
        <v>0.5</v>
      </c>
      <c r="AR25" s="450">
        <v>6.3999999999999696E-2</v>
      </c>
      <c r="AS25" s="1">
        <v>0.5</v>
      </c>
      <c r="AT25" s="450"/>
      <c r="AU25" s="1"/>
      <c r="AV25" s="450">
        <v>-0.61199999999999977</v>
      </c>
      <c r="AW25" s="1">
        <v>0.6428571428571429</v>
      </c>
      <c r="AX25" s="450">
        <v>-5.3880000000000008</v>
      </c>
      <c r="AY25" s="1">
        <v>0.21428571428571427</v>
      </c>
      <c r="AZ25" s="450">
        <v>0.19</v>
      </c>
      <c r="BA25" s="1">
        <v>0.5</v>
      </c>
      <c r="BB25" s="450">
        <v>-0.86199999999999988</v>
      </c>
      <c r="BC25" s="1">
        <v>0.35714285714285715</v>
      </c>
      <c r="BD25" s="450">
        <v>-0.73400000000000021</v>
      </c>
      <c r="BE25" s="1">
        <v>0.35714285714285715</v>
      </c>
      <c r="BF25" s="450">
        <v>-3.6819999999999999</v>
      </c>
      <c r="BG25" s="1">
        <v>0.5</v>
      </c>
      <c r="BH25" s="450"/>
      <c r="BI25" s="1"/>
      <c r="BJ25" s="450">
        <v>-9.1639999999999979</v>
      </c>
      <c r="BK25" s="1">
        <v>0.30769230769230771</v>
      </c>
      <c r="BL25" s="450">
        <v>-9.1999999999999943E-2</v>
      </c>
      <c r="BM25" s="1">
        <v>0.53846153846153844</v>
      </c>
      <c r="BN25" s="450"/>
      <c r="BO25" s="1"/>
      <c r="BP25" s="450">
        <v>-5.2000000000000227E-2</v>
      </c>
      <c r="BQ25" s="1">
        <v>0.5714285714285714</v>
      </c>
      <c r="BR25" s="450">
        <v>-1.286</v>
      </c>
      <c r="BS25" s="1">
        <v>0.42857142857142855</v>
      </c>
      <c r="BT25" s="450"/>
      <c r="BU25" s="1"/>
      <c r="BV25" s="450">
        <v>-2.1960000000000006</v>
      </c>
      <c r="BW25" s="1">
        <v>0.35714285714285715</v>
      </c>
      <c r="BX25" s="450">
        <v>-0.1539999999999998</v>
      </c>
      <c r="BY25" s="1">
        <v>0.53846153846153844</v>
      </c>
      <c r="BZ25" s="450">
        <v>-4.4580000000000002</v>
      </c>
      <c r="CA25" s="1">
        <v>0.23076923076923078</v>
      </c>
      <c r="CB25" s="450">
        <v>-0.26600000000000001</v>
      </c>
      <c r="CC25" s="1">
        <v>0.42857142857142855</v>
      </c>
      <c r="CD25" s="450">
        <v>-2.5339999999999998</v>
      </c>
      <c r="CE25" s="1">
        <v>0.35714285714285715</v>
      </c>
      <c r="CF25" s="450"/>
      <c r="CG25" s="1"/>
      <c r="CH25" s="450"/>
      <c r="CI25" s="1"/>
      <c r="CJ25" s="450">
        <v>-0.42600000000000016</v>
      </c>
      <c r="CK25" s="1">
        <v>0.6428571428571429</v>
      </c>
      <c r="CL25" s="450">
        <v>-3.7039999999999997</v>
      </c>
      <c r="CM25" s="1">
        <v>0.38461538461538464</v>
      </c>
      <c r="CN25" s="450">
        <v>-1.0760000000000001</v>
      </c>
      <c r="CO25" s="1">
        <v>0.42857142857142855</v>
      </c>
      <c r="CP25" s="450">
        <v>-2.9319999999999999</v>
      </c>
      <c r="CQ25" s="1">
        <v>0.35714285714285715</v>
      </c>
      <c r="CR25" s="450">
        <v>1.212</v>
      </c>
      <c r="CS25" s="1">
        <v>0.7857142857142857</v>
      </c>
      <c r="CT25" s="450">
        <v>-1.3259999999999994</v>
      </c>
      <c r="CU25" s="1">
        <v>0.53846153846153844</v>
      </c>
      <c r="CV25" s="450">
        <v>0.1059999999999999</v>
      </c>
      <c r="CW25" s="1">
        <v>0.61538461538461542</v>
      </c>
      <c r="CX25" s="450">
        <v>-0.88399999999999967</v>
      </c>
      <c r="CY25" s="1">
        <v>0.42857142857142855</v>
      </c>
      <c r="CZ25" s="450"/>
      <c r="DA25" s="1"/>
      <c r="DB25" s="450">
        <v>0.65399999999999936</v>
      </c>
      <c r="DC25" s="1">
        <v>0.61538461538461542</v>
      </c>
      <c r="DD25" s="450">
        <v>-3.0600000000000014</v>
      </c>
      <c r="DE25" s="1">
        <v>0.5</v>
      </c>
      <c r="DF25" s="450">
        <v>-0.31800000000000006</v>
      </c>
      <c r="DG25" s="1">
        <v>0.5</v>
      </c>
      <c r="DH25" s="450">
        <v>-3.41</v>
      </c>
      <c r="DI25" s="1">
        <v>0.5</v>
      </c>
      <c r="DJ25" s="450">
        <v>1.1939999999999995</v>
      </c>
      <c r="DK25" s="1">
        <v>0.5714285714285714</v>
      </c>
      <c r="DL25" s="450">
        <v>-3.6039999999999992</v>
      </c>
      <c r="DM25" s="1">
        <v>0.42857142857142855</v>
      </c>
      <c r="DN25" s="450">
        <v>-2.1459999999999999</v>
      </c>
      <c r="DO25" s="1">
        <v>0.42857142857142855</v>
      </c>
      <c r="DP25" s="450"/>
      <c r="DQ25" s="1"/>
      <c r="DR25" s="450"/>
      <c r="DS25" s="1"/>
      <c r="DT25" s="450">
        <v>1.7599999999999998</v>
      </c>
      <c r="DU25" s="1">
        <v>0.5714285714285714</v>
      </c>
      <c r="DV25" s="450">
        <v>4.3940000000000001</v>
      </c>
      <c r="DW25" s="1">
        <v>0.76923076923076927</v>
      </c>
      <c r="DX25" s="450">
        <v>4.3940000000000001</v>
      </c>
      <c r="DY25" s="1">
        <v>0.76923076923076927</v>
      </c>
      <c r="DZ25" s="450">
        <v>2.9059999999999997</v>
      </c>
      <c r="EA25" s="1">
        <v>0.7142857142857143</v>
      </c>
      <c r="EB25" s="450">
        <v>-0.68199999999999961</v>
      </c>
      <c r="EC25" s="1">
        <v>0.6428571428571429</v>
      </c>
      <c r="ED25" s="450">
        <v>-3.898000000000001</v>
      </c>
      <c r="EE25" s="1">
        <v>0.21428571428571427</v>
      </c>
      <c r="EF25" s="450">
        <v>0.61599999999999988</v>
      </c>
      <c r="EG25" s="1">
        <v>0.5</v>
      </c>
      <c r="EH25" s="450">
        <v>-1.5460000000000003</v>
      </c>
      <c r="EI25" s="1">
        <v>0.42857142857142855</v>
      </c>
      <c r="EJ25" s="450"/>
      <c r="EK25" s="1"/>
      <c r="EL25" s="450"/>
      <c r="EM25" s="1"/>
      <c r="EN25" s="450">
        <v>-0.3020000000000001</v>
      </c>
      <c r="EO25" s="1">
        <v>0.5714285714285714</v>
      </c>
      <c r="EP25" s="450"/>
      <c r="EQ25" s="1"/>
      <c r="ER25" s="450">
        <v>1.6919999999999997</v>
      </c>
      <c r="ES25" s="1">
        <v>0.5714285714285714</v>
      </c>
      <c r="ET25" s="450">
        <v>-3.6680000000000006</v>
      </c>
      <c r="EU25" s="1">
        <v>0.2857142857142857</v>
      </c>
      <c r="EV25" s="450">
        <v>-3.8019999999999996</v>
      </c>
      <c r="EW25" s="1">
        <v>0.21428571428571427</v>
      </c>
      <c r="EX25" s="450">
        <v>-1.9199999999999995</v>
      </c>
      <c r="EY25" s="1">
        <v>0.42857142857142855</v>
      </c>
      <c r="EZ25" s="450"/>
      <c r="FA25" s="1"/>
      <c r="FB25" s="450">
        <v>-23.570000000000004</v>
      </c>
      <c r="FC25" s="1">
        <v>0.23076923076923078</v>
      </c>
      <c r="FD25" s="450">
        <v>-3.1099999999999985</v>
      </c>
      <c r="FE25" s="1">
        <v>0.5</v>
      </c>
      <c r="FF25" s="450">
        <v>-2.6500000000000004</v>
      </c>
      <c r="FG25" s="1">
        <v>0.5</v>
      </c>
      <c r="FH25" s="450">
        <v>-0.54000000000000048</v>
      </c>
      <c r="FI25" s="1">
        <v>0.41666666666666669</v>
      </c>
      <c r="FJ25" s="450">
        <v>2.0299999999999989</v>
      </c>
      <c r="FK25" s="1">
        <v>0.5</v>
      </c>
      <c r="FL25" s="450">
        <v>-0.28000000000000025</v>
      </c>
      <c r="FM25" s="1">
        <v>0.7142857142857143</v>
      </c>
      <c r="FN25" s="450">
        <v>-7.1000000000000014</v>
      </c>
      <c r="FO25" s="1">
        <v>0.5</v>
      </c>
      <c r="FP25" s="450">
        <v>-2.8699999999999997</v>
      </c>
      <c r="FQ25" s="1">
        <v>0.35714285714285715</v>
      </c>
      <c r="FR25" s="450">
        <v>0.58999999999999964</v>
      </c>
      <c r="FS25" s="1">
        <v>0.5</v>
      </c>
      <c r="FT25" s="450">
        <v>-17.139999999999997</v>
      </c>
      <c r="FU25" s="1">
        <v>0.35714285714285715</v>
      </c>
      <c r="FV25" s="450">
        <v>-14.37</v>
      </c>
      <c r="FW25" s="1">
        <v>0.2857142857142857</v>
      </c>
      <c r="FX25" s="450">
        <v>-2.0399999999999996</v>
      </c>
      <c r="FY25" s="1">
        <v>0.42857142857142855</v>
      </c>
      <c r="FZ25" s="450">
        <v>-5.6599999999999993</v>
      </c>
      <c r="GA25" s="1">
        <v>0.42857142857142855</v>
      </c>
      <c r="GB25" s="450">
        <v>-9.82</v>
      </c>
      <c r="GC25" s="1">
        <v>0.35714285714285715</v>
      </c>
      <c r="GD25" s="450">
        <v>-9.1699999999999982</v>
      </c>
      <c r="GE25" s="1">
        <v>0.2857142857142857</v>
      </c>
      <c r="GF25" s="450">
        <v>-0.78000000000000036</v>
      </c>
      <c r="GG25" s="1">
        <v>0.35714285714285715</v>
      </c>
      <c r="GH25" s="450">
        <v>-11.009999999999998</v>
      </c>
      <c r="GI25" s="1">
        <v>0.35714285714285715</v>
      </c>
      <c r="GJ25" s="450">
        <v>1.5199999999999994</v>
      </c>
      <c r="GK25" s="1">
        <v>0.38461538461538464</v>
      </c>
      <c r="GL25" s="450">
        <v>-9.65</v>
      </c>
      <c r="GM25" s="1">
        <v>0.2857142857142857</v>
      </c>
      <c r="GN25" s="450"/>
      <c r="GO25" s="1"/>
      <c r="GP25" s="450">
        <v>-4.8599999999999994</v>
      </c>
      <c r="GQ25" s="1">
        <v>0.35714285714285715</v>
      </c>
      <c r="GR25" s="450">
        <v>-5.3800000000000008</v>
      </c>
      <c r="GS25" s="1">
        <v>0.5</v>
      </c>
      <c r="GT25" s="450">
        <v>3.7500000000000004</v>
      </c>
      <c r="GU25" s="1">
        <v>0.5714285714285714</v>
      </c>
      <c r="GV25" s="450">
        <v>4.0999999999999996</v>
      </c>
      <c r="GW25" s="1">
        <v>0.6428571428571429</v>
      </c>
      <c r="GX25" s="450">
        <v>-3.2399999999999998</v>
      </c>
      <c r="GY25" s="1">
        <v>0.38461538461538464</v>
      </c>
      <c r="GZ25" s="450"/>
      <c r="HA25" s="1"/>
      <c r="HB25" s="450">
        <v>-5.51</v>
      </c>
      <c r="HC25" s="1">
        <v>0.30769230769230771</v>
      </c>
      <c r="HD25" s="450">
        <v>-3.7199999999999998</v>
      </c>
      <c r="HE25" s="1">
        <v>0.35714285714285715</v>
      </c>
      <c r="HF25" s="450">
        <v>5.33</v>
      </c>
      <c r="HG25" s="1">
        <v>0.6428571428571429</v>
      </c>
      <c r="HH25" s="450">
        <v>-7.43</v>
      </c>
      <c r="HI25" s="1">
        <v>0.35714285714285715</v>
      </c>
      <c r="HJ25" s="450">
        <v>-0.2300000000000002</v>
      </c>
      <c r="HK25" s="1">
        <v>0.53846153846153844</v>
      </c>
      <c r="HL25" s="450">
        <v>2.86</v>
      </c>
      <c r="HM25" s="1">
        <v>0.5714285714285714</v>
      </c>
      <c r="HN25" s="450">
        <v>-3.8100000000000005</v>
      </c>
      <c r="HO25" s="1">
        <v>0.33333333333333331</v>
      </c>
      <c r="HP25" s="450">
        <v>-11.259999999999998</v>
      </c>
      <c r="HQ25" s="1">
        <v>0.21428571428571427</v>
      </c>
      <c r="HR25" s="450">
        <v>-10.169999999999998</v>
      </c>
      <c r="HS25" s="1">
        <v>0.14285714285714285</v>
      </c>
      <c r="HT25" s="450">
        <v>-8.6999999999999993</v>
      </c>
      <c r="HU25" s="1">
        <v>0.21428571428571427</v>
      </c>
      <c r="HV25" s="450">
        <v>5.12</v>
      </c>
      <c r="HW25" s="1">
        <v>0.7857142857142857</v>
      </c>
      <c r="HX25" s="450"/>
      <c r="HY25" s="1"/>
      <c r="HZ25" s="450"/>
      <c r="IA25" s="1"/>
      <c r="IB25" s="450">
        <v>-4.9700000000000006</v>
      </c>
      <c r="IC25" s="1">
        <v>0.42857142857142855</v>
      </c>
      <c r="ID25" s="450">
        <v>-3.28</v>
      </c>
      <c r="IE25" s="1">
        <v>0.2</v>
      </c>
      <c r="IF25" s="450">
        <v>-14.209999999999999</v>
      </c>
      <c r="IG25" s="1">
        <v>0.21428571428571427</v>
      </c>
      <c r="IH25" s="450">
        <v>-5.57</v>
      </c>
      <c r="II25" s="1">
        <v>0.35714285714285715</v>
      </c>
      <c r="IJ25" s="450">
        <v>-0.63000000000000078</v>
      </c>
      <c r="IK25" s="1">
        <v>0.5714285714285714</v>
      </c>
      <c r="IL25" s="450">
        <v>-15.41</v>
      </c>
      <c r="IM25" s="1">
        <v>0.2857142857142857</v>
      </c>
      <c r="IN25" s="450">
        <v>13.27</v>
      </c>
      <c r="IO25" s="1">
        <v>0.7142857142857143</v>
      </c>
      <c r="IP25" s="450">
        <v>-9.61</v>
      </c>
      <c r="IQ25" s="1">
        <v>0.35714285714285715</v>
      </c>
      <c r="IR25" s="450"/>
      <c r="IS25" s="1"/>
      <c r="IT25" s="450"/>
      <c r="IU25" s="1"/>
      <c r="IV25" s="450">
        <v>-8.5299999999999994</v>
      </c>
      <c r="IW25" s="1">
        <v>0.35714285714285715</v>
      </c>
      <c r="IX25" s="450"/>
      <c r="IY25" s="1"/>
      <c r="IZ25" s="450"/>
      <c r="JA25" s="1"/>
      <c r="JB25" s="450">
        <v>-10.950000000000001</v>
      </c>
      <c r="JC25" s="1">
        <v>0.35714285714285715</v>
      </c>
      <c r="JD25" s="450"/>
      <c r="JE25" s="1"/>
      <c r="JF25" s="450">
        <v>-20.340000000000003</v>
      </c>
      <c r="JG25" s="1">
        <v>0.14285714285714285</v>
      </c>
      <c r="JH25" s="450">
        <v>-8.06</v>
      </c>
      <c r="JI25" s="1">
        <v>0.35714285714285715</v>
      </c>
      <c r="JJ25" s="450">
        <v>-3.2</v>
      </c>
      <c r="JK25" s="1">
        <v>0.42857142857142855</v>
      </c>
      <c r="JL25" s="450">
        <v>-6.1400000000000006</v>
      </c>
      <c r="JM25" s="1">
        <v>0.42857142857142855</v>
      </c>
      <c r="JN25" s="450">
        <v>-1.1699999999999984</v>
      </c>
      <c r="JO25" s="1">
        <v>0.5</v>
      </c>
      <c r="JP25" s="450">
        <v>-8.5599999999999987</v>
      </c>
      <c r="JQ25" s="1">
        <v>0.2857142857142857</v>
      </c>
      <c r="JR25" s="450">
        <v>-3.6500000000000004</v>
      </c>
      <c r="JS25" s="1">
        <v>0.42857142857142855</v>
      </c>
      <c r="JT25" s="450"/>
      <c r="JU25" s="1"/>
      <c r="JV25" s="450"/>
      <c r="JW25" s="1"/>
      <c r="JX25" s="450">
        <v>-5.0199999999999996</v>
      </c>
      <c r="JY25" s="1">
        <v>0.42857142857142855</v>
      </c>
      <c r="JZ25" s="450">
        <v>-2.0800000000000005</v>
      </c>
      <c r="KA25" s="1">
        <v>0.5</v>
      </c>
      <c r="KB25" s="450">
        <v>2.25</v>
      </c>
      <c r="KC25" s="1">
        <v>0.5714285714285714</v>
      </c>
      <c r="KD25" s="450">
        <v>-17.71</v>
      </c>
      <c r="KE25" s="1">
        <v>0.35714285714285715</v>
      </c>
      <c r="KF25" s="450">
        <v>-10.090000000000003</v>
      </c>
      <c r="KG25" s="1">
        <v>0.5</v>
      </c>
      <c r="KH25" s="450">
        <v>-0.8899999999999999</v>
      </c>
      <c r="KI25" s="1">
        <v>0.5714285714285714</v>
      </c>
      <c r="KJ25" s="450">
        <v>-0.39000000000000024</v>
      </c>
      <c r="KK25" s="1">
        <v>0.5</v>
      </c>
      <c r="KL25" s="450">
        <v>0.24999999999999978</v>
      </c>
      <c r="KM25" s="1">
        <v>0.46153846153846156</v>
      </c>
      <c r="KN25" s="450">
        <v>-20.22</v>
      </c>
      <c r="KO25" s="1">
        <v>0.14285714285714285</v>
      </c>
      <c r="KP25" s="450"/>
      <c r="KQ25" s="1"/>
      <c r="KR25" s="450">
        <v>-1.1400000000000006</v>
      </c>
      <c r="KS25" s="1">
        <v>0.38461538461538464</v>
      </c>
      <c r="KT25" s="450"/>
      <c r="KU25" s="1"/>
      <c r="KV25" s="450">
        <v>-8.0600000000000023</v>
      </c>
      <c r="KW25" s="1">
        <v>0.42857142857142855</v>
      </c>
      <c r="KX25" s="450">
        <v>-6.4999999999999982</v>
      </c>
      <c r="KY25" s="1">
        <v>0.42857142857142855</v>
      </c>
      <c r="KZ25" s="450">
        <v>-11.28</v>
      </c>
      <c r="LA25" s="1">
        <v>0.46153846153846156</v>
      </c>
      <c r="LB25" s="450">
        <v>-14.51</v>
      </c>
      <c r="LC25" s="1">
        <v>0.2857142857142857</v>
      </c>
      <c r="LD25" s="450">
        <v>-0.67000000000000104</v>
      </c>
      <c r="LE25" s="1">
        <v>0.53846153846153844</v>
      </c>
      <c r="LF25" s="450">
        <v>14.010000000000002</v>
      </c>
      <c r="LG25" s="1">
        <v>0.83333333333333337</v>
      </c>
      <c r="LH25" s="450">
        <v>-29.009999999999998</v>
      </c>
      <c r="LI25" s="1">
        <v>0.35714285714285715</v>
      </c>
      <c r="LJ25" s="450"/>
      <c r="LK25" s="1"/>
      <c r="LL25" s="450"/>
      <c r="LM25" s="1"/>
      <c r="LN25" s="450">
        <v>-5.0399999999999974</v>
      </c>
      <c r="LO25" s="1">
        <v>0.5714285714285714</v>
      </c>
      <c r="LP25" s="450">
        <v>-3.4699999999999993</v>
      </c>
      <c r="LQ25" s="1">
        <v>0.6428571428571429</v>
      </c>
      <c r="LR25" s="450">
        <v>-2.819999999999999</v>
      </c>
      <c r="LS25" s="1">
        <v>0.7142857142857143</v>
      </c>
      <c r="LT25" s="450">
        <v>-15.129999999999999</v>
      </c>
      <c r="LU25" s="1">
        <v>0.5714285714285714</v>
      </c>
      <c r="LV25" s="450">
        <v>-22.119999999999997</v>
      </c>
      <c r="LW25" s="1">
        <v>0.5</v>
      </c>
      <c r="LX25" s="450">
        <v>-21.880000000000003</v>
      </c>
      <c r="LY25" s="1">
        <v>0.46153846153846156</v>
      </c>
      <c r="LZ25" s="450">
        <v>-7.6099999999999994</v>
      </c>
      <c r="MA25" s="1">
        <v>0.58333333333333337</v>
      </c>
      <c r="MB25" s="450">
        <v>-25.060000000000002</v>
      </c>
      <c r="MC25" s="1">
        <v>0.5</v>
      </c>
      <c r="MD25" s="450"/>
      <c r="ME25" s="1"/>
      <c r="MF25" s="450">
        <v>-0.43999999999999995</v>
      </c>
      <c r="MG25" s="1">
        <v>0.75</v>
      </c>
      <c r="MH25" s="450">
        <v>-17.11</v>
      </c>
      <c r="MI25" s="1">
        <v>0</v>
      </c>
      <c r="MJ25" s="450">
        <v>-4.29</v>
      </c>
      <c r="MK25" s="1">
        <v>0.5</v>
      </c>
      <c r="ML25" s="450">
        <v>-2.8900000000000006</v>
      </c>
      <c r="MM25" s="1">
        <v>0.6</v>
      </c>
      <c r="MN25" s="450">
        <v>-4.5599999999999996</v>
      </c>
      <c r="MO25" s="1">
        <v>0</v>
      </c>
      <c r="MP25" s="450">
        <v>2.16</v>
      </c>
      <c r="MQ25" s="1">
        <v>1</v>
      </c>
      <c r="MR25" s="450">
        <v>-3.8699999999999997</v>
      </c>
      <c r="MS25" s="1">
        <v>0.5</v>
      </c>
      <c r="MT25" s="450">
        <v>-6.24</v>
      </c>
      <c r="MU25" s="1">
        <v>0.5</v>
      </c>
      <c r="MV25" s="450">
        <v>8.6</v>
      </c>
      <c r="MW25" s="1">
        <v>1</v>
      </c>
      <c r="MX25" s="450">
        <v>4.2200000000000006</v>
      </c>
      <c r="MY25" s="1">
        <v>0.83333333333333337</v>
      </c>
      <c r="MZ25" s="450">
        <v>-11.299999999999999</v>
      </c>
      <c r="NA25" s="1">
        <v>0.42857142857142855</v>
      </c>
      <c r="NB25" s="450">
        <v>-13.380000000000003</v>
      </c>
      <c r="NC25" s="1">
        <v>0.58333333333333337</v>
      </c>
      <c r="ND25" s="450"/>
      <c r="NE25" s="1"/>
      <c r="NF25" s="450">
        <v>-10.88</v>
      </c>
      <c r="NG25" s="1">
        <v>0.54545454545454541</v>
      </c>
      <c r="NH25" s="450">
        <v>-10.88</v>
      </c>
      <c r="NI25" s="1">
        <v>0.54545454545454541</v>
      </c>
      <c r="NJ25" s="450">
        <v>-18.849999999999998</v>
      </c>
      <c r="NK25" s="1">
        <v>0.53846153846153844</v>
      </c>
      <c r="NL25" s="450"/>
      <c r="NM25" s="1"/>
      <c r="NN25" s="450"/>
      <c r="NO25" s="1"/>
      <c r="NP25" s="450">
        <v>-4.7699999999999996</v>
      </c>
      <c r="NQ25" s="1">
        <v>0.5</v>
      </c>
      <c r="NR25" s="450">
        <v>-15.920000000000002</v>
      </c>
      <c r="NS25" s="1">
        <v>0.125</v>
      </c>
      <c r="NT25" s="450">
        <v>7.129999999999999</v>
      </c>
      <c r="NU25" s="1">
        <v>0.77777777777777779</v>
      </c>
      <c r="NV25" s="450">
        <v>-1.5199999999999996</v>
      </c>
      <c r="NW25" s="1">
        <v>0.5714285714285714</v>
      </c>
      <c r="NX25" s="450">
        <v>3.05</v>
      </c>
      <c r="NY25" s="1">
        <v>0.5</v>
      </c>
      <c r="NZ25" s="450">
        <v>8.1199999999999974</v>
      </c>
      <c r="OA25" s="1">
        <v>0.66666666666666663</v>
      </c>
      <c r="OB25" s="450">
        <v>-13.709999999999999</v>
      </c>
      <c r="OC25" s="1">
        <v>0.4</v>
      </c>
      <c r="OD25" s="450">
        <v>-16.360000000000003</v>
      </c>
      <c r="OE25" s="1">
        <v>0.2857142857142857</v>
      </c>
      <c r="OF25" s="450">
        <v>-15.180000000000001</v>
      </c>
      <c r="OG25" s="1">
        <v>0.2857142857142857</v>
      </c>
      <c r="OH25" s="450">
        <v>0.11000000000000076</v>
      </c>
      <c r="OI25" s="1">
        <v>0.7</v>
      </c>
      <c r="OJ25" s="450"/>
      <c r="OK25" s="1"/>
      <c r="OL25" s="450">
        <v>-15.029999999999998</v>
      </c>
      <c r="OM25" s="1">
        <v>0.5714285714285714</v>
      </c>
      <c r="ON25" s="450">
        <v>-45.449999999999996</v>
      </c>
      <c r="OO25" s="1">
        <v>0.14285714285714285</v>
      </c>
      <c r="OP25" s="450">
        <v>-9.7700000000000031</v>
      </c>
      <c r="OQ25" s="1">
        <v>0.5</v>
      </c>
      <c r="OR25" s="450">
        <v>-2.16</v>
      </c>
      <c r="OS25" s="1">
        <v>0.5</v>
      </c>
      <c r="OT25" s="450">
        <v>3.0000000000000138E-2</v>
      </c>
      <c r="OU25" s="1">
        <v>0.46666666666666667</v>
      </c>
      <c r="OV25" s="450"/>
      <c r="OW25" s="1"/>
      <c r="OX25" s="450">
        <v>-19.419999999999998</v>
      </c>
      <c r="OY25" s="1">
        <v>0.2857142857142857</v>
      </c>
      <c r="OZ25" s="450">
        <v>17.739999999999998</v>
      </c>
      <c r="PA25" s="1">
        <v>0.8</v>
      </c>
      <c r="PB25" s="450">
        <v>-5.94</v>
      </c>
      <c r="PC25" s="1">
        <v>0.69230769230769229</v>
      </c>
      <c r="PD25" s="450">
        <v>-13.35</v>
      </c>
      <c r="PE25" s="1">
        <v>0.42857142857142855</v>
      </c>
      <c r="PF25" s="450">
        <v>-2.9899999999999993</v>
      </c>
      <c r="PG25" s="1">
        <v>0.5</v>
      </c>
      <c r="PH25" s="450">
        <v>-13.149999999999999</v>
      </c>
      <c r="PI25" s="1">
        <v>0.42857142857142855</v>
      </c>
      <c r="PJ25" s="450"/>
      <c r="PK25" s="1"/>
      <c r="PL25" s="450"/>
      <c r="PM25" s="1"/>
      <c r="PN25" s="450"/>
      <c r="PO25" s="1"/>
      <c r="PP25" s="450">
        <v>2.4700000000000006</v>
      </c>
      <c r="PQ25" s="1">
        <v>0.7142857142857143</v>
      </c>
      <c r="PR25" s="450">
        <v>-19.359999999999996</v>
      </c>
      <c r="PS25" s="1">
        <v>0.5</v>
      </c>
      <c r="PT25" s="450">
        <v>-10.870000000000003</v>
      </c>
      <c r="PU25" s="1">
        <v>0.6</v>
      </c>
      <c r="PV25" s="450">
        <v>-24.61</v>
      </c>
      <c r="PW25" s="1">
        <v>0.35714285714285715</v>
      </c>
      <c r="PX25" s="450">
        <v>5.0499999999999989</v>
      </c>
      <c r="PY25" s="1">
        <v>0.7142857142857143</v>
      </c>
      <c r="PZ25" s="450">
        <v>-16.590000000000003</v>
      </c>
      <c r="QA25" s="1">
        <v>0.5</v>
      </c>
      <c r="QB25" s="450">
        <v>-17.150000000000002</v>
      </c>
      <c r="QC25" s="1">
        <v>0.5</v>
      </c>
      <c r="QD25" s="450">
        <v>-24.69</v>
      </c>
      <c r="QE25" s="1">
        <v>0.2857142857142857</v>
      </c>
      <c r="QF25" s="450">
        <v>7.5699999999999985</v>
      </c>
      <c r="QG25" s="1">
        <v>0.6428571428571429</v>
      </c>
      <c r="QH25" s="450">
        <v>-30.65</v>
      </c>
      <c r="QI25" s="1">
        <v>0.2857142857142857</v>
      </c>
      <c r="QJ25" s="450">
        <v>-0.33000000000000179</v>
      </c>
      <c r="QK25" s="1">
        <v>0.61538461538461542</v>
      </c>
      <c r="QL25" s="450">
        <v>3.8899999999999997</v>
      </c>
      <c r="QM25" s="1">
        <v>0.6428571428571429</v>
      </c>
      <c r="QN25" s="450">
        <v>-12.55</v>
      </c>
      <c r="QO25" s="1">
        <v>0.2857142857142857</v>
      </c>
      <c r="QP25" s="450">
        <v>3.379999999999999</v>
      </c>
      <c r="QQ25" s="1">
        <v>0.53846153846153844</v>
      </c>
      <c r="QR25" s="450">
        <v>3.4999999999999991</v>
      </c>
      <c r="QS25" s="1">
        <v>0.69230769230769229</v>
      </c>
      <c r="QT25" s="450">
        <v>-6.99</v>
      </c>
      <c r="QU25" s="1">
        <v>0.41666666666666669</v>
      </c>
      <c r="QV25" s="450">
        <v>-13.639999999999999</v>
      </c>
      <c r="QW25" s="1">
        <v>0.42857142857142855</v>
      </c>
      <c r="QX25" s="450">
        <v>-5.2300000000000013</v>
      </c>
      <c r="QY25" s="1">
        <v>0.35714285714285715</v>
      </c>
      <c r="QZ25" s="450"/>
      <c r="RA25" s="1"/>
      <c r="RB25" s="450">
        <v>-5.2999999999999989</v>
      </c>
      <c r="RC25" s="1">
        <v>0.38461538461538464</v>
      </c>
      <c r="RD25" s="450">
        <v>-2.0799999999999992</v>
      </c>
      <c r="RE25" s="1">
        <v>0.46666666666666667</v>
      </c>
      <c r="RF25" s="450">
        <v>-2.25</v>
      </c>
      <c r="RG25" s="1">
        <v>0.5714285714285714</v>
      </c>
      <c r="RH25" s="450">
        <v>-15.059999999999999</v>
      </c>
      <c r="RI25" s="1">
        <v>0.35714285714285715</v>
      </c>
      <c r="RJ25" s="450">
        <v>10.019999999999998</v>
      </c>
      <c r="RK25" s="1">
        <v>0.61538461538461542</v>
      </c>
      <c r="RL25" s="450"/>
      <c r="RM25" s="1"/>
      <c r="RN25" s="450">
        <v>-1.2400000000000007</v>
      </c>
      <c r="RO25" s="1">
        <v>0.42857142857142855</v>
      </c>
      <c r="RP25" s="450">
        <v>7.42</v>
      </c>
      <c r="RQ25" s="1">
        <v>0.7142857142857143</v>
      </c>
      <c r="RR25" s="450">
        <v>-17.93</v>
      </c>
      <c r="RS25" s="1">
        <v>0.42857142857142855</v>
      </c>
      <c r="RT25" s="450">
        <v>-5.9100000000000019</v>
      </c>
      <c r="RU25" s="1">
        <v>0.6428571428571429</v>
      </c>
      <c r="RV25" s="450">
        <v>-26.950000000000003</v>
      </c>
      <c r="RW25" s="1">
        <v>0.5</v>
      </c>
      <c r="RX25" s="450">
        <v>11.379999999999999</v>
      </c>
      <c r="RY25" s="1">
        <v>0.7142857142857143</v>
      </c>
      <c r="RZ25" s="450">
        <v>-1.6400000000000015</v>
      </c>
      <c r="SA25" s="1">
        <v>0.5714285714285714</v>
      </c>
      <c r="SB25" s="450">
        <v>-12.620000000000001</v>
      </c>
      <c r="SC25" s="1">
        <v>0.5714285714285714</v>
      </c>
      <c r="SD25" s="450">
        <v>-13.919999999999998</v>
      </c>
      <c r="SE25" s="1">
        <v>0.5</v>
      </c>
      <c r="SF25" s="450"/>
      <c r="SG25" s="1"/>
      <c r="SH25" s="450">
        <v>3.8400000000000012</v>
      </c>
      <c r="SI25" s="1">
        <v>0.76923076923076927</v>
      </c>
      <c r="SJ25" s="452">
        <v>-20.18</v>
      </c>
      <c r="SK25" s="1">
        <v>0.2857142857142857</v>
      </c>
      <c r="SL25" s="457">
        <v>-8.09</v>
      </c>
      <c r="SM25" s="1">
        <v>0.5</v>
      </c>
      <c r="SN25" s="459">
        <v>-7.57</v>
      </c>
      <c r="SO25" s="1">
        <v>0.5</v>
      </c>
      <c r="SP25" s="461">
        <v>-6.7100000000000009</v>
      </c>
      <c r="SQ25" s="1">
        <v>0.30769230769230771</v>
      </c>
      <c r="SR25" s="463">
        <v>-14.77</v>
      </c>
      <c r="SS25" s="1">
        <v>0.46153846153846156</v>
      </c>
      <c r="ST25" s="464">
        <v>3.9899999999999984</v>
      </c>
      <c r="SU25" s="1">
        <v>0.6428571428571429</v>
      </c>
      <c r="SV25" s="466">
        <v>-16.670000000000002</v>
      </c>
      <c r="SW25" s="1">
        <v>0.21428571428571427</v>
      </c>
      <c r="SX25" s="467"/>
      <c r="SY25" s="1"/>
      <c r="SZ25" s="469">
        <v>-2.3499999999999996</v>
      </c>
      <c r="TA25" s="1">
        <v>0.5714285714285714</v>
      </c>
      <c r="TB25" s="471">
        <v>5.8800000000000008</v>
      </c>
      <c r="TC25" s="1">
        <v>0.61538461538461542</v>
      </c>
      <c r="TD25" s="472">
        <v>-4.0699999999999994</v>
      </c>
      <c r="TE25" s="1">
        <v>0.46153846153846156</v>
      </c>
      <c r="TF25" s="474">
        <v>-3.7299999999999995</v>
      </c>
      <c r="TG25" s="1">
        <v>0.53846153846153844</v>
      </c>
      <c r="TH25" s="488">
        <v>-36.54</v>
      </c>
      <c r="TI25" s="1">
        <v>0.14285714285714285</v>
      </c>
      <c r="TJ25" s="489">
        <v>-10.93</v>
      </c>
      <c r="TK25" s="1">
        <v>0.5</v>
      </c>
      <c r="TL25" s="490">
        <v>-10.96</v>
      </c>
      <c r="TM25" s="1">
        <v>0.2857142857142857</v>
      </c>
      <c r="TN25" s="495"/>
      <c r="TO25" s="1"/>
      <c r="TP25" s="500">
        <v>-11.400000000000004</v>
      </c>
      <c r="TQ25" s="1">
        <v>0.42857142857142855</v>
      </c>
      <c r="TR25" s="511">
        <v>-12.75</v>
      </c>
      <c r="TS25" s="1">
        <v>0.42857142857142855</v>
      </c>
      <c r="TT25" s="515">
        <v>-11.47</v>
      </c>
      <c r="TU25" s="1">
        <v>0.42857142857142855</v>
      </c>
      <c r="TV25" s="518">
        <v>-0.8100000000000005</v>
      </c>
      <c r="TW25" s="1">
        <v>0.6428571428571429</v>
      </c>
      <c r="TX25" s="521"/>
      <c r="TY25" s="1"/>
      <c r="TZ25" s="524">
        <v>5.1399999999999988</v>
      </c>
      <c r="UA25" s="1">
        <v>0.7142857142857143</v>
      </c>
      <c r="UB25" s="527">
        <v>-15.850000000000001</v>
      </c>
      <c r="UC25" s="1">
        <v>0.33333333333333331</v>
      </c>
      <c r="UD25" s="530">
        <v>-9.6299999999999955</v>
      </c>
      <c r="UE25" s="1">
        <v>0.46666666666666667</v>
      </c>
      <c r="UF25" s="533">
        <v>-13.950000000000001</v>
      </c>
      <c r="UG25" s="1">
        <v>0.46666666666666667</v>
      </c>
      <c r="UH25" s="536">
        <v>-1.7100000000000002</v>
      </c>
      <c r="UI25" s="1">
        <v>0.53333333333333333</v>
      </c>
      <c r="UJ25" s="539">
        <v>9.5699999999999985</v>
      </c>
      <c r="UK25" s="1">
        <v>0.73333333333333328</v>
      </c>
      <c r="UL25" s="540">
        <v>-18.899999999999999</v>
      </c>
      <c r="UM25" s="1">
        <v>0.33333333333333331</v>
      </c>
      <c r="UN25" s="543">
        <v>-16.53</v>
      </c>
      <c r="UO25" s="1">
        <v>0.2857142857142857</v>
      </c>
      <c r="UP25" s="544">
        <v>-7.75</v>
      </c>
      <c r="UQ25" s="1">
        <v>0.5</v>
      </c>
      <c r="UR25" s="551">
        <v>0.74000000000000021</v>
      </c>
      <c r="US25" s="1">
        <v>0.6</v>
      </c>
      <c r="UT25" s="551">
        <v>-17.470000000000002</v>
      </c>
      <c r="UU25" s="1">
        <v>0.21428571428571427</v>
      </c>
      <c r="UV25" s="562">
        <v>-11.4</v>
      </c>
      <c r="UW25" s="1">
        <v>0.4</v>
      </c>
      <c r="UX25" s="566">
        <v>-2.9999999999999083E-2</v>
      </c>
      <c r="UY25" s="1">
        <v>0.35714285714285715</v>
      </c>
      <c r="UZ25" s="568"/>
      <c r="VA25" s="1"/>
      <c r="VB25" s="572">
        <v>1.1199999999999997</v>
      </c>
      <c r="VC25" s="1">
        <v>0.6</v>
      </c>
      <c r="VD25" s="576">
        <v>-13.24</v>
      </c>
      <c r="VE25" s="1">
        <v>0.2857142857142857</v>
      </c>
      <c r="VF25" s="580">
        <v>-4.9600000000000009</v>
      </c>
      <c r="VG25" s="1">
        <v>0.5</v>
      </c>
      <c r="VH25" s="584">
        <v>-4.5299999999999994</v>
      </c>
      <c r="VI25" s="1">
        <v>0.46666666666666667</v>
      </c>
      <c r="VJ25" s="589">
        <v>-9.9400000000000013</v>
      </c>
      <c r="VK25" s="1">
        <v>0.35714285714285715</v>
      </c>
      <c r="VL25" s="593">
        <v>-22.21</v>
      </c>
      <c r="VM25" s="1">
        <v>0.33333333333333331</v>
      </c>
      <c r="VN25" s="597">
        <v>-2.0499999999999994</v>
      </c>
      <c r="VO25" s="1">
        <v>0.4</v>
      </c>
      <c r="VP25" s="601">
        <v>-24.910000000000004</v>
      </c>
      <c r="VQ25" s="1">
        <v>0.30769230769230771</v>
      </c>
      <c r="VR25" s="603"/>
      <c r="VS25" s="1"/>
      <c r="VT25" s="607">
        <v>-9.3699999999999992</v>
      </c>
      <c r="VU25" s="1">
        <v>0.6</v>
      </c>
      <c r="VV25" s="609">
        <v>3.8900000000000006</v>
      </c>
      <c r="VW25" s="1">
        <v>0.66666666666666663</v>
      </c>
      <c r="VX25" s="613">
        <v>-12.270000000000001</v>
      </c>
      <c r="VY25" s="1">
        <v>0.5</v>
      </c>
      <c r="VZ25" s="617">
        <v>-1.8799999999999994</v>
      </c>
      <c r="WA25" s="1">
        <v>0.5714285714285714</v>
      </c>
      <c r="WB25" s="619"/>
      <c r="WC25" s="1"/>
      <c r="WD25" s="624">
        <v>3.8500000000000005</v>
      </c>
      <c r="WE25" s="1">
        <v>0.53333333333333333</v>
      </c>
      <c r="WF25" s="626">
        <v>-16.100000000000001</v>
      </c>
      <c r="WG25" s="1">
        <v>0.30769230769230771</v>
      </c>
      <c r="WH25" s="630">
        <v>-7.410000000000001</v>
      </c>
      <c r="WI25" s="1">
        <v>0.5</v>
      </c>
      <c r="WJ25" s="636">
        <v>-2.0300000000000011</v>
      </c>
      <c r="WK25" s="1">
        <v>0.42857142857142855</v>
      </c>
      <c r="WL25" s="638">
        <v>-8.4700000000000006</v>
      </c>
      <c r="WM25" s="1">
        <v>0.35714285714285715</v>
      </c>
      <c r="WN25" s="642">
        <v>-0.4900000000000011</v>
      </c>
      <c r="WO25" s="1">
        <v>0.5</v>
      </c>
      <c r="WP25" s="646">
        <v>-4.3100000000000005</v>
      </c>
      <c r="WQ25" s="1">
        <v>0.5714285714285714</v>
      </c>
      <c r="WR25" s="652">
        <v>-14.48</v>
      </c>
      <c r="WS25" s="1">
        <v>0.2857142857142857</v>
      </c>
      <c r="WT25" s="659">
        <v>-12.32</v>
      </c>
      <c r="WU25" s="1">
        <v>0.38461538461538464</v>
      </c>
      <c r="WV25" s="659">
        <v>6.999999999999984E-2</v>
      </c>
      <c r="WW25" s="1">
        <v>0.5714285714285714</v>
      </c>
      <c r="WX25" s="672">
        <v>-3.1399999999999997</v>
      </c>
      <c r="WY25" s="1">
        <v>0.53333333333333333</v>
      </c>
      <c r="WZ25" s="677"/>
      <c r="XA25" s="1"/>
      <c r="XB25" s="681">
        <v>-6.95</v>
      </c>
      <c r="XC25" s="1">
        <v>0.5</v>
      </c>
      <c r="XD25" s="683"/>
      <c r="XE25" s="1"/>
      <c r="XF25" s="687">
        <v>-24.72</v>
      </c>
      <c r="XG25" s="1">
        <v>0.35714285714285715</v>
      </c>
      <c r="XH25" s="689">
        <v>-15.8</v>
      </c>
      <c r="XI25" s="1">
        <v>0.35714285714285715</v>
      </c>
      <c r="XJ25" s="696">
        <v>-16.959999999999997</v>
      </c>
      <c r="XK25" s="1">
        <v>0.4</v>
      </c>
      <c r="XL25" s="696">
        <v>6.1</v>
      </c>
      <c r="XM25" s="1">
        <v>0.6428571428571429</v>
      </c>
      <c r="XN25" s="696">
        <v>-11.01</v>
      </c>
      <c r="XO25" s="1">
        <v>0.41379310344827586</v>
      </c>
      <c r="XP25" s="700">
        <v>-2.4099999999999984</v>
      </c>
      <c r="XQ25" s="1">
        <v>0.5714285714285714</v>
      </c>
      <c r="XR25" s="705">
        <v>-0.3899999999999989</v>
      </c>
      <c r="XS25" s="1">
        <v>0.55172413793103448</v>
      </c>
      <c r="XT25" s="709">
        <v>2.990000000000002</v>
      </c>
      <c r="XU25" s="1">
        <v>0.53333333333333333</v>
      </c>
      <c r="XV25" s="715"/>
      <c r="XW25" s="1"/>
    </row>
    <row r="26" spans="2:647" x14ac:dyDescent="0.25">
      <c r="B26" s="755"/>
      <c r="C26" s="760"/>
      <c r="D26" s="757" t="s">
        <v>12</v>
      </c>
      <c r="E26" s="757"/>
      <c r="F26" s="448">
        <v>0.4</v>
      </c>
      <c r="G26" s="768"/>
      <c r="H26" s="450">
        <v>-0.36666666666666692</v>
      </c>
      <c r="I26" s="1">
        <v>0.42857142857142855</v>
      </c>
      <c r="J26" s="450">
        <v>-6.3233333333333333</v>
      </c>
      <c r="K26" s="1">
        <v>0.15384615384615385</v>
      </c>
      <c r="L26" s="450">
        <v>-0.89499999999999991</v>
      </c>
      <c r="M26" s="1">
        <v>0.53846153846153844</v>
      </c>
      <c r="N26" s="450">
        <v>-4.8599999999999994</v>
      </c>
      <c r="O26" s="1">
        <v>0.5</v>
      </c>
      <c r="P26" s="450">
        <v>2.4050000000000007</v>
      </c>
      <c r="Q26" s="1">
        <v>0.5714285714285714</v>
      </c>
      <c r="R26" s="450">
        <v>-7.18</v>
      </c>
      <c r="S26" s="1">
        <v>7.1428571428571425E-2</v>
      </c>
      <c r="T26" s="450"/>
      <c r="U26" s="1"/>
      <c r="V26" s="450">
        <v>-2.458333333333333</v>
      </c>
      <c r="W26" s="1">
        <v>0.5</v>
      </c>
      <c r="X26" s="450"/>
      <c r="Y26" s="1"/>
      <c r="Z26" s="450">
        <v>0.12666666666666659</v>
      </c>
      <c r="AA26" s="1">
        <v>0.5</v>
      </c>
      <c r="AB26" s="450"/>
      <c r="AC26" s="1"/>
      <c r="AD26" s="450">
        <v>2.2366666666666668</v>
      </c>
      <c r="AE26" s="1">
        <v>0.7142857142857143</v>
      </c>
      <c r="AF26" s="450"/>
      <c r="AG26" s="1"/>
      <c r="AH26" s="450">
        <v>-4.5383333333333322</v>
      </c>
      <c r="AI26" s="1">
        <v>0.21428571428571427</v>
      </c>
      <c r="AJ26" s="450">
        <v>2.25</v>
      </c>
      <c r="AK26" s="1">
        <v>0.5</v>
      </c>
      <c r="AL26" s="450">
        <v>-3.0066666666666673</v>
      </c>
      <c r="AM26" s="1">
        <v>0.38461538461538464</v>
      </c>
      <c r="AN26" s="450"/>
      <c r="AO26" s="1"/>
      <c r="AP26" s="450">
        <v>-0.3116666666666667</v>
      </c>
      <c r="AQ26" s="1">
        <v>0.5714285714285714</v>
      </c>
      <c r="AR26" s="450">
        <v>0.51666666666666694</v>
      </c>
      <c r="AS26" s="1">
        <v>0.5</v>
      </c>
      <c r="AT26" s="450"/>
      <c r="AU26" s="1"/>
      <c r="AV26" s="450">
        <v>-5.4466666666666663</v>
      </c>
      <c r="AW26" s="1">
        <v>0.35714285714285715</v>
      </c>
      <c r="AX26" s="450">
        <v>-2.6466666666666669</v>
      </c>
      <c r="AY26" s="1">
        <v>0.35714285714285715</v>
      </c>
      <c r="AZ26" s="450">
        <v>-0.51333333333333364</v>
      </c>
      <c r="BA26" s="1">
        <v>0.35714285714285715</v>
      </c>
      <c r="BB26" s="450">
        <v>-1.3</v>
      </c>
      <c r="BC26" s="1">
        <v>0.42857142857142855</v>
      </c>
      <c r="BD26" s="450">
        <v>1.2549999999999999</v>
      </c>
      <c r="BE26" s="1">
        <v>0.6428571428571429</v>
      </c>
      <c r="BF26" s="450">
        <v>-6.53</v>
      </c>
      <c r="BG26" s="1">
        <v>0.5</v>
      </c>
      <c r="BH26" s="450"/>
      <c r="BI26" s="1"/>
      <c r="BJ26" s="450">
        <v>-6.9316666666666658</v>
      </c>
      <c r="BK26" s="1">
        <v>0.38461538461538464</v>
      </c>
      <c r="BL26" s="450">
        <v>-2.6183333333333336</v>
      </c>
      <c r="BM26" s="1">
        <v>0.38461538461538464</v>
      </c>
      <c r="BN26" s="450"/>
      <c r="BO26" s="1"/>
      <c r="BP26" s="450">
        <v>4.2399999999999993</v>
      </c>
      <c r="BQ26" s="1">
        <v>0.7857142857142857</v>
      </c>
      <c r="BR26" s="450">
        <v>1.6833333333333329</v>
      </c>
      <c r="BS26" s="1">
        <v>0.6428571428571429</v>
      </c>
      <c r="BT26" s="450"/>
      <c r="BU26" s="1"/>
      <c r="BV26" s="450">
        <v>-3.5566666666666671</v>
      </c>
      <c r="BW26" s="1">
        <v>0.2857142857142857</v>
      </c>
      <c r="BX26" s="450">
        <v>1.0983333333333334</v>
      </c>
      <c r="BY26" s="1">
        <v>0.61538461538461542</v>
      </c>
      <c r="BZ26" s="450">
        <v>-3.8883333333333332</v>
      </c>
      <c r="CA26" s="1">
        <v>0.38461538461538464</v>
      </c>
      <c r="CB26" s="450">
        <v>2.2633333333333341</v>
      </c>
      <c r="CC26" s="1">
        <v>0.7142857142857143</v>
      </c>
      <c r="CD26" s="450">
        <v>-4.208333333333333</v>
      </c>
      <c r="CE26" s="1">
        <v>0.35714285714285715</v>
      </c>
      <c r="CF26" s="450"/>
      <c r="CG26" s="1"/>
      <c r="CH26" s="450"/>
      <c r="CI26" s="1"/>
      <c r="CJ26" s="450">
        <v>-2.98</v>
      </c>
      <c r="CK26" s="1">
        <v>0.42857142857142855</v>
      </c>
      <c r="CL26" s="450">
        <v>-6.6549999999999985</v>
      </c>
      <c r="CM26" s="1">
        <v>0.38461538461538464</v>
      </c>
      <c r="CN26" s="450">
        <v>1.0349999999999999</v>
      </c>
      <c r="CO26" s="1">
        <v>0.42857142857142855</v>
      </c>
      <c r="CP26" s="450">
        <v>-6.0850000000000009</v>
      </c>
      <c r="CQ26" s="1">
        <v>0.35714285714285715</v>
      </c>
      <c r="CR26" s="450">
        <v>-4.1716666666666669</v>
      </c>
      <c r="CS26" s="1">
        <v>0.21428571428571427</v>
      </c>
      <c r="CT26" s="450">
        <v>-1.2283333333333333</v>
      </c>
      <c r="CU26" s="1">
        <v>0.61538461538461542</v>
      </c>
      <c r="CV26" s="450">
        <v>1.1333333333333329</v>
      </c>
      <c r="CW26" s="1">
        <v>0.61538461538461542</v>
      </c>
      <c r="CX26" s="450">
        <v>-5.8933333333333344</v>
      </c>
      <c r="CY26" s="1">
        <v>0.21428571428571427</v>
      </c>
      <c r="CZ26" s="450"/>
      <c r="DA26" s="1"/>
      <c r="DB26" s="450">
        <v>-5.7433333333333323</v>
      </c>
      <c r="DC26" s="1">
        <v>0.53846153846153844</v>
      </c>
      <c r="DD26" s="450">
        <v>-6.3116666666666674</v>
      </c>
      <c r="DE26" s="1">
        <v>0.42857142857142855</v>
      </c>
      <c r="DF26" s="450">
        <v>3.0116666666666667</v>
      </c>
      <c r="DG26" s="1">
        <v>0.7142857142857143</v>
      </c>
      <c r="DH26" s="450">
        <v>-6.7200000000000015</v>
      </c>
      <c r="DI26" s="1">
        <v>0.2857142857142857</v>
      </c>
      <c r="DJ26" s="450">
        <v>0.63833333333333342</v>
      </c>
      <c r="DK26" s="1">
        <v>0.7142857142857143</v>
      </c>
      <c r="DL26" s="450">
        <v>-6.3216666666666663</v>
      </c>
      <c r="DM26" s="1">
        <v>0.2857142857142857</v>
      </c>
      <c r="DN26" s="450">
        <v>-3.2950000000000004</v>
      </c>
      <c r="DO26" s="1">
        <v>0.5714285714285714</v>
      </c>
      <c r="DP26" s="450"/>
      <c r="DQ26" s="1"/>
      <c r="DR26" s="450"/>
      <c r="DS26" s="1"/>
      <c r="DT26" s="450">
        <v>2.3983333333333334</v>
      </c>
      <c r="DU26" s="1">
        <v>0.6428571428571429</v>
      </c>
      <c r="DV26" s="450">
        <v>2.9583333333333335</v>
      </c>
      <c r="DW26" s="1">
        <v>0.61538461538461542</v>
      </c>
      <c r="DX26" s="450">
        <v>2.9583333333333335</v>
      </c>
      <c r="DY26" s="1">
        <v>0.61538461538461542</v>
      </c>
      <c r="DZ26" s="450">
        <v>2.81</v>
      </c>
      <c r="EA26" s="1">
        <v>0.7142857142857143</v>
      </c>
      <c r="EB26" s="450">
        <v>-1.2983333333333336</v>
      </c>
      <c r="EC26" s="1">
        <v>0.5</v>
      </c>
      <c r="ED26" s="450">
        <v>-5.1533333333333333</v>
      </c>
      <c r="EE26" s="1">
        <v>0.21428571428571427</v>
      </c>
      <c r="EF26" s="450">
        <v>-2.9899999999999998</v>
      </c>
      <c r="EG26" s="1">
        <v>0.5</v>
      </c>
      <c r="EH26" s="450">
        <v>-3.499999999999967E-2</v>
      </c>
      <c r="EI26" s="1">
        <v>0.5</v>
      </c>
      <c r="EJ26" s="450"/>
      <c r="EK26" s="1"/>
      <c r="EL26" s="450"/>
      <c r="EM26" s="1"/>
      <c r="EN26" s="450">
        <v>-3.3716666666666666</v>
      </c>
      <c r="EO26" s="1">
        <v>0.42857142857142855</v>
      </c>
      <c r="EP26" s="450"/>
      <c r="EQ26" s="1"/>
      <c r="ER26" s="450">
        <v>-0.6583333333333331</v>
      </c>
      <c r="ES26" s="1">
        <v>0.42857142857142855</v>
      </c>
      <c r="ET26" s="450">
        <v>-1.5499999999999992</v>
      </c>
      <c r="EU26" s="1">
        <v>0.5</v>
      </c>
      <c r="EV26" s="450">
        <v>0.6366666666666666</v>
      </c>
      <c r="EW26" s="1">
        <v>0.42857142857142855</v>
      </c>
      <c r="EX26" s="450">
        <v>-7.8649999999999993</v>
      </c>
      <c r="EY26" s="1">
        <v>0.42857142857142855</v>
      </c>
      <c r="EZ26" s="450"/>
      <c r="FA26" s="1"/>
      <c r="FB26" s="450">
        <v>-21.88</v>
      </c>
      <c r="FC26" s="1">
        <v>0.38461538461538464</v>
      </c>
      <c r="FD26" s="450">
        <v>-20.659999999999997</v>
      </c>
      <c r="FE26" s="1">
        <v>0.35714285714285715</v>
      </c>
      <c r="FF26" s="450">
        <v>-1.5499999999999989</v>
      </c>
      <c r="FG26" s="1">
        <v>0.42857142857142855</v>
      </c>
      <c r="FH26" s="450">
        <v>-9.75</v>
      </c>
      <c r="FI26" s="1">
        <v>0.33333333333333331</v>
      </c>
      <c r="FJ26" s="450">
        <v>-22.85</v>
      </c>
      <c r="FK26" s="1">
        <v>0.2857142857142857</v>
      </c>
      <c r="FL26" s="450">
        <v>-2.3099999999999992</v>
      </c>
      <c r="FM26" s="1">
        <v>0.7142857142857143</v>
      </c>
      <c r="FN26" s="450">
        <v>-9.8800000000000008</v>
      </c>
      <c r="FO26" s="1">
        <v>0.5</v>
      </c>
      <c r="FP26" s="450">
        <v>-19.019999999999996</v>
      </c>
      <c r="FQ26" s="1">
        <v>0.42857142857142855</v>
      </c>
      <c r="FR26" s="450">
        <v>-5.34</v>
      </c>
      <c r="FS26" s="1">
        <v>0.6428571428571429</v>
      </c>
      <c r="FT26" s="450">
        <v>-47.01</v>
      </c>
      <c r="FU26" s="1">
        <v>0.2857142857142857</v>
      </c>
      <c r="FV26" s="450">
        <v>3.7500000000000013</v>
      </c>
      <c r="FW26" s="1">
        <v>0.5</v>
      </c>
      <c r="FX26" s="450">
        <v>-4.13</v>
      </c>
      <c r="FY26" s="1">
        <v>0.35714285714285715</v>
      </c>
      <c r="FZ26" s="450">
        <v>-22.150000000000002</v>
      </c>
      <c r="GA26" s="1">
        <v>0.35714285714285715</v>
      </c>
      <c r="GB26" s="450">
        <v>-6.910000000000001</v>
      </c>
      <c r="GC26" s="1">
        <v>0.42857142857142855</v>
      </c>
      <c r="GD26" s="450">
        <v>-15.18</v>
      </c>
      <c r="GE26" s="1">
        <v>0.2857142857142857</v>
      </c>
      <c r="GF26" s="450">
        <v>-8.34</v>
      </c>
      <c r="GG26" s="1">
        <v>0.42857142857142855</v>
      </c>
      <c r="GH26" s="450">
        <v>-19.489999999999998</v>
      </c>
      <c r="GI26" s="1">
        <v>0.2857142857142857</v>
      </c>
      <c r="GJ26" s="450">
        <v>-3.49</v>
      </c>
      <c r="GK26" s="1">
        <v>0.38461538461538464</v>
      </c>
      <c r="GL26" s="450">
        <v>-9.84</v>
      </c>
      <c r="GM26" s="1">
        <v>0.5</v>
      </c>
      <c r="GN26" s="450"/>
      <c r="GO26" s="1"/>
      <c r="GP26" s="450">
        <v>-3.3899999999999988</v>
      </c>
      <c r="GQ26" s="1">
        <v>0.35714285714285715</v>
      </c>
      <c r="GR26" s="450">
        <v>0.38000000000000078</v>
      </c>
      <c r="GS26" s="1">
        <v>0.6428571428571429</v>
      </c>
      <c r="GT26" s="450">
        <v>4.0599999999999987</v>
      </c>
      <c r="GU26" s="1">
        <v>0.5714285714285714</v>
      </c>
      <c r="GV26" s="450">
        <v>-1.4899999999999998</v>
      </c>
      <c r="GW26" s="1">
        <v>0.42857142857142855</v>
      </c>
      <c r="GX26" s="450">
        <v>10.100000000000001</v>
      </c>
      <c r="GY26" s="1">
        <v>0.53846153846153844</v>
      </c>
      <c r="GZ26" s="450"/>
      <c r="HA26" s="1"/>
      <c r="HB26" s="450">
        <v>5.9299999999999979</v>
      </c>
      <c r="HC26" s="1">
        <v>0.46153846153846156</v>
      </c>
      <c r="HD26" s="450">
        <v>-2.06</v>
      </c>
      <c r="HE26" s="1">
        <v>0.42857142857142855</v>
      </c>
      <c r="HF26" s="450">
        <v>9.77</v>
      </c>
      <c r="HG26" s="1">
        <v>0.7142857142857143</v>
      </c>
      <c r="HH26" s="450">
        <v>5.47</v>
      </c>
      <c r="HI26" s="1">
        <v>0.5</v>
      </c>
      <c r="HJ26" s="450">
        <v>4.84</v>
      </c>
      <c r="HK26" s="1">
        <v>0.61538461538461542</v>
      </c>
      <c r="HL26" s="450">
        <v>-21.48</v>
      </c>
      <c r="HM26" s="1">
        <v>0.21428571428571427</v>
      </c>
      <c r="HN26" s="450">
        <v>-3.57</v>
      </c>
      <c r="HO26" s="1">
        <v>0.5</v>
      </c>
      <c r="HP26" s="450">
        <v>-4.58</v>
      </c>
      <c r="HQ26" s="1">
        <v>0.2857142857142857</v>
      </c>
      <c r="HR26" s="450">
        <v>-14.310000000000002</v>
      </c>
      <c r="HS26" s="1">
        <v>0.21428571428571427</v>
      </c>
      <c r="HT26" s="450">
        <v>-1.6600000000000006</v>
      </c>
      <c r="HU26" s="1">
        <v>0.35714285714285715</v>
      </c>
      <c r="HV26" s="450">
        <v>-10.28</v>
      </c>
      <c r="HW26" s="1">
        <v>0.5</v>
      </c>
      <c r="HX26" s="450"/>
      <c r="HY26" s="1"/>
      <c r="HZ26" s="450"/>
      <c r="IA26" s="1"/>
      <c r="IB26" s="450">
        <v>-9.620000000000001</v>
      </c>
      <c r="IC26" s="1">
        <v>0.5</v>
      </c>
      <c r="ID26" s="450">
        <v>-6.98</v>
      </c>
      <c r="IE26" s="1">
        <v>0.2</v>
      </c>
      <c r="IF26" s="450">
        <v>-23.459999999999997</v>
      </c>
      <c r="IG26" s="1">
        <v>0.21428571428571427</v>
      </c>
      <c r="IH26" s="450">
        <v>-18.309999999999999</v>
      </c>
      <c r="II26" s="1">
        <v>0.14285714285714285</v>
      </c>
      <c r="IJ26" s="450">
        <v>-54.820000000000007</v>
      </c>
      <c r="IK26" s="1">
        <v>0.14285714285714285</v>
      </c>
      <c r="IL26" s="450">
        <v>20.759999999999998</v>
      </c>
      <c r="IM26" s="1">
        <v>0.8571428571428571</v>
      </c>
      <c r="IN26" s="450">
        <v>-23.51</v>
      </c>
      <c r="IO26" s="1">
        <v>0.21428571428571427</v>
      </c>
      <c r="IP26" s="450">
        <v>-20.99</v>
      </c>
      <c r="IQ26" s="1">
        <v>0.42857142857142855</v>
      </c>
      <c r="IR26" s="450"/>
      <c r="IS26" s="1"/>
      <c r="IT26" s="450"/>
      <c r="IU26" s="1"/>
      <c r="IV26" s="450">
        <v>-23.54</v>
      </c>
      <c r="IW26" s="1">
        <v>0.21428571428571427</v>
      </c>
      <c r="IX26" s="450"/>
      <c r="IY26" s="1"/>
      <c r="IZ26" s="450"/>
      <c r="JA26" s="1"/>
      <c r="JB26" s="450">
        <v>-15.799999999999994</v>
      </c>
      <c r="JC26" s="1">
        <v>0.2857142857142857</v>
      </c>
      <c r="JD26" s="450"/>
      <c r="JE26" s="1"/>
      <c r="JF26" s="450">
        <v>-14.659999999999998</v>
      </c>
      <c r="JG26" s="1">
        <v>0.35714285714285715</v>
      </c>
      <c r="JH26" s="450">
        <v>-10.51</v>
      </c>
      <c r="JI26" s="1">
        <v>0.35714285714285715</v>
      </c>
      <c r="JJ26" s="450">
        <v>-1.1999999999999995</v>
      </c>
      <c r="JK26" s="1">
        <v>0.5</v>
      </c>
      <c r="JL26" s="450">
        <v>-36.650000000000006</v>
      </c>
      <c r="JM26" s="1">
        <v>0.2857142857142857</v>
      </c>
      <c r="JN26" s="450">
        <v>5.6199999999999992</v>
      </c>
      <c r="JO26" s="1">
        <v>0.5</v>
      </c>
      <c r="JP26" s="450">
        <v>-22.140000000000004</v>
      </c>
      <c r="JQ26" s="1">
        <v>0.21428571428571427</v>
      </c>
      <c r="JR26" s="450">
        <v>-3.7599999999999993</v>
      </c>
      <c r="JS26" s="1">
        <v>0.35714285714285715</v>
      </c>
      <c r="JT26" s="450"/>
      <c r="JU26" s="1"/>
      <c r="JV26" s="450"/>
      <c r="JW26" s="1"/>
      <c r="JX26" s="450">
        <v>-10.79</v>
      </c>
      <c r="JY26" s="1">
        <v>0.42857142857142855</v>
      </c>
      <c r="JZ26" s="450">
        <v>13.469999999999999</v>
      </c>
      <c r="KA26" s="1">
        <v>0.7857142857142857</v>
      </c>
      <c r="KB26" s="450">
        <v>3.91</v>
      </c>
      <c r="KC26" s="1">
        <v>0.5714285714285714</v>
      </c>
      <c r="KD26" s="450">
        <v>8.629999999999999</v>
      </c>
      <c r="KE26" s="1">
        <v>0.7142857142857143</v>
      </c>
      <c r="KF26" s="450">
        <v>-41.650000000000006</v>
      </c>
      <c r="KG26" s="1">
        <v>0.14285714285714285</v>
      </c>
      <c r="KH26" s="450">
        <v>-8.5599999999999987</v>
      </c>
      <c r="KI26" s="1">
        <v>0.5</v>
      </c>
      <c r="KJ26" s="450">
        <v>-3.1500000000000012</v>
      </c>
      <c r="KK26" s="1">
        <v>0.5</v>
      </c>
      <c r="KL26" s="450">
        <v>-6.3300000000000018</v>
      </c>
      <c r="KM26" s="1">
        <v>0.46153846153846156</v>
      </c>
      <c r="KN26" s="450">
        <v>-27.509999999999998</v>
      </c>
      <c r="KO26" s="1">
        <v>0.35714285714285715</v>
      </c>
      <c r="KP26" s="450"/>
      <c r="KQ26" s="1"/>
      <c r="KR26" s="450">
        <v>-6.5599999999999978</v>
      </c>
      <c r="KS26" s="1">
        <v>0.53846153846153844</v>
      </c>
      <c r="KT26" s="450"/>
      <c r="KU26" s="1"/>
      <c r="KV26" s="450">
        <v>-9.3400000000000016</v>
      </c>
      <c r="KW26" s="1">
        <v>0.42857142857142855</v>
      </c>
      <c r="KX26" s="450">
        <v>-10.719999999999999</v>
      </c>
      <c r="KY26" s="1">
        <v>0.42857142857142855</v>
      </c>
      <c r="KZ26" s="450">
        <v>-5.26</v>
      </c>
      <c r="LA26" s="1">
        <v>0.53846153846153844</v>
      </c>
      <c r="LB26" s="450">
        <v>-11.950000000000003</v>
      </c>
      <c r="LC26" s="1">
        <v>0.5</v>
      </c>
      <c r="LD26" s="450">
        <v>8.6500000000000039</v>
      </c>
      <c r="LE26" s="1">
        <v>0.69230769230769229</v>
      </c>
      <c r="LF26" s="450">
        <v>-1.3400000000000016</v>
      </c>
      <c r="LG26" s="1">
        <v>0.76923076923076927</v>
      </c>
      <c r="LH26" s="450">
        <v>-5.9200000000000017</v>
      </c>
      <c r="LI26" s="1">
        <v>0.6428571428571429</v>
      </c>
      <c r="LJ26" s="450"/>
      <c r="LK26" s="1"/>
      <c r="LL26" s="450"/>
      <c r="LM26" s="1"/>
      <c r="LN26" s="450">
        <v>-14.73</v>
      </c>
      <c r="LO26" s="1">
        <v>0.5</v>
      </c>
      <c r="LP26" s="450">
        <v>11.37</v>
      </c>
      <c r="LQ26" s="1">
        <v>0.7857142857142857</v>
      </c>
      <c r="LR26" s="450">
        <v>2.3900000000000015</v>
      </c>
      <c r="LS26" s="1">
        <v>0.7857142857142857</v>
      </c>
      <c r="LT26" s="450">
        <v>-29.549999999999997</v>
      </c>
      <c r="LU26" s="1">
        <v>0.5714285714285714</v>
      </c>
      <c r="LV26" s="450">
        <v>-27.640000000000008</v>
      </c>
      <c r="LW26" s="1">
        <v>0.58333333333333337</v>
      </c>
      <c r="LX26" s="450">
        <v>-3.419999999999999</v>
      </c>
      <c r="LY26" s="1">
        <v>0.61538461538461542</v>
      </c>
      <c r="LZ26" s="450">
        <v>-10.829999999999998</v>
      </c>
      <c r="MA26" s="1">
        <v>0.66666666666666663</v>
      </c>
      <c r="MB26" s="450">
        <v>-3.5799999999999947</v>
      </c>
      <c r="MC26" s="1">
        <v>0.7142857142857143</v>
      </c>
      <c r="MD26" s="450"/>
      <c r="ME26" s="1"/>
      <c r="MF26" s="450">
        <v>-7.4499999999999993</v>
      </c>
      <c r="MG26" s="1">
        <v>0.55555555555555558</v>
      </c>
      <c r="MH26" s="450">
        <v>-18</v>
      </c>
      <c r="MI26" s="1">
        <v>0.33333333333333331</v>
      </c>
      <c r="MJ26" s="450">
        <v>-15.169999999999998</v>
      </c>
      <c r="MK26" s="1">
        <v>0</v>
      </c>
      <c r="ML26" s="450">
        <v>-6.6</v>
      </c>
      <c r="MM26" s="1">
        <v>0.6</v>
      </c>
      <c r="MN26" s="450">
        <v>3.02</v>
      </c>
      <c r="MO26" s="1">
        <v>1</v>
      </c>
      <c r="MP26" s="450">
        <v>3.02</v>
      </c>
      <c r="MQ26" s="1">
        <v>1</v>
      </c>
      <c r="MR26" s="450">
        <v>3.68</v>
      </c>
      <c r="MS26" s="1">
        <v>1</v>
      </c>
      <c r="MT26" s="450">
        <v>-5.47</v>
      </c>
      <c r="MU26" s="1">
        <v>0.66666666666666663</v>
      </c>
      <c r="MV26" s="450">
        <v>-14.079999999999998</v>
      </c>
      <c r="MW26" s="1">
        <v>0.5</v>
      </c>
      <c r="MX26" s="450">
        <v>-4.5699999999999994</v>
      </c>
      <c r="MY26" s="1">
        <v>0.66666666666666663</v>
      </c>
      <c r="MZ26" s="450">
        <v>8.009999999999998</v>
      </c>
      <c r="NA26" s="1">
        <v>0.7142857142857143</v>
      </c>
      <c r="NB26" s="450">
        <v>-21.299999999999994</v>
      </c>
      <c r="NC26" s="1">
        <v>0.58333333333333337</v>
      </c>
      <c r="ND26" s="450"/>
      <c r="NE26" s="1"/>
      <c r="NF26" s="450">
        <v>-7.7199999999999971</v>
      </c>
      <c r="NG26" s="1">
        <v>0.63636363636363635</v>
      </c>
      <c r="NH26" s="450">
        <v>-7.7199999999999971</v>
      </c>
      <c r="NI26" s="1">
        <v>0.63636363636363635</v>
      </c>
      <c r="NJ26" s="450">
        <v>-7.19</v>
      </c>
      <c r="NK26" s="1">
        <v>0.61538461538461542</v>
      </c>
      <c r="NL26" s="450"/>
      <c r="NM26" s="1"/>
      <c r="NN26" s="450"/>
      <c r="NO26" s="1"/>
      <c r="NP26" s="450">
        <v>-9.3300000000000018</v>
      </c>
      <c r="NQ26" s="1">
        <v>0.63636363636363635</v>
      </c>
      <c r="NR26" s="450">
        <v>-21.72</v>
      </c>
      <c r="NS26" s="1">
        <v>0.14285714285714285</v>
      </c>
      <c r="NT26" s="450">
        <v>3.830000000000001</v>
      </c>
      <c r="NU26" s="1">
        <v>0.8</v>
      </c>
      <c r="NV26" s="450">
        <v>-21.05</v>
      </c>
      <c r="NW26" s="1">
        <v>0.375</v>
      </c>
      <c r="NX26" s="450">
        <v>10.130000000000001</v>
      </c>
      <c r="NY26" s="1">
        <v>0.5714285714285714</v>
      </c>
      <c r="NZ26" s="450">
        <v>7.7599999999999989</v>
      </c>
      <c r="OA26" s="1">
        <v>0.625</v>
      </c>
      <c r="OB26" s="450">
        <v>-8.5800000000000018</v>
      </c>
      <c r="OC26" s="1">
        <v>0.55555555555555558</v>
      </c>
      <c r="OD26" s="450">
        <v>-24.39</v>
      </c>
      <c r="OE26" s="1">
        <v>0.4</v>
      </c>
      <c r="OF26" s="450">
        <v>-23.589999999999996</v>
      </c>
      <c r="OG26" s="1">
        <v>0.375</v>
      </c>
      <c r="OH26" s="450">
        <v>5.3500000000000005</v>
      </c>
      <c r="OI26" s="1">
        <v>0.8571428571428571</v>
      </c>
      <c r="OJ26" s="450"/>
      <c r="OK26" s="1"/>
      <c r="OL26" s="450">
        <v>16.39</v>
      </c>
      <c r="OM26" s="1">
        <v>0.7857142857142857</v>
      </c>
      <c r="ON26" s="450">
        <v>-21.26</v>
      </c>
      <c r="OO26" s="1">
        <v>0.42857142857142855</v>
      </c>
      <c r="OP26" s="450">
        <v>7.8299999999999983</v>
      </c>
      <c r="OQ26" s="1">
        <v>0.7142857142857143</v>
      </c>
      <c r="OR26" s="450">
        <v>17.47</v>
      </c>
      <c r="OS26" s="1">
        <v>0.7857142857142857</v>
      </c>
      <c r="OT26" s="450">
        <v>16</v>
      </c>
      <c r="OU26" s="1">
        <v>0.73333333333333328</v>
      </c>
      <c r="OV26" s="450"/>
      <c r="OW26" s="1"/>
      <c r="OX26" s="450">
        <v>-30.209999999999997</v>
      </c>
      <c r="OY26" s="1">
        <v>0.2857142857142857</v>
      </c>
      <c r="OZ26" s="450">
        <v>-30.92</v>
      </c>
      <c r="PA26" s="1">
        <v>0.26666666666666666</v>
      </c>
      <c r="PB26" s="450">
        <v>-37.47</v>
      </c>
      <c r="PC26" s="1">
        <v>0.30769230769230771</v>
      </c>
      <c r="PD26" s="450">
        <v>0.82000000000000206</v>
      </c>
      <c r="PE26" s="1">
        <v>0.5714285714285714</v>
      </c>
      <c r="PF26" s="450">
        <v>-15.23</v>
      </c>
      <c r="PG26" s="1">
        <v>0.42857142857142855</v>
      </c>
      <c r="PH26" s="450">
        <v>15.45</v>
      </c>
      <c r="PI26" s="1">
        <v>0.6428571428571429</v>
      </c>
      <c r="PJ26" s="450"/>
      <c r="PK26" s="1"/>
      <c r="PL26" s="450"/>
      <c r="PM26" s="1"/>
      <c r="PN26" s="450"/>
      <c r="PO26" s="1"/>
      <c r="PP26" s="450">
        <v>-7.44</v>
      </c>
      <c r="PQ26" s="1">
        <v>0.6428571428571429</v>
      </c>
      <c r="PR26" s="450">
        <v>-12.269999999999996</v>
      </c>
      <c r="PS26" s="1">
        <v>0.6428571428571429</v>
      </c>
      <c r="PT26" s="450">
        <v>-6.5900000000000007</v>
      </c>
      <c r="PU26" s="1">
        <v>0.66666666666666663</v>
      </c>
      <c r="PV26" s="450">
        <v>-50.029999999999987</v>
      </c>
      <c r="PW26" s="1">
        <v>0.2857142857142857</v>
      </c>
      <c r="PX26" s="450">
        <v>-27.99</v>
      </c>
      <c r="PY26" s="1">
        <v>0.5714285714285714</v>
      </c>
      <c r="PZ26" s="450">
        <v>-33.83</v>
      </c>
      <c r="QA26" s="1">
        <v>0.42857142857142855</v>
      </c>
      <c r="QB26" s="450">
        <v>-4.7299999999999969</v>
      </c>
      <c r="QC26" s="1">
        <v>0.6428571428571429</v>
      </c>
      <c r="QD26" s="450">
        <v>11.8</v>
      </c>
      <c r="QE26" s="1">
        <v>0.7142857142857143</v>
      </c>
      <c r="QF26" s="450">
        <v>13.370000000000001</v>
      </c>
      <c r="QG26" s="1">
        <v>0.7142857142857143</v>
      </c>
      <c r="QH26" s="450">
        <v>-11.129999999999999</v>
      </c>
      <c r="QI26" s="1">
        <v>0.5</v>
      </c>
      <c r="QJ26" s="450">
        <v>1.5399999999999998</v>
      </c>
      <c r="QK26" s="1">
        <v>0.61538461538461542</v>
      </c>
      <c r="QL26" s="450">
        <v>8.4799999999999969</v>
      </c>
      <c r="QM26" s="1">
        <v>0.6428571428571429</v>
      </c>
      <c r="QN26" s="450">
        <v>-15.940000000000003</v>
      </c>
      <c r="QO26" s="1">
        <v>0.35714285714285715</v>
      </c>
      <c r="QP26" s="450">
        <v>-14.77</v>
      </c>
      <c r="QQ26" s="1">
        <v>0.30769230769230771</v>
      </c>
      <c r="QR26" s="450">
        <v>19.18</v>
      </c>
      <c r="QS26" s="1">
        <v>0.69230769230769229</v>
      </c>
      <c r="QT26" s="450">
        <v>-0.92000000000000037</v>
      </c>
      <c r="QU26" s="1">
        <v>0.5</v>
      </c>
      <c r="QV26" s="450">
        <v>-0.83000000000000096</v>
      </c>
      <c r="QW26" s="1">
        <v>0.5</v>
      </c>
      <c r="QX26" s="450">
        <v>-5.3200000000000012</v>
      </c>
      <c r="QY26" s="1">
        <v>0.35714285714285715</v>
      </c>
      <c r="QZ26" s="450"/>
      <c r="RA26" s="1"/>
      <c r="RB26" s="450">
        <v>-6.1400000000000006</v>
      </c>
      <c r="RC26" s="1">
        <v>0.38461538461538464</v>
      </c>
      <c r="RD26" s="450">
        <v>7.5199999999999987</v>
      </c>
      <c r="RE26" s="1">
        <v>0.53333333333333333</v>
      </c>
      <c r="RF26" s="450">
        <v>-14.100000000000003</v>
      </c>
      <c r="RG26" s="1">
        <v>0.42857142857142855</v>
      </c>
      <c r="RH26" s="450">
        <v>-13.160000000000002</v>
      </c>
      <c r="RI26" s="1">
        <v>0.5714285714285714</v>
      </c>
      <c r="RJ26" s="450">
        <v>4.6599999999999993</v>
      </c>
      <c r="RK26" s="1">
        <v>0.61538461538461542</v>
      </c>
      <c r="RL26" s="450"/>
      <c r="RM26" s="1"/>
      <c r="RN26" s="450">
        <v>-24.269999999999996</v>
      </c>
      <c r="RO26" s="1">
        <v>0.35714285714285715</v>
      </c>
      <c r="RP26" s="450">
        <v>-4.4999999999999991</v>
      </c>
      <c r="RQ26" s="1">
        <v>0.42857142857142855</v>
      </c>
      <c r="RR26" s="450">
        <v>-32.79</v>
      </c>
      <c r="RS26" s="1">
        <v>0.42857142857142855</v>
      </c>
      <c r="RT26" s="450">
        <v>-21.959999999999997</v>
      </c>
      <c r="RU26" s="1">
        <v>0.5714285714285714</v>
      </c>
      <c r="RV26" s="450">
        <v>-66.100000000000009</v>
      </c>
      <c r="RW26" s="1">
        <v>0.21428571428571427</v>
      </c>
      <c r="RX26" s="450">
        <v>3.7199999999999998</v>
      </c>
      <c r="RY26" s="1">
        <v>0.6428571428571429</v>
      </c>
      <c r="RZ26" s="450">
        <v>-0.53999999999999915</v>
      </c>
      <c r="SA26" s="1">
        <v>0.7142857142857143</v>
      </c>
      <c r="SB26" s="450">
        <v>-43.65</v>
      </c>
      <c r="SC26" s="1">
        <v>0.42857142857142855</v>
      </c>
      <c r="SD26" s="450">
        <v>-46.03</v>
      </c>
      <c r="SE26" s="1">
        <v>0.35714285714285715</v>
      </c>
      <c r="SF26" s="450"/>
      <c r="SG26" s="1"/>
      <c r="SH26" s="450">
        <v>-19.149999999999999</v>
      </c>
      <c r="SI26" s="1">
        <v>0.38461538461538464</v>
      </c>
      <c r="SJ26" s="452">
        <v>-59.56</v>
      </c>
      <c r="SK26" s="1">
        <v>7.1428571428571425E-2</v>
      </c>
      <c r="SL26" s="457">
        <v>-12.589999999999998</v>
      </c>
      <c r="SM26" s="1">
        <v>0.35714285714285715</v>
      </c>
      <c r="SN26" s="459">
        <v>-17.03</v>
      </c>
      <c r="SO26" s="1">
        <v>0.5</v>
      </c>
      <c r="SP26" s="461">
        <v>5.1000000000000005</v>
      </c>
      <c r="SQ26" s="1">
        <v>0.61538461538461542</v>
      </c>
      <c r="SR26" s="463">
        <v>-21.960000000000008</v>
      </c>
      <c r="SS26" s="1">
        <v>0.38461538461538464</v>
      </c>
      <c r="ST26" s="464">
        <v>-26.39</v>
      </c>
      <c r="SU26" s="1">
        <v>0.35714285714285715</v>
      </c>
      <c r="SV26" s="466">
        <v>-22.54</v>
      </c>
      <c r="SW26" s="1">
        <v>0.2857142857142857</v>
      </c>
      <c r="SX26" s="467"/>
      <c r="SY26" s="1"/>
      <c r="SZ26" s="469">
        <v>-59.64</v>
      </c>
      <c r="TA26" s="1">
        <v>0.21428571428571427</v>
      </c>
      <c r="TB26" s="471">
        <v>-4.1100000000000012</v>
      </c>
      <c r="TC26" s="1">
        <v>0.53846153846153844</v>
      </c>
      <c r="TD26" s="472">
        <v>-11.940000000000003</v>
      </c>
      <c r="TE26" s="1">
        <v>0.38461538461538464</v>
      </c>
      <c r="TF26" s="474">
        <v>14.17</v>
      </c>
      <c r="TG26" s="1">
        <v>0.61538461538461542</v>
      </c>
      <c r="TH26" s="488">
        <v>-23.83</v>
      </c>
      <c r="TI26" s="1">
        <v>0.35714285714285715</v>
      </c>
      <c r="TJ26" s="489">
        <v>-32.770000000000003</v>
      </c>
      <c r="TK26" s="1">
        <v>0.35714285714285715</v>
      </c>
      <c r="TL26" s="490">
        <v>4.09</v>
      </c>
      <c r="TM26" s="1">
        <v>0.6428571428571429</v>
      </c>
      <c r="TN26" s="495"/>
      <c r="TO26" s="1"/>
      <c r="TP26" s="500">
        <v>-64.31</v>
      </c>
      <c r="TQ26" s="1">
        <v>7.1428571428571425E-2</v>
      </c>
      <c r="TR26" s="511">
        <v>-13.480000000000004</v>
      </c>
      <c r="TS26" s="1">
        <v>0.5714285714285714</v>
      </c>
      <c r="TT26" s="515">
        <v>-20.47</v>
      </c>
      <c r="TU26" s="1">
        <v>0.35714285714285715</v>
      </c>
      <c r="TV26" s="518">
        <v>23.249999999999996</v>
      </c>
      <c r="TW26" s="1">
        <v>0.8571428571428571</v>
      </c>
      <c r="TX26" s="521"/>
      <c r="TY26" s="1"/>
      <c r="TZ26" s="524">
        <v>-21.58</v>
      </c>
      <c r="UA26" s="1">
        <v>0.42857142857142855</v>
      </c>
      <c r="UB26" s="527">
        <v>-16.429999999999996</v>
      </c>
      <c r="UC26" s="1">
        <v>0.4</v>
      </c>
      <c r="UD26" s="530">
        <v>-11.790000000000003</v>
      </c>
      <c r="UE26" s="1">
        <v>0.6</v>
      </c>
      <c r="UF26" s="533">
        <v>-28.689999999999998</v>
      </c>
      <c r="UG26" s="1">
        <v>0.46666666666666667</v>
      </c>
      <c r="UH26" s="536">
        <v>2.95</v>
      </c>
      <c r="UI26" s="1">
        <v>0.6</v>
      </c>
      <c r="UJ26" s="539">
        <v>24.42</v>
      </c>
      <c r="UK26" s="1">
        <v>0.8</v>
      </c>
      <c r="UL26" s="540">
        <v>10.1</v>
      </c>
      <c r="UM26" s="1">
        <v>0.66666666666666663</v>
      </c>
      <c r="UN26" s="543">
        <v>18.940000000000001</v>
      </c>
      <c r="UO26" s="1">
        <v>0.7142857142857143</v>
      </c>
      <c r="UP26" s="544">
        <v>-24.809999999999995</v>
      </c>
      <c r="UQ26" s="1">
        <v>0.5</v>
      </c>
      <c r="UR26" s="551">
        <v>-12.490000000000002</v>
      </c>
      <c r="US26" s="1">
        <v>0.6</v>
      </c>
      <c r="UT26" s="551">
        <v>-6.34</v>
      </c>
      <c r="UU26" s="1">
        <v>0.2857142857142857</v>
      </c>
      <c r="UV26" s="562">
        <v>-3.8299999999999992</v>
      </c>
      <c r="UW26" s="1">
        <v>0.5</v>
      </c>
      <c r="UX26" s="566">
        <v>7.3400000000000007</v>
      </c>
      <c r="UY26" s="1">
        <v>0.6428571428571429</v>
      </c>
      <c r="UZ26" s="568"/>
      <c r="VA26" s="1"/>
      <c r="VB26" s="572">
        <v>-11.460000000000003</v>
      </c>
      <c r="VC26" s="1">
        <v>0.33333333333333331</v>
      </c>
      <c r="VD26" s="576">
        <v>-11.85</v>
      </c>
      <c r="VE26" s="1">
        <v>0.35714285714285715</v>
      </c>
      <c r="VF26" s="580">
        <v>-3.4500000000000011</v>
      </c>
      <c r="VG26" s="1">
        <v>0.42857142857142855</v>
      </c>
      <c r="VH26" s="584">
        <v>-2.5999999999999996</v>
      </c>
      <c r="VI26" s="1">
        <v>0.6</v>
      </c>
      <c r="VJ26" s="589">
        <v>-8.0999999999999979</v>
      </c>
      <c r="VK26" s="1">
        <v>0.35714285714285715</v>
      </c>
      <c r="VL26" s="593">
        <v>-8.5899999999999981</v>
      </c>
      <c r="VM26" s="1">
        <v>0.4</v>
      </c>
      <c r="VN26" s="597">
        <v>-14.010000000000002</v>
      </c>
      <c r="VO26" s="1">
        <v>0.33333333333333331</v>
      </c>
      <c r="VP26" s="601">
        <v>-35.710000000000008</v>
      </c>
      <c r="VQ26" s="1">
        <v>0.23076923076923078</v>
      </c>
      <c r="VR26" s="603"/>
      <c r="VS26" s="1"/>
      <c r="VT26" s="607">
        <v>-32.46</v>
      </c>
      <c r="VU26" s="1">
        <v>0.46666666666666667</v>
      </c>
      <c r="VV26" s="609">
        <v>4.6300000000000008</v>
      </c>
      <c r="VW26" s="1">
        <v>0.73333333333333328</v>
      </c>
      <c r="VX26" s="613">
        <v>-26.230000000000004</v>
      </c>
      <c r="VY26" s="1">
        <v>0.5</v>
      </c>
      <c r="VZ26" s="617">
        <v>-9.32</v>
      </c>
      <c r="WA26" s="1">
        <v>0.2857142857142857</v>
      </c>
      <c r="WB26" s="619"/>
      <c r="WC26" s="1"/>
      <c r="WD26" s="624">
        <v>15.350000000000001</v>
      </c>
      <c r="WE26" s="1">
        <v>0.73333333333333328</v>
      </c>
      <c r="WF26" s="626">
        <v>-16.150000000000002</v>
      </c>
      <c r="WG26" s="1">
        <v>0.46153846153846156</v>
      </c>
      <c r="WH26" s="630">
        <v>9.27</v>
      </c>
      <c r="WI26" s="1">
        <v>0.5714285714285714</v>
      </c>
      <c r="WJ26" s="636">
        <v>2.0600000000000005</v>
      </c>
      <c r="WK26" s="1">
        <v>0.5714285714285714</v>
      </c>
      <c r="WL26" s="638">
        <v>-24.1</v>
      </c>
      <c r="WM26" s="1">
        <v>0.2857142857142857</v>
      </c>
      <c r="WN26" s="642">
        <v>-8.84</v>
      </c>
      <c r="WO26" s="1">
        <v>0.6428571428571429</v>
      </c>
      <c r="WP26" s="646">
        <v>7.7200000000000006</v>
      </c>
      <c r="WQ26" s="1">
        <v>0.6428571428571429</v>
      </c>
      <c r="WR26" s="652">
        <v>-8.0500000000000007</v>
      </c>
      <c r="WS26" s="1">
        <v>0.5</v>
      </c>
      <c r="WT26" s="659">
        <v>-5.6500000000000012</v>
      </c>
      <c r="WU26" s="1">
        <v>0.53846153846153844</v>
      </c>
      <c r="WV26" s="659">
        <v>-18.180000000000003</v>
      </c>
      <c r="WW26" s="1">
        <v>0.35714285714285715</v>
      </c>
      <c r="WX26" s="672">
        <v>3.0099999999999993</v>
      </c>
      <c r="WY26" s="1">
        <v>0.66666666666666663</v>
      </c>
      <c r="WZ26" s="677"/>
      <c r="XA26" s="1"/>
      <c r="XB26" s="681">
        <v>3.5499999999999989</v>
      </c>
      <c r="XC26" s="1">
        <v>0.5714285714285714</v>
      </c>
      <c r="XD26" s="683"/>
      <c r="XE26" s="1"/>
      <c r="XF26" s="687">
        <v>-3.03</v>
      </c>
      <c r="XG26" s="1">
        <v>0.5</v>
      </c>
      <c r="XH26" s="689">
        <v>6.870000000000001</v>
      </c>
      <c r="XI26" s="1">
        <v>0.5</v>
      </c>
      <c r="XJ26" s="696">
        <v>23.739999999999995</v>
      </c>
      <c r="XK26" s="1">
        <v>0.8</v>
      </c>
      <c r="XL26" s="696">
        <v>4.51</v>
      </c>
      <c r="XM26" s="1">
        <v>0.5714285714285714</v>
      </c>
      <c r="XN26" s="696">
        <v>-6.170000000000007</v>
      </c>
      <c r="XO26" s="1">
        <v>0.65517241379310343</v>
      </c>
      <c r="XP26" s="700">
        <v>-8.7099999999999991</v>
      </c>
      <c r="XQ26" s="1">
        <v>0.6428571428571429</v>
      </c>
      <c r="XR26" s="705">
        <v>-0.23999999999999891</v>
      </c>
      <c r="XS26" s="1">
        <v>0.51724137931034486</v>
      </c>
      <c r="XT26" s="709">
        <v>14.55</v>
      </c>
      <c r="XU26" s="1">
        <v>0.73333333333333328</v>
      </c>
      <c r="XV26" s="715"/>
      <c r="XW26" s="1"/>
    </row>
    <row r="27" spans="2:647" x14ac:dyDescent="0.25">
      <c r="B27" s="755"/>
      <c r="C27" s="736"/>
      <c r="D27" s="725" t="s">
        <v>24</v>
      </c>
      <c r="E27" s="725"/>
      <c r="F27" s="449">
        <v>0.5</v>
      </c>
      <c r="G27" s="769"/>
      <c r="H27" s="4"/>
      <c r="I27" s="5"/>
      <c r="J27" s="4"/>
      <c r="K27" s="5"/>
      <c r="L27" s="4"/>
      <c r="M27" s="5"/>
      <c r="N27" s="4"/>
      <c r="O27" s="5"/>
      <c r="P27" s="4"/>
      <c r="Q27" s="5"/>
      <c r="R27" s="4"/>
      <c r="S27" s="5"/>
      <c r="T27" s="4"/>
      <c r="U27" s="5"/>
      <c r="V27" s="4"/>
      <c r="W27" s="5"/>
      <c r="X27" s="4"/>
      <c r="Y27" s="5"/>
      <c r="Z27" s="4"/>
      <c r="AA27" s="5"/>
      <c r="AB27" s="4"/>
      <c r="AC27" s="5"/>
      <c r="AD27" s="4"/>
      <c r="AE27" s="5"/>
      <c r="AF27" s="4"/>
      <c r="AG27" s="5"/>
      <c r="AH27" s="4"/>
      <c r="AI27" s="5"/>
      <c r="AJ27" s="4"/>
      <c r="AK27" s="5"/>
      <c r="AL27" s="4"/>
      <c r="AM27" s="5"/>
      <c r="AN27" s="4"/>
      <c r="AO27" s="5"/>
      <c r="AP27" s="4"/>
      <c r="AQ27" s="5"/>
      <c r="AR27" s="4"/>
      <c r="AS27" s="5"/>
      <c r="AT27" s="4"/>
      <c r="AU27" s="5"/>
      <c r="AV27" s="4"/>
      <c r="AW27" s="5"/>
      <c r="AX27" s="4"/>
      <c r="AY27" s="5"/>
      <c r="AZ27" s="4"/>
      <c r="BA27" s="5"/>
      <c r="BB27" s="4"/>
      <c r="BC27" s="5"/>
      <c r="BD27" s="4">
        <v>-0.45374999999999999</v>
      </c>
      <c r="BE27" s="5">
        <v>0.54545454545454541</v>
      </c>
      <c r="BF27" s="4">
        <v>-3.395</v>
      </c>
      <c r="BG27" s="5">
        <v>0.625</v>
      </c>
      <c r="BH27" s="4"/>
      <c r="BI27" s="5"/>
      <c r="BJ27" s="4">
        <v>-0.77</v>
      </c>
      <c r="BK27" s="5">
        <v>0.5</v>
      </c>
      <c r="BL27" s="4">
        <v>-3.7375000000000003</v>
      </c>
      <c r="BM27" s="5">
        <v>0.27272727272727271</v>
      </c>
      <c r="BN27" s="4"/>
      <c r="BO27" s="5"/>
      <c r="BP27" s="4">
        <v>-0.46499999999999997</v>
      </c>
      <c r="BQ27" s="5">
        <v>0.66666666666666663</v>
      </c>
      <c r="BR27" s="4">
        <v>1.4950000000000001</v>
      </c>
      <c r="BS27" s="5">
        <v>0.75</v>
      </c>
      <c r="BT27" s="4"/>
      <c r="BU27" s="5"/>
      <c r="BV27" s="4">
        <v>-3.8075000000000001</v>
      </c>
      <c r="BW27" s="5">
        <v>0.33333333333333331</v>
      </c>
      <c r="BX27" s="4">
        <v>-3.8262499999999999</v>
      </c>
      <c r="BY27" s="5">
        <v>0.2857142857142857</v>
      </c>
      <c r="BZ27" s="4">
        <v>0.60625000000000007</v>
      </c>
      <c r="CA27" s="5">
        <v>0.5</v>
      </c>
      <c r="CB27" s="4">
        <v>-3.0449999999999999</v>
      </c>
      <c r="CC27" s="5">
        <v>0.2</v>
      </c>
      <c r="CD27" s="4">
        <v>0.46875000000000033</v>
      </c>
      <c r="CE27" s="5">
        <v>0.45454545454545453</v>
      </c>
      <c r="CF27" s="4"/>
      <c r="CG27" s="5"/>
      <c r="CH27" s="4"/>
      <c r="CI27" s="5"/>
      <c r="CJ27" s="4">
        <v>-4.6624999999999996</v>
      </c>
      <c r="CK27" s="5">
        <v>0.25</v>
      </c>
      <c r="CL27" s="4">
        <v>-0.2537500000000002</v>
      </c>
      <c r="CM27" s="5">
        <v>0.61538461538461542</v>
      </c>
      <c r="CN27" s="4">
        <v>0.48874999999999996</v>
      </c>
      <c r="CO27" s="5">
        <v>0.33333333333333331</v>
      </c>
      <c r="CP27" s="4"/>
      <c r="CQ27" s="5"/>
      <c r="CR27" s="4">
        <v>0.82750000000000001</v>
      </c>
      <c r="CS27" s="5">
        <v>0.66666666666666663</v>
      </c>
      <c r="CT27" s="4">
        <v>3.8212499999999991</v>
      </c>
      <c r="CU27" s="5">
        <v>0.72727272727272729</v>
      </c>
      <c r="CV27" s="4">
        <v>2.1225000000000001</v>
      </c>
      <c r="CW27" s="5">
        <v>1</v>
      </c>
      <c r="CX27" s="4">
        <v>1.4175</v>
      </c>
      <c r="CY27" s="5">
        <v>1</v>
      </c>
      <c r="CZ27" s="4"/>
      <c r="DA27" s="5"/>
      <c r="DB27" s="4">
        <v>-14.3825</v>
      </c>
      <c r="DC27" s="5">
        <v>0</v>
      </c>
      <c r="DD27" s="4">
        <v>-1.3012499999999998</v>
      </c>
      <c r="DE27" s="5">
        <v>0.5</v>
      </c>
      <c r="DF27" s="4">
        <v>-6.5637500000000006</v>
      </c>
      <c r="DG27" s="5">
        <v>0.16666666666666666</v>
      </c>
      <c r="DH27" s="4">
        <v>-3.1687500000000002</v>
      </c>
      <c r="DI27" s="5">
        <v>0.27272727272727271</v>
      </c>
      <c r="DJ27" s="4">
        <v>-1.8687499999999999</v>
      </c>
      <c r="DK27" s="5">
        <v>0.45454545454545453</v>
      </c>
      <c r="DL27" s="4">
        <v>-0.26500000000000012</v>
      </c>
      <c r="DM27" s="5">
        <v>0.5</v>
      </c>
      <c r="DN27" s="4">
        <v>-7.5649999999999986</v>
      </c>
      <c r="DO27" s="5">
        <v>0.33333333333333331</v>
      </c>
      <c r="DP27" s="4"/>
      <c r="DQ27" s="5"/>
      <c r="DR27" s="4"/>
      <c r="DS27" s="5"/>
      <c r="DT27" s="4">
        <v>2.85</v>
      </c>
      <c r="DU27" s="5">
        <v>0.8571428571428571</v>
      </c>
      <c r="DV27" s="4">
        <v>1.2837499999999999</v>
      </c>
      <c r="DW27" s="5">
        <v>0.75</v>
      </c>
      <c r="DX27" s="4">
        <v>1.2837499999999999</v>
      </c>
      <c r="DY27" s="5">
        <v>0.75</v>
      </c>
      <c r="DZ27" s="4">
        <v>-6.6462499999999993</v>
      </c>
      <c r="EA27" s="5">
        <v>0.23076923076923078</v>
      </c>
      <c r="EB27" s="4">
        <v>-1.7675000000000001</v>
      </c>
      <c r="EC27" s="5">
        <v>0.35714285714285715</v>
      </c>
      <c r="ED27" s="4">
        <v>1.2874999999999996</v>
      </c>
      <c r="EE27" s="5">
        <v>0.5</v>
      </c>
      <c r="EF27" s="4">
        <v>-1.3975</v>
      </c>
      <c r="EG27" s="5">
        <v>0.44444444444444442</v>
      </c>
      <c r="EH27" s="4">
        <v>3.8962499999999998</v>
      </c>
      <c r="EI27" s="5">
        <v>0.75</v>
      </c>
      <c r="EJ27" s="4"/>
      <c r="EK27" s="5"/>
      <c r="EL27" s="4"/>
      <c r="EM27" s="5"/>
      <c r="EN27" s="4">
        <v>-2.9875000000000003</v>
      </c>
      <c r="EO27" s="5">
        <v>0.2857142857142857</v>
      </c>
      <c r="EP27" s="4"/>
      <c r="EQ27" s="5"/>
      <c r="ER27" s="4">
        <v>0.98874999999999968</v>
      </c>
      <c r="ES27" s="5">
        <v>0.54545454545454541</v>
      </c>
      <c r="ET27" s="4">
        <v>-4.6037499999999998</v>
      </c>
      <c r="EU27" s="5">
        <v>0.1</v>
      </c>
      <c r="EV27" s="4">
        <v>-1.2449999999999999</v>
      </c>
      <c r="EW27" s="5">
        <v>0.45454545454545453</v>
      </c>
      <c r="EX27" s="4">
        <v>1.45875</v>
      </c>
      <c r="EY27" s="5">
        <v>1</v>
      </c>
      <c r="EZ27" s="4"/>
      <c r="FA27" s="5"/>
      <c r="FB27" s="4">
        <v>7.6000000000000014</v>
      </c>
      <c r="FC27" s="5">
        <v>0.8</v>
      </c>
      <c r="FD27" s="4">
        <v>3.8099999999999987</v>
      </c>
      <c r="FE27" s="5">
        <v>0.58333333333333337</v>
      </c>
      <c r="FF27" s="4">
        <v>-10.489999999999998</v>
      </c>
      <c r="FG27" s="5">
        <v>0.22222222222222221</v>
      </c>
      <c r="FH27" s="4">
        <v>-0.60999999999999877</v>
      </c>
      <c r="FI27" s="5">
        <v>0.54545454545454541</v>
      </c>
      <c r="FJ27" s="4">
        <v>7.2399999999999993</v>
      </c>
      <c r="FK27" s="5">
        <v>0.75</v>
      </c>
      <c r="FL27" s="4">
        <v>6.0600000000000005</v>
      </c>
      <c r="FM27" s="5">
        <v>0.5714285714285714</v>
      </c>
      <c r="FN27" s="4">
        <v>-24.65</v>
      </c>
      <c r="FO27" s="5">
        <v>0</v>
      </c>
      <c r="FP27" s="4">
        <v>-27.369999999999997</v>
      </c>
      <c r="FQ27" s="5">
        <v>0.14285714285714285</v>
      </c>
      <c r="FR27" s="4">
        <v>-19.07</v>
      </c>
      <c r="FS27" s="5">
        <v>0.25</v>
      </c>
      <c r="FT27" s="4">
        <v>-11.25</v>
      </c>
      <c r="FU27" s="5">
        <v>0.5</v>
      </c>
      <c r="FV27" s="4">
        <v>0.67999999999999994</v>
      </c>
      <c r="FW27" s="5">
        <v>0.66666666666666663</v>
      </c>
      <c r="FX27" s="4">
        <v>-16.32</v>
      </c>
      <c r="FY27" s="5">
        <v>0.125</v>
      </c>
      <c r="FZ27" s="4">
        <v>16.190000000000001</v>
      </c>
      <c r="GA27" s="5">
        <v>0.66666666666666663</v>
      </c>
      <c r="GB27" s="4">
        <v>10.38</v>
      </c>
      <c r="GC27" s="5">
        <v>1</v>
      </c>
      <c r="GD27" s="4">
        <v>9.65</v>
      </c>
      <c r="GE27" s="5">
        <v>0.7142857142857143</v>
      </c>
      <c r="GF27" s="4">
        <v>8.2399999999999984</v>
      </c>
      <c r="GG27" s="5">
        <v>0.61538461538461542</v>
      </c>
      <c r="GH27" s="4">
        <v>8.09</v>
      </c>
      <c r="GI27" s="5">
        <v>0.75</v>
      </c>
      <c r="GJ27" s="4">
        <v>-6.2500000000000018</v>
      </c>
      <c r="GK27" s="5">
        <v>0.33333333333333331</v>
      </c>
      <c r="GL27" s="4">
        <v>-29.82</v>
      </c>
      <c r="GM27" s="5">
        <v>0.38461538461538464</v>
      </c>
      <c r="GN27" s="4"/>
      <c r="GO27" s="5"/>
      <c r="GP27" s="4">
        <v>8.000000000000157E-2</v>
      </c>
      <c r="GQ27" s="5">
        <v>0.46153846153846156</v>
      </c>
      <c r="GR27" s="4">
        <v>-9.7299999999999951</v>
      </c>
      <c r="GS27" s="5">
        <v>0.58333333333333337</v>
      </c>
      <c r="GT27" s="4">
        <v>26.509999999999998</v>
      </c>
      <c r="GU27" s="5">
        <v>0.8</v>
      </c>
      <c r="GV27" s="4">
        <v>2.3899999999999997</v>
      </c>
      <c r="GW27" s="5">
        <v>0.5</v>
      </c>
      <c r="GX27" s="4">
        <v>-12.99</v>
      </c>
      <c r="GY27" s="5">
        <v>0.2</v>
      </c>
      <c r="GZ27" s="4"/>
      <c r="HA27" s="5"/>
      <c r="HB27" s="4">
        <v>-13.499999999999998</v>
      </c>
      <c r="HC27" s="5">
        <v>0.25</v>
      </c>
      <c r="HD27" s="4">
        <v>12.84</v>
      </c>
      <c r="HE27" s="5">
        <v>0.81818181818181823</v>
      </c>
      <c r="HF27" s="4">
        <v>-61.26</v>
      </c>
      <c r="HG27" s="5">
        <v>0</v>
      </c>
      <c r="HH27" s="4">
        <v>5.4999999999999991</v>
      </c>
      <c r="HI27" s="5">
        <v>0.6</v>
      </c>
      <c r="HJ27" s="4">
        <v>4.99</v>
      </c>
      <c r="HK27" s="5">
        <v>0.5</v>
      </c>
      <c r="HL27" s="4">
        <v>-7.2299999999999995</v>
      </c>
      <c r="HM27" s="5">
        <v>0.33333333333333331</v>
      </c>
      <c r="HN27" s="4">
        <v>-1.3000000000000009</v>
      </c>
      <c r="HO27" s="5">
        <v>0.33333333333333331</v>
      </c>
      <c r="HP27" s="4">
        <v>1.72</v>
      </c>
      <c r="HQ27" s="5">
        <v>0.5</v>
      </c>
      <c r="HR27" s="4">
        <v>-5.33</v>
      </c>
      <c r="HS27" s="5">
        <v>0.33333333333333331</v>
      </c>
      <c r="HT27" s="4">
        <v>-20.529999999999998</v>
      </c>
      <c r="HU27" s="5">
        <v>0.16666666666666666</v>
      </c>
      <c r="HV27" s="4">
        <v>-0.59999999999999964</v>
      </c>
      <c r="HW27" s="5">
        <v>0.5</v>
      </c>
      <c r="HX27" s="4"/>
      <c r="HY27" s="5"/>
      <c r="HZ27" s="4"/>
      <c r="IA27" s="5"/>
      <c r="IB27" s="4">
        <v>5.64</v>
      </c>
      <c r="IC27" s="5">
        <v>0.6</v>
      </c>
      <c r="ID27" s="4">
        <v>2</v>
      </c>
      <c r="IE27" s="5">
        <v>0.5</v>
      </c>
      <c r="IF27" s="4">
        <v>-13.28</v>
      </c>
      <c r="IG27" s="5">
        <v>0.27272727272727271</v>
      </c>
      <c r="IH27" s="4">
        <v>-18.18</v>
      </c>
      <c r="II27" s="5">
        <v>0.16666666666666666</v>
      </c>
      <c r="IJ27" s="4">
        <v>-50.98</v>
      </c>
      <c r="IK27" s="5">
        <v>0.1111111111111111</v>
      </c>
      <c r="IL27" s="4">
        <v>-14.44</v>
      </c>
      <c r="IM27" s="5">
        <v>0.2857142857142857</v>
      </c>
      <c r="IN27" s="4"/>
      <c r="IO27" s="5"/>
      <c r="IP27" s="4">
        <v>6.16</v>
      </c>
      <c r="IQ27" s="5">
        <v>0.6</v>
      </c>
      <c r="IR27" s="4"/>
      <c r="IS27" s="5"/>
      <c r="IT27" s="4"/>
      <c r="IU27" s="5"/>
      <c r="IV27" s="4">
        <v>3.9</v>
      </c>
      <c r="IW27" s="5">
        <v>0.75</v>
      </c>
      <c r="IX27" s="4"/>
      <c r="IY27" s="5"/>
      <c r="IZ27" s="4"/>
      <c r="JA27" s="5"/>
      <c r="JB27" s="4">
        <v>5.2799999999999976</v>
      </c>
      <c r="JC27" s="5">
        <v>0.63636363636363635</v>
      </c>
      <c r="JD27" s="4"/>
      <c r="JE27" s="5"/>
      <c r="JF27" s="4">
        <v>-9.14</v>
      </c>
      <c r="JG27" s="5">
        <v>0.2857142857142857</v>
      </c>
      <c r="JH27" s="4">
        <v>10.39</v>
      </c>
      <c r="JI27" s="5">
        <v>0.61538461538461542</v>
      </c>
      <c r="JJ27" s="4">
        <v>20.059999999999995</v>
      </c>
      <c r="JK27" s="5">
        <v>0.7142857142857143</v>
      </c>
      <c r="JL27" s="4">
        <v>-30.94</v>
      </c>
      <c r="JM27" s="5">
        <v>0.22222222222222221</v>
      </c>
      <c r="JN27" s="4">
        <v>-10.239999999999998</v>
      </c>
      <c r="JO27" s="5">
        <v>0.4</v>
      </c>
      <c r="JP27" s="4">
        <v>1.6800000000000002</v>
      </c>
      <c r="JQ27" s="5">
        <v>0.5</v>
      </c>
      <c r="JR27" s="4">
        <v>6.16</v>
      </c>
      <c r="JS27" s="5">
        <v>0.66666666666666663</v>
      </c>
      <c r="JT27" s="4"/>
      <c r="JU27" s="5"/>
      <c r="JV27" s="4"/>
      <c r="JW27" s="5"/>
      <c r="JX27" s="4">
        <v>0.61999999999999922</v>
      </c>
      <c r="JY27" s="5">
        <v>0.66666666666666663</v>
      </c>
      <c r="JZ27" s="4">
        <v>14.53</v>
      </c>
      <c r="KA27" s="5">
        <v>1</v>
      </c>
      <c r="KB27" s="4">
        <v>-0.53999999999999959</v>
      </c>
      <c r="KC27" s="5">
        <v>0.33333333333333331</v>
      </c>
      <c r="KD27" s="4">
        <v>13.969999999999999</v>
      </c>
      <c r="KE27" s="5">
        <v>0.83333333333333337</v>
      </c>
      <c r="KF27" s="4">
        <v>-6.0400000000000009</v>
      </c>
      <c r="KG27" s="5">
        <v>0.375</v>
      </c>
      <c r="KH27" s="4">
        <v>13.59</v>
      </c>
      <c r="KI27" s="5">
        <v>1</v>
      </c>
      <c r="KJ27" s="4">
        <v>11.95</v>
      </c>
      <c r="KK27" s="5">
        <v>0.5</v>
      </c>
      <c r="KL27" s="4">
        <v>-10.71</v>
      </c>
      <c r="KM27" s="5">
        <v>0.33333333333333331</v>
      </c>
      <c r="KN27" s="4">
        <v>13.3</v>
      </c>
      <c r="KO27" s="5">
        <v>0.72727272727272729</v>
      </c>
      <c r="KP27" s="4"/>
      <c r="KQ27" s="5"/>
      <c r="KR27" s="4">
        <v>-26.28</v>
      </c>
      <c r="KS27" s="5">
        <v>0.16666666666666666</v>
      </c>
      <c r="KT27" s="4"/>
      <c r="KU27" s="5"/>
      <c r="KV27" s="4">
        <v>-17.330000000000002</v>
      </c>
      <c r="KW27" s="5">
        <v>0.2857142857142857</v>
      </c>
      <c r="KX27" s="4">
        <v>9.42</v>
      </c>
      <c r="KY27" s="5">
        <v>0.66666666666666663</v>
      </c>
      <c r="KZ27" s="4">
        <v>-12.110000000000003</v>
      </c>
      <c r="LA27" s="5">
        <v>0.375</v>
      </c>
      <c r="LB27" s="4">
        <v>-5.6099999999999994</v>
      </c>
      <c r="LC27" s="5">
        <v>0.5</v>
      </c>
      <c r="LD27" s="4">
        <v>-36.350000000000009</v>
      </c>
      <c r="LE27" s="5">
        <v>0.125</v>
      </c>
      <c r="LF27" s="4">
        <v>-3.3599999999999994</v>
      </c>
      <c r="LG27" s="5">
        <v>0.7142857142857143</v>
      </c>
      <c r="LH27" s="4">
        <v>-3.42</v>
      </c>
      <c r="LI27" s="5">
        <v>0.55555555555555558</v>
      </c>
      <c r="LJ27" s="4"/>
      <c r="LK27" s="5"/>
      <c r="LL27" s="4"/>
      <c r="LM27" s="5"/>
      <c r="LN27" s="4">
        <v>-30.769999999999992</v>
      </c>
      <c r="LO27" s="5">
        <v>0.16666666666666666</v>
      </c>
      <c r="LP27" s="4">
        <v>-22.14</v>
      </c>
      <c r="LQ27" s="5">
        <v>0.5</v>
      </c>
      <c r="LR27" s="4">
        <v>30.169999999999998</v>
      </c>
      <c r="LS27" s="5">
        <v>1</v>
      </c>
      <c r="LT27" s="4">
        <v>-19.05</v>
      </c>
      <c r="LU27" s="5">
        <v>0.63636363636363635</v>
      </c>
      <c r="LV27" s="4">
        <v>-16.439999999999998</v>
      </c>
      <c r="LW27" s="5">
        <v>0.5</v>
      </c>
      <c r="LX27" s="4">
        <v>-5.83</v>
      </c>
      <c r="LY27" s="5">
        <v>0.5</v>
      </c>
      <c r="LZ27" s="4">
        <v>11.399999999999999</v>
      </c>
      <c r="MA27" s="5">
        <v>0.83333333333333337</v>
      </c>
      <c r="MB27" s="4">
        <v>17.439999999999998</v>
      </c>
      <c r="MC27" s="5">
        <v>0.8</v>
      </c>
      <c r="MD27" s="4"/>
      <c r="ME27" s="5"/>
      <c r="MF27" s="4">
        <v>-17.829999999999998</v>
      </c>
      <c r="MG27" s="5">
        <v>0.5714285714285714</v>
      </c>
      <c r="MH27" s="4">
        <v>-2.9000000000000004</v>
      </c>
      <c r="MI27" s="5">
        <v>0.5</v>
      </c>
      <c r="MJ27" s="4"/>
      <c r="MK27" s="5"/>
      <c r="ML27" s="4">
        <v>-11.08</v>
      </c>
      <c r="MM27" s="5">
        <v>0.33333333333333331</v>
      </c>
      <c r="MN27" s="4"/>
      <c r="MO27" s="5"/>
      <c r="MP27" s="4">
        <v>3.52</v>
      </c>
      <c r="MQ27" s="5">
        <v>1</v>
      </c>
      <c r="MR27" s="4"/>
      <c r="MS27" s="5"/>
      <c r="MT27" s="4">
        <v>-4.0000000000000036E-2</v>
      </c>
      <c r="MU27" s="5">
        <v>0.66666666666666663</v>
      </c>
      <c r="MV27" s="4">
        <v>14.77</v>
      </c>
      <c r="MW27" s="5">
        <v>1</v>
      </c>
      <c r="MX27" s="4">
        <v>10.760000000000002</v>
      </c>
      <c r="MY27" s="5">
        <v>1</v>
      </c>
      <c r="MZ27" s="4">
        <v>-1.3799999999999994</v>
      </c>
      <c r="NA27" s="5">
        <v>0.5</v>
      </c>
      <c r="NB27" s="4">
        <v>-52.940000000000005</v>
      </c>
      <c r="NC27" s="5">
        <v>0.27272727272727271</v>
      </c>
      <c r="ND27" s="4"/>
      <c r="NE27" s="5"/>
      <c r="NF27" s="4">
        <v>-42.910000000000004</v>
      </c>
      <c r="NG27" s="5">
        <v>0.14285714285714285</v>
      </c>
      <c r="NH27" s="4">
        <v>-42.910000000000004</v>
      </c>
      <c r="NI27" s="5">
        <v>0.14285714285714285</v>
      </c>
      <c r="NJ27" s="4">
        <v>-2.0199999999999982</v>
      </c>
      <c r="NK27" s="5">
        <v>0.5714285714285714</v>
      </c>
      <c r="NL27" s="4"/>
      <c r="NM27" s="5"/>
      <c r="NN27" s="4"/>
      <c r="NO27" s="5"/>
      <c r="NP27" s="4">
        <v>11.26</v>
      </c>
      <c r="NQ27" s="5">
        <v>0.75</v>
      </c>
      <c r="NR27" s="4">
        <v>-26.770000000000003</v>
      </c>
      <c r="NS27" s="5">
        <v>0.5</v>
      </c>
      <c r="NT27" s="4">
        <v>-4.4800000000000022</v>
      </c>
      <c r="NU27" s="5">
        <v>0.625</v>
      </c>
      <c r="NV27" s="4">
        <v>-41.99</v>
      </c>
      <c r="NW27" s="5">
        <v>0.16666666666666666</v>
      </c>
      <c r="NX27" s="4">
        <v>4.92</v>
      </c>
      <c r="NY27" s="5">
        <v>0.66666666666666663</v>
      </c>
      <c r="NZ27" s="4">
        <v>6.77</v>
      </c>
      <c r="OA27" s="5">
        <v>0.66666666666666663</v>
      </c>
      <c r="OB27" s="4">
        <v>7.26</v>
      </c>
      <c r="OC27" s="5">
        <v>1</v>
      </c>
      <c r="OD27" s="4">
        <v>2.379999999999999</v>
      </c>
      <c r="OE27" s="5">
        <v>0.66666666666666663</v>
      </c>
      <c r="OF27" s="4">
        <v>-1.5700000000000007</v>
      </c>
      <c r="OG27" s="5">
        <v>0.5</v>
      </c>
      <c r="OH27" s="4">
        <v>-5.2000000000000011</v>
      </c>
      <c r="OI27" s="5">
        <v>0.6</v>
      </c>
      <c r="OJ27" s="4"/>
      <c r="OK27" s="5"/>
      <c r="OL27" s="4">
        <v>-24.409999999999997</v>
      </c>
      <c r="OM27" s="5">
        <v>0.44444444444444442</v>
      </c>
      <c r="ON27" s="4">
        <v>-44.87</v>
      </c>
      <c r="OO27" s="5">
        <v>0.16666666666666666</v>
      </c>
      <c r="OP27" s="4">
        <v>3.3999999999999968</v>
      </c>
      <c r="OQ27" s="5">
        <v>0.58333333333333337</v>
      </c>
      <c r="OR27" s="4">
        <v>-43.93</v>
      </c>
      <c r="OS27" s="5">
        <v>0.125</v>
      </c>
      <c r="OT27" s="4">
        <v>-22.809999999999995</v>
      </c>
      <c r="OU27" s="5">
        <v>0.35714285714285715</v>
      </c>
      <c r="OV27" s="4"/>
      <c r="OW27" s="5"/>
      <c r="OX27" s="4">
        <v>5.05</v>
      </c>
      <c r="OY27" s="5">
        <v>0.8</v>
      </c>
      <c r="OZ27" s="4">
        <v>1.2599999999999989</v>
      </c>
      <c r="PA27" s="5">
        <v>0.8</v>
      </c>
      <c r="PB27" s="4">
        <v>-22.310000000000002</v>
      </c>
      <c r="PC27" s="5">
        <v>0.14285714285714285</v>
      </c>
      <c r="PD27" s="4">
        <v>-23.59</v>
      </c>
      <c r="PE27" s="5">
        <v>0.33333333333333331</v>
      </c>
      <c r="PF27" s="4">
        <v>13.57</v>
      </c>
      <c r="PG27" s="5">
        <v>0.75</v>
      </c>
      <c r="PH27" s="4">
        <v>-0.58999999999999986</v>
      </c>
      <c r="PI27" s="5">
        <v>0.33333333333333331</v>
      </c>
      <c r="PJ27" s="4"/>
      <c r="PK27" s="5"/>
      <c r="PL27" s="4"/>
      <c r="PM27" s="5"/>
      <c r="PN27" s="4"/>
      <c r="PO27" s="5"/>
      <c r="PP27" s="4">
        <v>-12.840000000000002</v>
      </c>
      <c r="PQ27" s="5">
        <v>0.5</v>
      </c>
      <c r="PR27" s="4">
        <v>-35.76</v>
      </c>
      <c r="PS27" s="5">
        <v>0.33333333333333331</v>
      </c>
      <c r="PT27" s="4">
        <v>29.560000000000002</v>
      </c>
      <c r="PU27" s="5">
        <v>0.92307692307692313</v>
      </c>
      <c r="PV27" s="4">
        <v>-40.6</v>
      </c>
      <c r="PW27" s="5">
        <v>0.4</v>
      </c>
      <c r="PX27" s="4">
        <v>-24.159999999999997</v>
      </c>
      <c r="PY27" s="5">
        <v>0.42857142857142855</v>
      </c>
      <c r="PZ27" s="4">
        <v>-9.0199999999999978</v>
      </c>
      <c r="QA27" s="5">
        <v>0.625</v>
      </c>
      <c r="QB27" s="4">
        <v>-9.2100000000000026</v>
      </c>
      <c r="QC27" s="5">
        <v>0.7</v>
      </c>
      <c r="QD27" s="4">
        <v>-8.8000000000000025</v>
      </c>
      <c r="QE27" s="5">
        <v>0.54545454545454541</v>
      </c>
      <c r="QF27" s="4">
        <v>-20.52</v>
      </c>
      <c r="QG27" s="5">
        <v>0.45454545454545453</v>
      </c>
      <c r="QH27" s="4">
        <v>-3.1</v>
      </c>
      <c r="QI27" s="5">
        <v>0.25</v>
      </c>
      <c r="QJ27" s="4">
        <v>-52.29</v>
      </c>
      <c r="QK27" s="5">
        <v>0.1</v>
      </c>
      <c r="QL27" s="4">
        <v>8.6300000000000026</v>
      </c>
      <c r="QM27" s="5">
        <v>0.66666666666666663</v>
      </c>
      <c r="QN27" s="4">
        <v>-7.7</v>
      </c>
      <c r="QO27" s="5">
        <v>0.41666666666666669</v>
      </c>
      <c r="QP27" s="4">
        <v>-7.2299999999999995</v>
      </c>
      <c r="QQ27" s="5">
        <v>0.42857142857142855</v>
      </c>
      <c r="QR27" s="4">
        <v>-11.77</v>
      </c>
      <c r="QS27" s="5">
        <v>0.33333333333333331</v>
      </c>
      <c r="QT27" s="4">
        <v>-1.2699999999999991</v>
      </c>
      <c r="QU27" s="5">
        <v>0.625</v>
      </c>
      <c r="QV27" s="4">
        <v>-0.44999999999999929</v>
      </c>
      <c r="QW27" s="5">
        <v>0.4</v>
      </c>
      <c r="QX27" s="4">
        <v>-22.850000000000005</v>
      </c>
      <c r="QY27" s="5">
        <v>0.1</v>
      </c>
      <c r="QZ27" s="4"/>
      <c r="RA27" s="5"/>
      <c r="RB27" s="4">
        <v>2.1500000000000004</v>
      </c>
      <c r="RC27" s="5">
        <v>0.55555555555555558</v>
      </c>
      <c r="RD27" s="4">
        <v>-28.53</v>
      </c>
      <c r="RE27" s="5">
        <v>0.27272727272727271</v>
      </c>
      <c r="RF27" s="4">
        <v>8.6800000000000015</v>
      </c>
      <c r="RG27" s="5">
        <v>0.69230769230769229</v>
      </c>
      <c r="RH27" s="4">
        <v>7.3800000000000026</v>
      </c>
      <c r="RI27" s="5">
        <v>0.83333333333333337</v>
      </c>
      <c r="RJ27" s="4">
        <v>3.0700000000000003</v>
      </c>
      <c r="RK27" s="5">
        <v>0.7142857142857143</v>
      </c>
      <c r="RL27" s="4"/>
      <c r="RM27" s="5"/>
      <c r="RN27" s="4">
        <v>-18.899999999999999</v>
      </c>
      <c r="RO27" s="5">
        <v>0.3</v>
      </c>
      <c r="RP27" s="4">
        <v>-2.62</v>
      </c>
      <c r="RQ27" s="5">
        <v>0.44444444444444442</v>
      </c>
      <c r="RR27" s="4">
        <v>-14.649999999999999</v>
      </c>
      <c r="RS27" s="5">
        <v>0</v>
      </c>
      <c r="RT27" s="4">
        <v>-10.929999999999998</v>
      </c>
      <c r="RU27" s="5">
        <v>0.5714285714285714</v>
      </c>
      <c r="RV27" s="4">
        <v>-24.100000000000009</v>
      </c>
      <c r="RW27" s="5">
        <v>0.5</v>
      </c>
      <c r="RX27" s="4">
        <v>0.30999999999999983</v>
      </c>
      <c r="RY27" s="5">
        <v>0.5</v>
      </c>
      <c r="RZ27" s="4">
        <v>-3.5899999999999981</v>
      </c>
      <c r="SA27" s="5">
        <v>0.6</v>
      </c>
      <c r="SB27" s="4">
        <v>-80.040000000000006</v>
      </c>
      <c r="SC27" s="5">
        <v>0.2</v>
      </c>
      <c r="SD27" s="4">
        <v>2.0099999999999998</v>
      </c>
      <c r="SE27" s="5">
        <v>0.5</v>
      </c>
      <c r="SF27" s="4"/>
      <c r="SG27" s="5"/>
      <c r="SH27" s="4">
        <v>-31.15</v>
      </c>
      <c r="SI27" s="5">
        <v>0.25</v>
      </c>
      <c r="SJ27" s="4">
        <v>-26.409999999999997</v>
      </c>
      <c r="SK27" s="5">
        <v>0.55555555555555558</v>
      </c>
      <c r="SL27" s="4">
        <v>-14.559999999999999</v>
      </c>
      <c r="SM27" s="5">
        <v>0.41666666666666669</v>
      </c>
      <c r="SN27" s="4">
        <v>-11.1</v>
      </c>
      <c r="SO27" s="5">
        <v>0.25</v>
      </c>
      <c r="SP27" s="4">
        <v>-0.82999999999999985</v>
      </c>
      <c r="SQ27" s="5">
        <v>0.5</v>
      </c>
      <c r="SR27" s="4">
        <v>7.1099999999999994</v>
      </c>
      <c r="SS27" s="5">
        <v>1</v>
      </c>
      <c r="ST27" s="4">
        <v>-44.429999999999993</v>
      </c>
      <c r="SU27" s="5">
        <v>0.2</v>
      </c>
      <c r="SV27" s="4">
        <v>-1.1399999999999997</v>
      </c>
      <c r="SW27" s="5">
        <v>0.4</v>
      </c>
      <c r="SX27" s="4"/>
      <c r="SY27" s="5"/>
      <c r="SZ27" s="4">
        <v>-61.23</v>
      </c>
      <c r="TA27" s="5">
        <v>0.1111111111111111</v>
      </c>
      <c r="TB27" s="4">
        <v>-10.14</v>
      </c>
      <c r="TC27" s="5">
        <v>0.33333333333333331</v>
      </c>
      <c r="TD27" s="4">
        <v>-1.58</v>
      </c>
      <c r="TE27" s="5">
        <v>0.5</v>
      </c>
      <c r="TF27" s="4">
        <v>11.33</v>
      </c>
      <c r="TG27" s="5">
        <v>0.625</v>
      </c>
      <c r="TH27" s="4">
        <v>14.139999999999999</v>
      </c>
      <c r="TI27" s="5">
        <v>1</v>
      </c>
      <c r="TJ27" s="4">
        <v>3.44</v>
      </c>
      <c r="TK27" s="5">
        <v>1</v>
      </c>
      <c r="TL27" s="4">
        <v>-0.25</v>
      </c>
      <c r="TM27" s="5">
        <v>0.4</v>
      </c>
      <c r="TN27" s="4"/>
      <c r="TO27" s="5"/>
      <c r="TP27" s="4">
        <v>-4.0899999999999981</v>
      </c>
      <c r="TQ27" s="5">
        <v>0.42857142857142855</v>
      </c>
      <c r="TR27" s="4">
        <v>17.829999999999998</v>
      </c>
      <c r="TS27" s="5">
        <v>1</v>
      </c>
      <c r="TT27" s="4">
        <v>5.33</v>
      </c>
      <c r="TU27" s="5">
        <v>0.6</v>
      </c>
      <c r="TV27" s="4">
        <v>10.3</v>
      </c>
      <c r="TW27" s="5">
        <v>0.72727272727272729</v>
      </c>
      <c r="TX27" s="4"/>
      <c r="TY27" s="5"/>
      <c r="TZ27" s="4">
        <v>-35.990000000000009</v>
      </c>
      <c r="UA27" s="5">
        <v>0.375</v>
      </c>
      <c r="UB27" s="4">
        <v>-11.060000000000002</v>
      </c>
      <c r="UC27" s="5">
        <v>0.45454545454545453</v>
      </c>
      <c r="UD27" s="4">
        <v>-46.29</v>
      </c>
      <c r="UE27" s="5">
        <v>0.25</v>
      </c>
      <c r="UF27" s="4">
        <v>8.82</v>
      </c>
      <c r="UG27" s="5">
        <v>0.75</v>
      </c>
      <c r="UH27" s="4">
        <v>14.030000000000001</v>
      </c>
      <c r="UI27" s="5">
        <v>1</v>
      </c>
      <c r="UJ27" s="4">
        <v>9.8000000000000007</v>
      </c>
      <c r="UK27" s="5">
        <v>1</v>
      </c>
      <c r="UL27" s="4">
        <v>2.1700000000000004</v>
      </c>
      <c r="UM27" s="5">
        <v>0.5</v>
      </c>
      <c r="UN27" s="4">
        <v>20.740000000000002</v>
      </c>
      <c r="UO27" s="5">
        <v>0.7142857142857143</v>
      </c>
      <c r="UP27" s="4">
        <v>3.55</v>
      </c>
      <c r="UQ27" s="5">
        <v>1</v>
      </c>
      <c r="UR27" s="4">
        <v>15.889999999999999</v>
      </c>
      <c r="US27" s="5">
        <v>0.75</v>
      </c>
      <c r="UT27" s="4">
        <v>-6.65</v>
      </c>
      <c r="UU27" s="5">
        <v>0.30769230769230771</v>
      </c>
      <c r="UV27" s="4">
        <v>7.3899999999999988</v>
      </c>
      <c r="UW27" s="5">
        <v>0.7142857142857143</v>
      </c>
      <c r="UX27" s="4">
        <v>-6.2499999999999991</v>
      </c>
      <c r="UY27" s="5">
        <v>0.46153846153846156</v>
      </c>
      <c r="UZ27" s="4"/>
      <c r="VA27" s="5"/>
      <c r="VB27" s="4">
        <v>-11.600000000000001</v>
      </c>
      <c r="VC27" s="5">
        <v>0.22222222222222221</v>
      </c>
      <c r="VD27" s="4">
        <v>-10.1</v>
      </c>
      <c r="VE27" s="5">
        <v>0.42857142857142855</v>
      </c>
      <c r="VF27" s="4">
        <v>-28.150000000000002</v>
      </c>
      <c r="VG27" s="5">
        <v>0.125</v>
      </c>
      <c r="VH27" s="4">
        <v>9.41</v>
      </c>
      <c r="VI27" s="5">
        <v>0.8</v>
      </c>
      <c r="VJ27" s="4">
        <v>-12.420000000000002</v>
      </c>
      <c r="VK27" s="5">
        <v>0.33333333333333331</v>
      </c>
      <c r="VL27" s="4">
        <v>-39.310000000000009</v>
      </c>
      <c r="VM27" s="5">
        <v>0</v>
      </c>
      <c r="VN27" s="4">
        <v>-19.420000000000005</v>
      </c>
      <c r="VO27" s="5">
        <v>0.2</v>
      </c>
      <c r="VP27" s="4">
        <v>-31.41</v>
      </c>
      <c r="VQ27" s="5">
        <v>0.33333333333333331</v>
      </c>
      <c r="VR27" s="4"/>
      <c r="VS27" s="5"/>
      <c r="VT27" s="4">
        <v>-81.38000000000001</v>
      </c>
      <c r="VU27" s="5">
        <v>9.0909090909090912E-2</v>
      </c>
      <c r="VV27" s="4">
        <v>21.02</v>
      </c>
      <c r="VW27" s="5">
        <v>1</v>
      </c>
      <c r="VX27" s="4">
        <v>-8.7399999999999984</v>
      </c>
      <c r="VY27" s="5">
        <v>0.7142857142857143</v>
      </c>
      <c r="VZ27" s="4">
        <v>-1.7800000000000009</v>
      </c>
      <c r="WA27" s="5">
        <v>0.375</v>
      </c>
      <c r="WB27" s="4"/>
      <c r="WC27" s="5"/>
      <c r="WD27" s="4">
        <v>-5.4600000000000009</v>
      </c>
      <c r="WE27" s="5">
        <v>0.4</v>
      </c>
      <c r="WF27" s="4">
        <v>-13.27</v>
      </c>
      <c r="WG27" s="5">
        <v>0.375</v>
      </c>
      <c r="WH27" s="4">
        <v>1.9399999999999995</v>
      </c>
      <c r="WI27" s="5">
        <v>0.625</v>
      </c>
      <c r="WJ27" s="4">
        <v>5.9699999999999989</v>
      </c>
      <c r="WK27" s="5">
        <v>0.63636363636363635</v>
      </c>
      <c r="WL27" s="4">
        <v>-9.1300000000000008</v>
      </c>
      <c r="WM27" s="5">
        <v>0.33333333333333331</v>
      </c>
      <c r="WN27" s="4">
        <v>-17.21</v>
      </c>
      <c r="WO27" s="5">
        <v>0.45454545454545453</v>
      </c>
      <c r="WP27" s="4">
        <v>-55.41</v>
      </c>
      <c r="WQ27" s="5">
        <v>0.1111111111111111</v>
      </c>
      <c r="WR27" s="4">
        <v>10.41</v>
      </c>
      <c r="WS27" s="5">
        <v>0.63636363636363635</v>
      </c>
      <c r="WT27" s="4">
        <v>-2.4299999999999997</v>
      </c>
      <c r="WU27" s="5">
        <v>0.4</v>
      </c>
      <c r="WV27" s="4">
        <v>-31.49</v>
      </c>
      <c r="WW27" s="5">
        <v>0.36363636363636365</v>
      </c>
      <c r="WX27" s="4">
        <v>19.979999999999997</v>
      </c>
      <c r="WY27" s="5">
        <v>0.8571428571428571</v>
      </c>
      <c r="WZ27" s="4"/>
      <c r="XA27" s="5"/>
      <c r="XB27" s="4">
        <v>6.93</v>
      </c>
      <c r="XC27" s="5">
        <v>0.83333333333333337</v>
      </c>
      <c r="XD27" s="4"/>
      <c r="XE27" s="5"/>
      <c r="XF27" s="4">
        <v>-4.71</v>
      </c>
      <c r="XG27" s="5">
        <v>0.54545454545454541</v>
      </c>
      <c r="XH27" s="4">
        <v>8.0500000000000007</v>
      </c>
      <c r="XI27" s="5">
        <v>0.54545454545454541</v>
      </c>
      <c r="XJ27" s="4">
        <v>-21.01</v>
      </c>
      <c r="XK27" s="5">
        <v>0.33333333333333331</v>
      </c>
      <c r="XL27" s="4">
        <v>-2.3999999999999986</v>
      </c>
      <c r="XM27" s="5">
        <v>0.55555555555555558</v>
      </c>
      <c r="XN27" s="4">
        <v>-20.84</v>
      </c>
      <c r="XO27" s="5">
        <v>0.5</v>
      </c>
      <c r="XP27" s="4">
        <v>-14.980000000000002</v>
      </c>
      <c r="XQ27" s="5">
        <v>0.55555555555555558</v>
      </c>
      <c r="XR27" s="4">
        <v>17.239999999999995</v>
      </c>
      <c r="XS27" s="5">
        <v>0.55555555555555558</v>
      </c>
      <c r="XT27" s="4">
        <v>20.930000000000007</v>
      </c>
      <c r="XU27" s="5">
        <v>0.66666666666666663</v>
      </c>
      <c r="XV27" s="4"/>
      <c r="XW27" s="5"/>
    </row>
    <row r="28" spans="2:647" x14ac:dyDescent="0.25">
      <c r="B28" s="755"/>
      <c r="C28" s="726" t="s">
        <v>18</v>
      </c>
      <c r="D28" s="729" t="s">
        <v>14</v>
      </c>
      <c r="E28" s="729"/>
      <c r="F28" s="448">
        <v>0.1</v>
      </c>
      <c r="G28" s="767" t="s">
        <v>5</v>
      </c>
      <c r="H28" s="18"/>
      <c r="I28" s="19"/>
      <c r="J28" s="18"/>
      <c r="K28" s="19"/>
      <c r="L28" s="18"/>
      <c r="M28" s="19"/>
      <c r="N28" s="18"/>
      <c r="O28" s="19"/>
      <c r="P28" s="18"/>
      <c r="Q28" s="19"/>
      <c r="R28" s="18"/>
      <c r="S28" s="19"/>
      <c r="T28" s="18"/>
      <c r="U28" s="19"/>
      <c r="V28" s="18"/>
      <c r="W28" s="19"/>
      <c r="X28" s="18"/>
      <c r="Y28" s="19"/>
      <c r="Z28" s="18"/>
      <c r="AA28" s="19"/>
      <c r="AB28" s="18"/>
      <c r="AC28" s="19"/>
      <c r="AD28" s="18"/>
      <c r="AE28" s="19"/>
      <c r="AF28" s="18"/>
      <c r="AG28" s="19"/>
      <c r="AH28" s="18"/>
      <c r="AI28" s="19"/>
      <c r="AJ28" s="18"/>
      <c r="AK28" s="19"/>
      <c r="AL28" s="18"/>
      <c r="AM28" s="19"/>
      <c r="AN28" s="18"/>
      <c r="AO28" s="19"/>
      <c r="AP28" s="18"/>
      <c r="AQ28" s="19"/>
      <c r="AR28" s="18"/>
      <c r="AS28" s="19"/>
      <c r="AT28" s="18"/>
      <c r="AU28" s="19"/>
      <c r="AV28" s="18"/>
      <c r="AW28" s="19"/>
      <c r="AX28" s="18"/>
      <c r="AY28" s="19"/>
      <c r="AZ28" s="18"/>
      <c r="BA28" s="19"/>
      <c r="BB28" s="18"/>
      <c r="BC28" s="19"/>
      <c r="BD28" s="18"/>
      <c r="BE28" s="19"/>
      <c r="BF28" s="18">
        <v>-4.6150000000000002</v>
      </c>
      <c r="BG28" s="19">
        <v>0.16666666666666666</v>
      </c>
      <c r="BH28" s="18">
        <v>-5.8549999999999995</v>
      </c>
      <c r="BI28" s="19">
        <v>0.125</v>
      </c>
      <c r="BJ28" s="18">
        <v>-3.9799999999999995</v>
      </c>
      <c r="BK28" s="19">
        <v>0.23529411764705882</v>
      </c>
      <c r="BL28" s="18">
        <v>-3.4374999999999996</v>
      </c>
      <c r="BM28" s="19">
        <v>0.44444444444444442</v>
      </c>
      <c r="BN28" s="18">
        <v>-2.3000000000000007</v>
      </c>
      <c r="BO28" s="19">
        <v>0.3888888888888889</v>
      </c>
      <c r="BP28" s="18">
        <v>-3.9774999999999996</v>
      </c>
      <c r="BQ28" s="19">
        <v>0.33333333333333331</v>
      </c>
      <c r="BR28" s="18">
        <v>-1.0449999999999997</v>
      </c>
      <c r="BS28" s="19">
        <v>0.3125</v>
      </c>
      <c r="BT28" s="18">
        <v>-1.4924999999999997</v>
      </c>
      <c r="BU28" s="19">
        <v>0.55555555555555558</v>
      </c>
      <c r="BV28" s="18">
        <v>-3.5350000000000001</v>
      </c>
      <c r="BW28" s="19">
        <v>0.22222222222222221</v>
      </c>
      <c r="BX28" s="18">
        <v>-1.6300000000000001</v>
      </c>
      <c r="BY28" s="19">
        <v>0.33333333333333331</v>
      </c>
      <c r="BZ28" s="18"/>
      <c r="CA28" s="19"/>
      <c r="CB28" s="18">
        <v>-2.0525000000000002</v>
      </c>
      <c r="CC28" s="19">
        <v>0.44444444444444442</v>
      </c>
      <c r="CD28" s="18">
        <v>-3.2825000000000006</v>
      </c>
      <c r="CE28" s="19">
        <v>0.3888888888888889</v>
      </c>
      <c r="CF28" s="18">
        <v>-1.4800000000000002</v>
      </c>
      <c r="CG28" s="19">
        <v>0.27777777777777779</v>
      </c>
      <c r="CH28" s="18">
        <v>-4.9475000000000007</v>
      </c>
      <c r="CI28" s="19">
        <v>0.27777777777777779</v>
      </c>
      <c r="CJ28" s="18">
        <v>-2.145</v>
      </c>
      <c r="CK28" s="19">
        <v>0.22222222222222221</v>
      </c>
      <c r="CL28" s="18">
        <v>0.31499999999999984</v>
      </c>
      <c r="CM28" s="19">
        <v>0.41176470588235292</v>
      </c>
      <c r="CN28" s="18">
        <v>-3.1675</v>
      </c>
      <c r="CO28" s="19">
        <v>0.3888888888888889</v>
      </c>
      <c r="CP28" s="18">
        <v>3.7975000000000003</v>
      </c>
      <c r="CQ28" s="19">
        <v>0.47058823529411764</v>
      </c>
      <c r="CR28" s="18">
        <v>7.8949999999999996</v>
      </c>
      <c r="CS28" s="19">
        <v>0.66666666666666663</v>
      </c>
      <c r="CT28" s="18">
        <v>-1.6649999999999998</v>
      </c>
      <c r="CU28" s="19">
        <v>0.5625</v>
      </c>
      <c r="CV28" s="18">
        <v>-8.0950000000000006</v>
      </c>
      <c r="CW28" s="19">
        <v>0.3125</v>
      </c>
      <c r="CX28" s="18">
        <v>-2.0175000000000005</v>
      </c>
      <c r="CY28" s="19">
        <v>0.44444444444444442</v>
      </c>
      <c r="CZ28" s="18">
        <v>-9.4050000000000011</v>
      </c>
      <c r="DA28" s="19">
        <v>0.22222222222222221</v>
      </c>
      <c r="DB28" s="18">
        <v>-3.5300000000000007</v>
      </c>
      <c r="DC28" s="19">
        <v>0.44444444444444442</v>
      </c>
      <c r="DD28" s="18">
        <v>-8.4074999999999989</v>
      </c>
      <c r="DE28" s="19">
        <v>0.35294117647058826</v>
      </c>
      <c r="DF28" s="18">
        <v>-0.34999999999999942</v>
      </c>
      <c r="DG28" s="19">
        <v>0.4375</v>
      </c>
      <c r="DH28" s="18">
        <v>5.6050000000000004</v>
      </c>
      <c r="DI28" s="19">
        <v>0.61111111111111116</v>
      </c>
      <c r="DJ28" s="18">
        <v>-3.7325000000000013</v>
      </c>
      <c r="DK28" s="19">
        <v>0.27777777777777779</v>
      </c>
      <c r="DL28" s="18">
        <v>-3.5575000000000001</v>
      </c>
      <c r="DM28" s="19">
        <v>0.33333333333333331</v>
      </c>
      <c r="DN28" s="18">
        <v>-4.5649999999999995</v>
      </c>
      <c r="DO28" s="19">
        <v>0.33333333333333331</v>
      </c>
      <c r="DP28" s="18">
        <v>2.1874999999999996</v>
      </c>
      <c r="DQ28" s="19">
        <v>0.61111111111111116</v>
      </c>
      <c r="DR28" s="18">
        <v>-1.0974999999999999</v>
      </c>
      <c r="DS28" s="19">
        <v>0.47058823529411764</v>
      </c>
      <c r="DT28" s="18">
        <v>-1.0974999999999999</v>
      </c>
      <c r="DU28" s="19">
        <v>0.47058823529411764</v>
      </c>
      <c r="DV28" s="18">
        <v>-10.35</v>
      </c>
      <c r="DW28" s="19">
        <v>0.22222222222222221</v>
      </c>
      <c r="DX28" s="18">
        <v>-2.2349999999999999</v>
      </c>
      <c r="DY28" s="19">
        <v>0.22222222222222221</v>
      </c>
      <c r="DZ28" s="18">
        <v>4.0250000000000004</v>
      </c>
      <c r="EA28" s="19">
        <v>0.61111111111111116</v>
      </c>
      <c r="EB28" s="18">
        <v>-4.5374999999999996</v>
      </c>
      <c r="EC28" s="19">
        <v>0.4375</v>
      </c>
      <c r="ED28" s="18">
        <v>-4.7025000000000006</v>
      </c>
      <c r="EE28" s="19">
        <v>0.33333333333333331</v>
      </c>
      <c r="EF28" s="18">
        <v>-2.75</v>
      </c>
      <c r="EG28" s="19">
        <v>0.5</v>
      </c>
      <c r="EH28" s="18">
        <v>-6.0774999999999988</v>
      </c>
      <c r="EI28" s="19">
        <v>0.4375</v>
      </c>
      <c r="EJ28" s="18">
        <v>2.2399999999999993</v>
      </c>
      <c r="EK28" s="19">
        <v>0.5</v>
      </c>
      <c r="EL28" s="18">
        <v>-2.8250000000000002</v>
      </c>
      <c r="EM28" s="19">
        <v>0.33333333333333331</v>
      </c>
      <c r="EN28" s="18">
        <v>-3.1424999999999996</v>
      </c>
      <c r="EO28" s="19">
        <v>0.3888888888888889</v>
      </c>
      <c r="EP28" s="18">
        <v>2.9025000000000007</v>
      </c>
      <c r="EQ28" s="19">
        <v>0.61111111111111116</v>
      </c>
      <c r="ER28" s="18">
        <v>-1.9500000000000002</v>
      </c>
      <c r="ES28" s="19">
        <v>0.1111111111111111</v>
      </c>
      <c r="ET28" s="18">
        <v>-3.1424999999999996</v>
      </c>
      <c r="EU28" s="19">
        <v>0.3888888888888889</v>
      </c>
      <c r="EV28" s="18">
        <v>2.9025000000000007</v>
      </c>
      <c r="EW28" s="19">
        <v>0.61111111111111116</v>
      </c>
      <c r="EX28" s="18">
        <v>-1.9500000000000002</v>
      </c>
      <c r="EY28" s="19">
        <v>0.1111111111111111</v>
      </c>
      <c r="EZ28" s="18"/>
      <c r="FA28" s="19"/>
      <c r="FB28" s="18">
        <v>-2.3000000000000003</v>
      </c>
      <c r="FC28" s="19">
        <v>0.3888888888888889</v>
      </c>
      <c r="FD28" s="18">
        <v>-4.0999999999999996</v>
      </c>
      <c r="FE28" s="19">
        <v>0.17647058823529413</v>
      </c>
      <c r="FF28" s="18">
        <v>-5.37</v>
      </c>
      <c r="FG28" s="19">
        <v>0.5</v>
      </c>
      <c r="FH28" s="18">
        <v>-3.6200000000000006</v>
      </c>
      <c r="FI28" s="19">
        <v>0.4</v>
      </c>
      <c r="FJ28" s="18">
        <v>-1.23</v>
      </c>
      <c r="FK28" s="19">
        <v>0.52941176470588236</v>
      </c>
      <c r="FL28" s="18">
        <v>-7.5000000000000009</v>
      </c>
      <c r="FM28" s="19">
        <v>0.3888888888888889</v>
      </c>
      <c r="FN28" s="18">
        <v>-5.39</v>
      </c>
      <c r="FO28" s="19">
        <v>0.33333333333333331</v>
      </c>
      <c r="FP28" s="18">
        <v>-6.71</v>
      </c>
      <c r="FQ28" s="19">
        <v>0.1875</v>
      </c>
      <c r="FR28" s="18">
        <v>-5.09</v>
      </c>
      <c r="FS28" s="19">
        <v>0.5</v>
      </c>
      <c r="FT28" s="18">
        <v>-4.419999999999999</v>
      </c>
      <c r="FU28" s="19">
        <v>0.35294117647058826</v>
      </c>
      <c r="FV28" s="18">
        <v>7.9999999999999724E-2</v>
      </c>
      <c r="FW28" s="19">
        <v>0.3888888888888889</v>
      </c>
      <c r="FX28" s="18">
        <v>1.08</v>
      </c>
      <c r="FY28" s="19">
        <v>0.55555555555555558</v>
      </c>
      <c r="FZ28" s="18">
        <v>-1.7400000000000002</v>
      </c>
      <c r="GA28" s="19">
        <v>0.29411764705882354</v>
      </c>
      <c r="GB28" s="18">
        <v>1.4000000000000001</v>
      </c>
      <c r="GC28" s="19">
        <v>0.625</v>
      </c>
      <c r="GD28" s="18">
        <v>-4.59</v>
      </c>
      <c r="GE28" s="19">
        <v>0.17647058823529413</v>
      </c>
      <c r="GF28" s="18">
        <v>1.18</v>
      </c>
      <c r="GG28" s="19">
        <v>0.55555555555555558</v>
      </c>
      <c r="GH28" s="18">
        <v>-1.48</v>
      </c>
      <c r="GI28" s="19">
        <v>0.44444444444444442</v>
      </c>
      <c r="GJ28" s="18">
        <v>1.4300000000000002</v>
      </c>
      <c r="GK28" s="19">
        <v>0.6</v>
      </c>
      <c r="GL28" s="18">
        <v>-2.64</v>
      </c>
      <c r="GM28" s="19">
        <v>0.4</v>
      </c>
      <c r="GN28" s="18"/>
      <c r="GO28" s="19"/>
      <c r="GP28" s="18">
        <v>0.16999999999999993</v>
      </c>
      <c r="GQ28" s="19">
        <v>0.6</v>
      </c>
      <c r="GR28" s="18">
        <v>-5.5299999999999994</v>
      </c>
      <c r="GS28" s="19">
        <v>0.3888888888888889</v>
      </c>
      <c r="GT28" s="18">
        <v>-0.91999999999999982</v>
      </c>
      <c r="GU28" s="19">
        <v>0.55555555555555558</v>
      </c>
      <c r="GV28" s="18">
        <v>-1.9800000000000004</v>
      </c>
      <c r="GW28" s="19">
        <v>0.44444444444444442</v>
      </c>
      <c r="GX28" s="18">
        <v>-4.4800000000000004</v>
      </c>
      <c r="GY28" s="19">
        <v>0.375</v>
      </c>
      <c r="GZ28" s="18"/>
      <c r="HA28" s="19"/>
      <c r="HB28" s="18">
        <v>-1.2000000000000004</v>
      </c>
      <c r="HC28" s="19">
        <v>0.5</v>
      </c>
      <c r="HD28" s="18"/>
      <c r="HE28" s="19"/>
      <c r="HF28" s="18">
        <v>-0.88999999999999946</v>
      </c>
      <c r="HG28" s="19">
        <v>0.5</v>
      </c>
      <c r="HH28" s="18">
        <v>6.02</v>
      </c>
      <c r="HI28" s="19">
        <v>0.66666666666666663</v>
      </c>
      <c r="HJ28" s="18">
        <v>-1.5799999999999998</v>
      </c>
      <c r="HK28" s="19">
        <v>0.35294117647058826</v>
      </c>
      <c r="HL28" s="18">
        <v>-0.58000000000000007</v>
      </c>
      <c r="HM28" s="19">
        <v>0.4</v>
      </c>
      <c r="HN28" s="18">
        <v>3.02</v>
      </c>
      <c r="HO28" s="19">
        <v>0.55555555555555558</v>
      </c>
      <c r="HP28" s="18">
        <v>-2.4900000000000002</v>
      </c>
      <c r="HQ28" s="19">
        <v>0.27777777777777779</v>
      </c>
      <c r="HR28" s="18">
        <v>-3.13</v>
      </c>
      <c r="HS28" s="19">
        <v>0.26666666666666666</v>
      </c>
      <c r="HT28" s="18">
        <v>-0.54999999999999982</v>
      </c>
      <c r="HU28" s="19">
        <v>0.41176470588235292</v>
      </c>
      <c r="HV28" s="18">
        <v>-1.63</v>
      </c>
      <c r="HW28" s="19">
        <v>0.47058823529411764</v>
      </c>
      <c r="HX28" s="18"/>
      <c r="HY28" s="19"/>
      <c r="HZ28" s="18">
        <v>-1.9700000000000002</v>
      </c>
      <c r="IA28" s="19">
        <v>0.3888888888888889</v>
      </c>
      <c r="IB28" s="18">
        <v>-4.4600000000000009</v>
      </c>
      <c r="IC28" s="19">
        <v>0.33333333333333331</v>
      </c>
      <c r="ID28" s="18">
        <v>-1.6700000000000002</v>
      </c>
      <c r="IE28" s="19">
        <v>0.33333333333333331</v>
      </c>
      <c r="IF28" s="18">
        <v>-1.6800000000000002</v>
      </c>
      <c r="IG28" s="19">
        <v>0.35294117647058826</v>
      </c>
      <c r="IH28" s="18">
        <v>-1.7499999999999998</v>
      </c>
      <c r="II28" s="19">
        <v>0.33333333333333331</v>
      </c>
      <c r="IJ28" s="18">
        <v>-1.79</v>
      </c>
      <c r="IK28" s="19">
        <v>0.33333333333333331</v>
      </c>
      <c r="IL28" s="18">
        <v>-0.38</v>
      </c>
      <c r="IM28" s="19">
        <v>0.55555555555555558</v>
      </c>
      <c r="IN28" s="18">
        <v>-0.96</v>
      </c>
      <c r="IO28" s="19">
        <v>0.44444444444444442</v>
      </c>
      <c r="IP28" s="18">
        <v>-5.1099999999999994</v>
      </c>
      <c r="IQ28" s="19">
        <v>0.3888888888888889</v>
      </c>
      <c r="IR28" s="18">
        <v>0.37999999999999978</v>
      </c>
      <c r="IS28" s="19">
        <v>0.52941176470588236</v>
      </c>
      <c r="IT28" s="18">
        <v>-2.8000000000000003</v>
      </c>
      <c r="IU28" s="19">
        <v>0.27777777777777779</v>
      </c>
      <c r="IV28" s="18">
        <v>-4.8499999999999996</v>
      </c>
      <c r="IW28" s="19">
        <v>0.3888888888888889</v>
      </c>
      <c r="IX28" s="18"/>
      <c r="IY28" s="19"/>
      <c r="IZ28" s="18">
        <v>-1.0300000000000002</v>
      </c>
      <c r="JA28" s="19">
        <v>0.47058823529411764</v>
      </c>
      <c r="JB28" s="18">
        <v>-0.7300000000000002</v>
      </c>
      <c r="JC28" s="19">
        <v>0.44444444444444442</v>
      </c>
      <c r="JD28" s="18">
        <v>-0.12000000000000018</v>
      </c>
      <c r="JE28" s="19">
        <v>0.5</v>
      </c>
      <c r="JF28" s="18">
        <v>0.94999999999999984</v>
      </c>
      <c r="JG28" s="19">
        <v>0.61111111111111116</v>
      </c>
      <c r="JH28" s="18">
        <v>-5.33</v>
      </c>
      <c r="JI28" s="19">
        <v>0.44444444444444442</v>
      </c>
      <c r="JJ28" s="18">
        <v>-5.09</v>
      </c>
      <c r="JK28" s="19">
        <v>0.5</v>
      </c>
      <c r="JL28" s="18">
        <v>-5.81</v>
      </c>
      <c r="JM28" s="19">
        <v>0.27777777777777779</v>
      </c>
      <c r="JN28" s="18">
        <v>-2.4699999999999998</v>
      </c>
      <c r="JO28" s="19">
        <v>0.33333333333333331</v>
      </c>
      <c r="JP28" s="18">
        <v>-3.07</v>
      </c>
      <c r="JQ28" s="19">
        <v>0.33333333333333331</v>
      </c>
      <c r="JR28" s="18"/>
      <c r="JS28" s="19"/>
      <c r="JT28" s="18"/>
      <c r="JU28" s="19"/>
      <c r="JV28" s="18"/>
      <c r="JW28" s="19"/>
      <c r="JX28" s="18">
        <v>2.3099999999999996</v>
      </c>
      <c r="JY28" s="19">
        <v>0.66666666666666663</v>
      </c>
      <c r="JZ28" s="18">
        <v>-3.63</v>
      </c>
      <c r="KA28" s="19">
        <v>0.33333333333333331</v>
      </c>
      <c r="KB28" s="18">
        <v>-8.15</v>
      </c>
      <c r="KC28" s="19">
        <v>0.22222222222222221</v>
      </c>
      <c r="KD28" s="18">
        <v>0.79999999999999993</v>
      </c>
      <c r="KE28" s="19">
        <v>0.61111111111111116</v>
      </c>
      <c r="KF28" s="18">
        <v>1.6499999999999997</v>
      </c>
      <c r="KG28" s="19">
        <v>0.61111111111111116</v>
      </c>
      <c r="KH28" s="18">
        <v>1.4699999999999998</v>
      </c>
      <c r="KI28" s="19">
        <v>0.61111111111111116</v>
      </c>
      <c r="KJ28" s="18">
        <v>2.0399999999999996</v>
      </c>
      <c r="KK28" s="19">
        <v>0.55555555555555558</v>
      </c>
      <c r="KL28" s="18">
        <v>-3.0500000000000003</v>
      </c>
      <c r="KM28" s="19">
        <v>0.5</v>
      </c>
      <c r="KN28" s="18">
        <v>-1.6300000000000003</v>
      </c>
      <c r="KO28" s="19">
        <v>0.33333333333333331</v>
      </c>
      <c r="KP28" s="18"/>
      <c r="KQ28" s="19"/>
      <c r="KR28" s="18">
        <v>0.48999999999999994</v>
      </c>
      <c r="KS28" s="19">
        <v>0.55555555555555558</v>
      </c>
      <c r="KT28" s="18"/>
      <c r="KU28" s="19"/>
      <c r="KV28" s="18">
        <v>3.04</v>
      </c>
      <c r="KW28" s="19">
        <v>0.66666666666666663</v>
      </c>
      <c r="KX28" s="18">
        <v>1.2699999999999998</v>
      </c>
      <c r="KY28" s="19">
        <v>0.66666666666666663</v>
      </c>
      <c r="KZ28" s="18">
        <v>-5.7700000000000005</v>
      </c>
      <c r="LA28" s="19">
        <v>0.4</v>
      </c>
      <c r="LB28" s="18">
        <v>-7.08</v>
      </c>
      <c r="LC28" s="19">
        <v>0.3888888888888889</v>
      </c>
      <c r="LD28" s="18">
        <v>-1.9299999999999997</v>
      </c>
      <c r="LE28" s="19">
        <v>0.3888888888888889</v>
      </c>
      <c r="LF28" s="18">
        <v>-3.11</v>
      </c>
      <c r="LG28" s="19">
        <v>0.58823529411764708</v>
      </c>
      <c r="LH28" s="18">
        <v>-0.94000000000000039</v>
      </c>
      <c r="LI28" s="19">
        <v>0.6470588235294118</v>
      </c>
      <c r="LJ28" s="18"/>
      <c r="LK28" s="19"/>
      <c r="LL28" s="18">
        <v>-7.9</v>
      </c>
      <c r="LM28" s="19">
        <v>0.3888888888888889</v>
      </c>
      <c r="LN28" s="18">
        <v>-7.77</v>
      </c>
      <c r="LO28" s="19">
        <v>0.44444444444444442</v>
      </c>
      <c r="LP28" s="18">
        <v>-2.9499999999999997</v>
      </c>
      <c r="LQ28" s="19">
        <v>0.42857142857142855</v>
      </c>
      <c r="LR28" s="18">
        <v>-0.54000000000000015</v>
      </c>
      <c r="LS28" s="19">
        <v>0.6470588235294118</v>
      </c>
      <c r="LT28" s="18">
        <v>-3.3700000000000006</v>
      </c>
      <c r="LU28" s="19">
        <v>0.6</v>
      </c>
      <c r="LV28" s="18">
        <v>-1.08</v>
      </c>
      <c r="LW28" s="19">
        <v>0.61538461538461542</v>
      </c>
      <c r="LX28" s="18">
        <v>-9.1999999999999993</v>
      </c>
      <c r="LY28" s="19">
        <v>0.38461538461538464</v>
      </c>
      <c r="LZ28" s="18">
        <v>-5.6800000000000015</v>
      </c>
      <c r="MA28" s="19">
        <v>0.46666666666666667</v>
      </c>
      <c r="MB28" s="18">
        <v>-1.8800000000000003</v>
      </c>
      <c r="MC28" s="19">
        <v>0.58823529411764708</v>
      </c>
      <c r="MD28" s="18"/>
      <c r="ME28" s="19"/>
      <c r="MF28" s="18">
        <v>6.9999999999999618E-2</v>
      </c>
      <c r="MG28" s="19">
        <v>0.66666666666666663</v>
      </c>
      <c r="MH28" s="18">
        <v>3.83</v>
      </c>
      <c r="MI28" s="19">
        <v>0.6875</v>
      </c>
      <c r="MJ28" s="18">
        <v>-10.24</v>
      </c>
      <c r="MK28" s="19">
        <v>0.33333333333333331</v>
      </c>
      <c r="ML28" s="18">
        <v>2.89</v>
      </c>
      <c r="MM28" s="19">
        <v>0.75</v>
      </c>
      <c r="MN28" s="18">
        <v>-6.41</v>
      </c>
      <c r="MO28" s="19">
        <v>0.47058823529411764</v>
      </c>
      <c r="MP28" s="18">
        <v>-7.4600000000000009</v>
      </c>
      <c r="MQ28" s="19">
        <v>0.5</v>
      </c>
      <c r="MR28" s="18">
        <v>-3.43</v>
      </c>
      <c r="MS28" s="19">
        <v>0.53333333333333333</v>
      </c>
      <c r="MT28" s="18">
        <v>-4.51</v>
      </c>
      <c r="MU28" s="19">
        <v>0.55555555555555558</v>
      </c>
      <c r="MV28" s="18">
        <v>-4.4399999999999995</v>
      </c>
      <c r="MW28" s="19">
        <v>0.4375</v>
      </c>
      <c r="MX28" s="18">
        <v>-4.8899999999999997</v>
      </c>
      <c r="MY28" s="19">
        <v>0.47058823529411764</v>
      </c>
      <c r="MZ28" s="18">
        <v>-0.29000000000000048</v>
      </c>
      <c r="NA28" s="19">
        <v>0.5625</v>
      </c>
      <c r="NB28" s="18">
        <v>-3.7800000000000011</v>
      </c>
      <c r="NC28" s="19">
        <v>0.4375</v>
      </c>
      <c r="ND28" s="18"/>
      <c r="NE28" s="19"/>
      <c r="NF28" s="18">
        <v>-9.5599999999999987</v>
      </c>
      <c r="NG28" s="19">
        <v>0.36842105263157893</v>
      </c>
      <c r="NH28" s="18">
        <v>-9.5599999999999987</v>
      </c>
      <c r="NI28" s="19">
        <v>0.36842105263157893</v>
      </c>
      <c r="NJ28" s="18">
        <v>2.2400000000000002</v>
      </c>
      <c r="NK28" s="19">
        <v>0.55555555555555558</v>
      </c>
      <c r="NL28" s="18">
        <v>-10.5</v>
      </c>
      <c r="NM28" s="19">
        <v>0.27777777777777779</v>
      </c>
      <c r="NN28" s="18"/>
      <c r="NO28" s="19"/>
      <c r="NP28" s="18">
        <v>-4.1099999999999994</v>
      </c>
      <c r="NQ28" s="19">
        <v>0.33333333333333331</v>
      </c>
      <c r="NR28" s="18">
        <v>0.47999999999999982</v>
      </c>
      <c r="NS28" s="19">
        <v>0.6</v>
      </c>
      <c r="NT28" s="18">
        <v>-5.2700000000000005</v>
      </c>
      <c r="NU28" s="19">
        <v>0.42857142857142855</v>
      </c>
      <c r="NV28" s="18">
        <v>-3.9300000000000006</v>
      </c>
      <c r="NW28" s="19">
        <v>0.46153846153846156</v>
      </c>
      <c r="NX28" s="18">
        <v>-1.6200000000000003</v>
      </c>
      <c r="NY28" s="19">
        <v>0.6</v>
      </c>
      <c r="NZ28" s="18">
        <v>1.0900000000000001</v>
      </c>
      <c r="OA28" s="19">
        <v>0.63636363636363635</v>
      </c>
      <c r="OB28" s="18">
        <v>-0.32000000000000006</v>
      </c>
      <c r="OC28" s="19">
        <v>0.4</v>
      </c>
      <c r="OD28" s="18">
        <v>1.9899999999999998</v>
      </c>
      <c r="OE28" s="19">
        <v>0.6</v>
      </c>
      <c r="OF28" s="18">
        <v>-2.4400000000000004</v>
      </c>
      <c r="OG28" s="19">
        <v>0.46153846153846156</v>
      </c>
      <c r="OH28" s="18">
        <v>-2.97</v>
      </c>
      <c r="OI28" s="19">
        <v>0.375</v>
      </c>
      <c r="OJ28" s="18"/>
      <c r="OK28" s="19"/>
      <c r="OL28" s="18">
        <v>-4.7799999999999994</v>
      </c>
      <c r="OM28" s="19">
        <v>0.3125</v>
      </c>
      <c r="ON28" s="18">
        <v>-9.4700000000000006</v>
      </c>
      <c r="OO28" s="19">
        <v>0.22222222222222221</v>
      </c>
      <c r="OP28" s="18">
        <v>-1.0699999999999998</v>
      </c>
      <c r="OQ28" s="19">
        <v>0.47368421052631576</v>
      </c>
      <c r="OR28" s="18"/>
      <c r="OS28" s="19"/>
      <c r="OT28" s="18">
        <v>-2.35</v>
      </c>
      <c r="OU28" s="19">
        <v>0.58823529411764708</v>
      </c>
      <c r="OV28" s="18"/>
      <c r="OW28" s="19"/>
      <c r="OX28" s="18">
        <v>-5.5500000000000007</v>
      </c>
      <c r="OY28" s="19">
        <v>0.44444444444444442</v>
      </c>
      <c r="OZ28" s="18">
        <v>-1.9100000000000006</v>
      </c>
      <c r="PA28" s="19">
        <v>0.52631578947368418</v>
      </c>
      <c r="PB28" s="18">
        <v>-5.58</v>
      </c>
      <c r="PC28" s="19">
        <v>0.3888888888888889</v>
      </c>
      <c r="PD28" s="18">
        <v>-9.92</v>
      </c>
      <c r="PE28" s="19">
        <v>0.31578947368421051</v>
      </c>
      <c r="PF28" s="18">
        <v>-4.96</v>
      </c>
      <c r="PG28" s="19">
        <v>0.4375</v>
      </c>
      <c r="PH28" s="18">
        <v>1.2299999999999995</v>
      </c>
      <c r="PI28" s="19">
        <v>0.66666666666666663</v>
      </c>
      <c r="PJ28" s="18"/>
      <c r="PK28" s="19"/>
      <c r="PL28" s="18">
        <v>-0.48000000000000026</v>
      </c>
      <c r="PM28" s="19">
        <v>0.61111111111111116</v>
      </c>
      <c r="PN28" s="18">
        <v>-4.62</v>
      </c>
      <c r="PO28" s="19">
        <v>0.47368421052631576</v>
      </c>
      <c r="PP28" s="18">
        <v>-2.66</v>
      </c>
      <c r="PQ28" s="19">
        <v>0.58823529411764708</v>
      </c>
      <c r="PR28" s="18">
        <v>-7.6700000000000017</v>
      </c>
      <c r="PS28" s="19">
        <v>0.47368421052631576</v>
      </c>
      <c r="PT28" s="18">
        <v>-2.5800000000000005</v>
      </c>
      <c r="PU28" s="19">
        <v>0.6</v>
      </c>
      <c r="PV28" s="18">
        <v>-12.880000000000003</v>
      </c>
      <c r="PW28" s="19">
        <v>0.36842105263157893</v>
      </c>
      <c r="PX28" s="18">
        <v>-8.0300000000000011</v>
      </c>
      <c r="PY28" s="19">
        <v>0.47368421052631576</v>
      </c>
      <c r="PZ28" s="18"/>
      <c r="QA28" s="19"/>
      <c r="QB28" s="18">
        <v>-2.8900000000000006</v>
      </c>
      <c r="QC28" s="19">
        <v>0.55555555555555558</v>
      </c>
      <c r="QD28" s="18">
        <v>-6.1700000000000017</v>
      </c>
      <c r="QE28" s="19">
        <v>0.47368421052631576</v>
      </c>
      <c r="QF28" s="18">
        <v>-4.29</v>
      </c>
      <c r="QG28" s="19">
        <v>0.44444444444444442</v>
      </c>
      <c r="QH28" s="18">
        <v>-0.92000000000000015</v>
      </c>
      <c r="QI28" s="19">
        <v>0.6</v>
      </c>
      <c r="QJ28" s="18">
        <v>-4.1500000000000004</v>
      </c>
      <c r="QK28" s="19">
        <v>0.5</v>
      </c>
      <c r="QL28" s="18">
        <v>0.26999999999999991</v>
      </c>
      <c r="QM28" s="19">
        <v>0.63157894736842102</v>
      </c>
      <c r="QN28" s="18">
        <v>-2.94</v>
      </c>
      <c r="QO28" s="19">
        <v>0.3888888888888889</v>
      </c>
      <c r="QP28" s="18">
        <v>-1</v>
      </c>
      <c r="QQ28" s="19">
        <v>0.3888888888888889</v>
      </c>
      <c r="QR28" s="18">
        <v>-4.0200000000000005</v>
      </c>
      <c r="QS28" s="19">
        <v>0.36842105263157893</v>
      </c>
      <c r="QT28" s="18">
        <v>-2.94</v>
      </c>
      <c r="QU28" s="19">
        <v>0.47058823529411764</v>
      </c>
      <c r="QV28" s="18">
        <v>-3.0200000000000005</v>
      </c>
      <c r="QW28" s="19">
        <v>0.36842105263157893</v>
      </c>
      <c r="QX28" s="18">
        <v>-1.37</v>
      </c>
      <c r="QY28" s="19">
        <v>0.3125</v>
      </c>
      <c r="QZ28" s="18"/>
      <c r="RA28" s="19"/>
      <c r="RB28" s="18">
        <v>-3.0900000000000003</v>
      </c>
      <c r="RC28" s="19">
        <v>0.3888888888888889</v>
      </c>
      <c r="RD28" s="18">
        <v>0.67999999999999927</v>
      </c>
      <c r="RE28" s="19">
        <v>0.63157894736842102</v>
      </c>
      <c r="RF28" s="18">
        <v>0.10999999999999983</v>
      </c>
      <c r="RG28" s="19">
        <v>0.55555555555555558</v>
      </c>
      <c r="RH28" s="18">
        <v>-5.21</v>
      </c>
      <c r="RI28" s="19">
        <v>0.36842105263157893</v>
      </c>
      <c r="RJ28" s="18">
        <v>-3.0800000000000005</v>
      </c>
      <c r="RK28" s="19">
        <v>0.44444444444444442</v>
      </c>
      <c r="RL28" s="18"/>
      <c r="RM28" s="19"/>
      <c r="RN28" s="18">
        <v>-2.61</v>
      </c>
      <c r="RO28" s="19">
        <v>0.3888888888888889</v>
      </c>
      <c r="RP28" s="18">
        <v>-1.3299999999999996</v>
      </c>
      <c r="RQ28" s="19">
        <v>0.36842105263157893</v>
      </c>
      <c r="RR28" s="18"/>
      <c r="RS28" s="19"/>
      <c r="RT28" s="18">
        <v>-4</v>
      </c>
      <c r="RU28" s="19">
        <v>0.55555555555555558</v>
      </c>
      <c r="RV28" s="18">
        <v>-2.6500000000000004</v>
      </c>
      <c r="RW28" s="19">
        <v>0.44444444444444442</v>
      </c>
      <c r="RX28" s="18">
        <v>-4.2099999999999982</v>
      </c>
      <c r="RY28" s="19">
        <v>0.5</v>
      </c>
      <c r="RZ28" s="18">
        <v>-6.9799999999999986</v>
      </c>
      <c r="SA28" s="19">
        <v>0.42105263157894735</v>
      </c>
      <c r="SB28" s="18">
        <v>-8.0399999999999991</v>
      </c>
      <c r="SC28" s="19">
        <v>0.36842105263157893</v>
      </c>
      <c r="SD28" s="18">
        <v>-3.6399999999999997</v>
      </c>
      <c r="SE28" s="19">
        <v>0.42105263157894735</v>
      </c>
      <c r="SF28" s="18"/>
      <c r="SG28" s="19"/>
      <c r="SH28" s="18">
        <v>0.57999999999999985</v>
      </c>
      <c r="SI28" s="19">
        <v>0.5</v>
      </c>
      <c r="SJ28" s="18">
        <v>-1.0900000000000003</v>
      </c>
      <c r="SK28" s="19">
        <v>0.57894736842105265</v>
      </c>
      <c r="SL28" s="18">
        <v>-2.4900000000000002</v>
      </c>
      <c r="SM28" s="19">
        <v>0.47368421052631576</v>
      </c>
      <c r="SN28" s="18">
        <v>0.14000000000000001</v>
      </c>
      <c r="SO28" s="19">
        <v>0.55555555555555558</v>
      </c>
      <c r="SP28" s="18">
        <v>-0.47000000000000064</v>
      </c>
      <c r="SQ28" s="19">
        <v>0.63157894736842102</v>
      </c>
      <c r="SR28" s="18">
        <v>-3.94</v>
      </c>
      <c r="SS28" s="19">
        <v>0.17647058823529413</v>
      </c>
      <c r="ST28" s="18">
        <v>0.11000000000000007</v>
      </c>
      <c r="SU28" s="19">
        <v>0.5</v>
      </c>
      <c r="SV28" s="18">
        <v>-0.99000000000000032</v>
      </c>
      <c r="SW28" s="19">
        <v>0.3888888888888889</v>
      </c>
      <c r="SX28" s="18"/>
      <c r="SY28" s="19"/>
      <c r="SZ28" s="18">
        <v>1.89</v>
      </c>
      <c r="TA28" s="19">
        <v>0.5</v>
      </c>
      <c r="TB28" s="18">
        <v>-5.37</v>
      </c>
      <c r="TC28" s="19">
        <v>0.31578947368421051</v>
      </c>
      <c r="TD28" s="18">
        <v>-0.84</v>
      </c>
      <c r="TE28" s="19">
        <v>0.55555555555555558</v>
      </c>
      <c r="TF28" s="18">
        <v>-1.8700000000000006</v>
      </c>
      <c r="TG28" s="19">
        <v>0.42105263157894735</v>
      </c>
      <c r="TH28" s="18">
        <v>-2.19</v>
      </c>
      <c r="TI28" s="19">
        <v>0.36842105263157893</v>
      </c>
      <c r="TJ28" s="18">
        <v>-4.6700000000000008</v>
      </c>
      <c r="TK28" s="19">
        <v>0.26315789473684209</v>
      </c>
      <c r="TL28" s="18">
        <v>-4.28</v>
      </c>
      <c r="TM28" s="19">
        <v>0.36842105263157893</v>
      </c>
      <c r="TN28" s="18"/>
      <c r="TO28" s="19"/>
      <c r="TP28" s="18">
        <v>-3.56</v>
      </c>
      <c r="TQ28" s="19">
        <v>0.33333333333333331</v>
      </c>
      <c r="TR28" s="18">
        <v>-5.45</v>
      </c>
      <c r="TS28" s="19">
        <v>0.26315789473684209</v>
      </c>
      <c r="TT28" s="18">
        <v>-4.9800000000000004</v>
      </c>
      <c r="TU28" s="19">
        <v>0.42105263157894735</v>
      </c>
      <c r="TV28" s="18">
        <v>-3.63</v>
      </c>
      <c r="TW28" s="19">
        <v>0.36842105263157893</v>
      </c>
      <c r="TX28" s="18">
        <v>-3.74</v>
      </c>
      <c r="TY28" s="19">
        <v>0.41176470588235292</v>
      </c>
      <c r="TZ28" s="18">
        <v>2.1899999999999995</v>
      </c>
      <c r="UA28" s="19">
        <v>0.66666666666666663</v>
      </c>
      <c r="UB28" s="18">
        <v>-5.45</v>
      </c>
      <c r="UC28" s="19">
        <v>0.47368421052631576</v>
      </c>
      <c r="UD28" s="18">
        <v>-7.0399999999999991</v>
      </c>
      <c r="UE28" s="19">
        <v>0.31578947368421051</v>
      </c>
      <c r="UF28" s="18">
        <v>9.0000000000000191E-2</v>
      </c>
      <c r="UG28" s="19">
        <v>0.55555555555555558</v>
      </c>
      <c r="UH28" s="18">
        <v>-0.20000000000000018</v>
      </c>
      <c r="UI28" s="19">
        <v>0.52941176470588236</v>
      </c>
      <c r="UJ28" s="18">
        <v>-6.36</v>
      </c>
      <c r="UK28" s="19">
        <v>0.47368421052631576</v>
      </c>
      <c r="UL28" s="18">
        <v>-1.9400000000000004</v>
      </c>
      <c r="UM28" s="19">
        <v>0.42105263157894735</v>
      </c>
      <c r="UN28" s="18">
        <v>2.0899999999999994</v>
      </c>
      <c r="UO28" s="19">
        <v>0.61111111111111116</v>
      </c>
      <c r="UP28" s="18">
        <v>-0.85000000000000064</v>
      </c>
      <c r="UQ28" s="19">
        <v>0.47368421052631576</v>
      </c>
      <c r="UR28" s="18">
        <v>-1.25</v>
      </c>
      <c r="US28" s="19">
        <v>0.47368421052631576</v>
      </c>
      <c r="UT28" s="18">
        <v>0.53999999999999948</v>
      </c>
      <c r="UU28" s="19">
        <v>0.52631578947368418</v>
      </c>
      <c r="UV28" s="18">
        <v>-6.330000000000001</v>
      </c>
      <c r="UW28" s="19">
        <v>0.42105263157894735</v>
      </c>
      <c r="UX28" s="18">
        <v>-2.93</v>
      </c>
      <c r="UY28" s="19">
        <v>0.36842105263157893</v>
      </c>
      <c r="UZ28" s="18"/>
      <c r="VA28" s="19"/>
      <c r="VB28" s="18">
        <v>-0.39000000000000007</v>
      </c>
      <c r="VC28" s="19">
        <v>0.57894736842105265</v>
      </c>
      <c r="VD28" s="18">
        <v>1.7700000000000002</v>
      </c>
      <c r="VE28" s="19">
        <v>0.42105263157894735</v>
      </c>
      <c r="VF28" s="18">
        <v>-4.8599999999999994</v>
      </c>
      <c r="VG28" s="19">
        <v>0.31578947368421051</v>
      </c>
      <c r="VH28" s="18">
        <v>-1.0799999999999998</v>
      </c>
      <c r="VI28" s="19">
        <v>0.47058823529411764</v>
      </c>
      <c r="VJ28" s="18">
        <v>-4.75</v>
      </c>
      <c r="VK28" s="19">
        <v>0.41176470588235292</v>
      </c>
      <c r="VL28" s="18">
        <v>1.78</v>
      </c>
      <c r="VM28" s="19">
        <v>0.73684210526315785</v>
      </c>
      <c r="VN28" s="18">
        <v>-2.7399999999999993</v>
      </c>
      <c r="VO28" s="19">
        <v>0.47368421052631576</v>
      </c>
      <c r="VP28" s="18">
        <v>-6.2000000000000011</v>
      </c>
      <c r="VQ28" s="19">
        <v>0.31578947368421051</v>
      </c>
      <c r="VR28" s="18"/>
      <c r="VS28" s="19"/>
      <c r="VT28" s="18">
        <v>1.7799999999999996</v>
      </c>
      <c r="VU28" s="19">
        <v>0.57894736842105265</v>
      </c>
      <c r="VV28" s="18">
        <v>-8.0000000000000238E-2</v>
      </c>
      <c r="VW28" s="19">
        <v>0.3888888888888889</v>
      </c>
      <c r="VX28" s="18">
        <v>-3.1700000000000004</v>
      </c>
      <c r="VY28" s="19">
        <v>0.47368421052631576</v>
      </c>
      <c r="VZ28" s="18">
        <v>-2.8100000000000005</v>
      </c>
      <c r="WA28" s="19">
        <v>0.31578947368421051</v>
      </c>
      <c r="WB28" s="18">
        <v>-0.14000000000000035</v>
      </c>
      <c r="WC28" s="19">
        <v>0.63157894736842102</v>
      </c>
      <c r="WD28" s="18">
        <v>-5.5100000000000007</v>
      </c>
      <c r="WE28" s="19">
        <v>0.36842105263157893</v>
      </c>
      <c r="WF28" s="18">
        <v>-5.2100000000000009</v>
      </c>
      <c r="WG28" s="19">
        <v>0.47368421052631576</v>
      </c>
      <c r="WH28" s="18">
        <v>-4.330000000000001</v>
      </c>
      <c r="WI28" s="19">
        <v>0.42105263157894735</v>
      </c>
      <c r="WJ28" s="18">
        <v>-4.5100000000000007</v>
      </c>
      <c r="WK28" s="19">
        <v>0.36842105263157893</v>
      </c>
      <c r="WL28" s="18">
        <v>-0.66000000000000036</v>
      </c>
      <c r="WM28" s="19">
        <v>0.47368421052631576</v>
      </c>
      <c r="WN28" s="18">
        <v>-3.8600000000000008</v>
      </c>
      <c r="WO28" s="19">
        <v>0.36842105263157893</v>
      </c>
      <c r="WP28" s="18">
        <v>-0.23000000000000018</v>
      </c>
      <c r="WQ28" s="19">
        <v>0.47368421052631576</v>
      </c>
      <c r="WR28" s="18">
        <v>-1.2600000000000007</v>
      </c>
      <c r="WS28" s="19">
        <v>0.44444444444444442</v>
      </c>
      <c r="WT28" s="18">
        <v>-1.06</v>
      </c>
      <c r="WU28" s="19">
        <v>0.42105263157894735</v>
      </c>
      <c r="WV28" s="18">
        <v>-1.47</v>
      </c>
      <c r="WW28" s="19">
        <v>0.52631578947368418</v>
      </c>
      <c r="WX28" s="18">
        <v>2.2999999999999998</v>
      </c>
      <c r="WY28" s="19">
        <v>0.63157894736842102</v>
      </c>
      <c r="WZ28" s="18">
        <v>-6.0000000000000497E-2</v>
      </c>
      <c r="XA28" s="19">
        <v>0.52631578947368418</v>
      </c>
      <c r="XB28" s="18">
        <v>-1.7699999999999996</v>
      </c>
      <c r="XC28" s="19">
        <v>0.52631578947368418</v>
      </c>
      <c r="XD28" s="18"/>
      <c r="XE28" s="19"/>
      <c r="XF28" s="18">
        <v>-8.6999999999999993</v>
      </c>
      <c r="XG28" s="19">
        <v>0.17647058823529413</v>
      </c>
      <c r="XH28" s="18">
        <v>-4.5500000000000007</v>
      </c>
      <c r="XI28" s="19">
        <v>0.36842105263157893</v>
      </c>
      <c r="XJ28" s="18">
        <v>-4.2300000000000004</v>
      </c>
      <c r="XK28" s="19">
        <v>0.42105263157894735</v>
      </c>
      <c r="XL28" s="18">
        <v>-2.5099999999999998</v>
      </c>
      <c r="XM28" s="19">
        <v>0.5</v>
      </c>
      <c r="XN28" s="18">
        <v>-3.23</v>
      </c>
      <c r="XO28" s="19">
        <v>0.52631578947368418</v>
      </c>
      <c r="XP28" s="18">
        <v>-4.3299999999999992</v>
      </c>
      <c r="XQ28" s="19">
        <v>0.31578947368421051</v>
      </c>
      <c r="XR28" s="18">
        <v>-8.8500000000000014</v>
      </c>
      <c r="XS28" s="19">
        <v>0.40540540540540543</v>
      </c>
      <c r="XT28" s="18">
        <v>-3.2899999999999991</v>
      </c>
      <c r="XU28" s="19">
        <v>0.36842105263157893</v>
      </c>
      <c r="XV28" s="18">
        <v>-4.33</v>
      </c>
      <c r="XW28" s="19">
        <v>0.26315789473684209</v>
      </c>
    </row>
    <row r="29" spans="2:647" x14ac:dyDescent="0.25">
      <c r="B29" s="755"/>
      <c r="C29" s="756"/>
      <c r="D29" s="757" t="s">
        <v>15</v>
      </c>
      <c r="E29" s="757"/>
      <c r="F29" s="448">
        <v>0.2</v>
      </c>
      <c r="G29" s="768"/>
      <c r="H29" s="450"/>
      <c r="I29" s="1"/>
      <c r="J29" s="450"/>
      <c r="K29" s="1"/>
      <c r="L29" s="450"/>
      <c r="M29" s="1"/>
      <c r="N29" s="450"/>
      <c r="O29" s="1"/>
      <c r="P29" s="450"/>
      <c r="Q29" s="1"/>
      <c r="R29" s="450"/>
      <c r="S29" s="1"/>
      <c r="T29" s="450"/>
      <c r="U29" s="1"/>
      <c r="V29" s="450"/>
      <c r="W29" s="1"/>
      <c r="X29" s="450"/>
      <c r="Y29" s="1"/>
      <c r="Z29" s="450"/>
      <c r="AA29" s="1"/>
      <c r="AB29" s="450"/>
      <c r="AC29" s="1"/>
      <c r="AD29" s="450"/>
      <c r="AE29" s="1"/>
      <c r="AF29" s="450"/>
      <c r="AG29" s="1"/>
      <c r="AH29" s="450"/>
      <c r="AI29" s="1"/>
      <c r="AJ29" s="450"/>
      <c r="AK29" s="1"/>
      <c r="AL29" s="450"/>
      <c r="AM29" s="1"/>
      <c r="AN29" s="450"/>
      <c r="AO29" s="1"/>
      <c r="AP29" s="450"/>
      <c r="AQ29" s="1"/>
      <c r="AR29" s="450"/>
      <c r="AS29" s="1"/>
      <c r="AT29" s="450"/>
      <c r="AU29" s="1"/>
      <c r="AV29" s="450"/>
      <c r="AW29" s="1"/>
      <c r="AX29" s="450"/>
      <c r="AY29" s="1"/>
      <c r="AZ29" s="450"/>
      <c r="BA29" s="1"/>
      <c r="BB29" s="450"/>
      <c r="BC29" s="1"/>
      <c r="BD29" s="450"/>
      <c r="BE29" s="1"/>
      <c r="BF29" s="450">
        <v>-0.58727272727272717</v>
      </c>
      <c r="BG29" s="1">
        <v>0.42857142857142855</v>
      </c>
      <c r="BH29" s="450">
        <v>0.48181818181818153</v>
      </c>
      <c r="BI29" s="1">
        <v>0.7142857142857143</v>
      </c>
      <c r="BJ29" s="450"/>
      <c r="BK29" s="1"/>
      <c r="BL29" s="450">
        <v>6.26</v>
      </c>
      <c r="BM29" s="1">
        <v>0.91666666666666663</v>
      </c>
      <c r="BN29" s="450">
        <v>2.7181818181818183</v>
      </c>
      <c r="BO29" s="1">
        <v>0.66666666666666663</v>
      </c>
      <c r="BP29" s="450">
        <v>-6.8472727272727267</v>
      </c>
      <c r="BQ29" s="1">
        <v>0.16666666666666666</v>
      </c>
      <c r="BR29" s="450">
        <v>-6.4536363636363641</v>
      </c>
      <c r="BS29" s="1">
        <v>0.25</v>
      </c>
      <c r="BT29" s="450"/>
      <c r="BU29" s="1"/>
      <c r="BV29" s="450">
        <v>-4.8390000000000004</v>
      </c>
      <c r="BW29" s="1">
        <v>0.33333333333333331</v>
      </c>
      <c r="BX29" s="450">
        <v>-0.50449999999999995</v>
      </c>
      <c r="BY29" s="1">
        <v>0.6</v>
      </c>
      <c r="BZ29" s="450"/>
      <c r="CA29" s="1"/>
      <c r="CB29" s="450">
        <v>-3.2969999999999997</v>
      </c>
      <c r="CC29" s="1">
        <v>0.5</v>
      </c>
      <c r="CD29" s="450">
        <v>-1.0499999999999865E-2</v>
      </c>
      <c r="CE29" s="1">
        <v>0.5714285714285714</v>
      </c>
      <c r="CF29" s="450">
        <v>5.0614999999999997</v>
      </c>
      <c r="CG29" s="1">
        <v>0.81818181818181823</v>
      </c>
      <c r="CH29" s="450">
        <v>-3.9304999999999999</v>
      </c>
      <c r="CI29" s="1">
        <v>0.33333333333333331</v>
      </c>
      <c r="CJ29" s="450">
        <v>-7.2614999999999998</v>
      </c>
      <c r="CK29" s="1">
        <v>0.1</v>
      </c>
      <c r="CL29" s="450">
        <v>-8.8814999999999991</v>
      </c>
      <c r="CM29" s="1">
        <v>0</v>
      </c>
      <c r="CN29" s="450">
        <v>3.1655000000000002</v>
      </c>
      <c r="CO29" s="1">
        <v>0.83333333333333337</v>
      </c>
      <c r="CP29" s="450">
        <v>-8.0884999999999998</v>
      </c>
      <c r="CQ29" s="1">
        <v>0.36363636363636365</v>
      </c>
      <c r="CR29" s="450">
        <v>-4.1680000000000001</v>
      </c>
      <c r="CS29" s="1">
        <v>0.42857142857142855</v>
      </c>
      <c r="CT29" s="450">
        <v>-5.0829999999999993</v>
      </c>
      <c r="CU29" s="1">
        <v>0.5</v>
      </c>
      <c r="CV29" s="450">
        <v>-8.7850000000000001</v>
      </c>
      <c r="CW29" s="1">
        <v>0.14285714285714285</v>
      </c>
      <c r="CX29" s="450">
        <v>4.3195000000000006</v>
      </c>
      <c r="CY29" s="1">
        <v>0.8</v>
      </c>
      <c r="CZ29" s="450">
        <v>-8.354499999999998</v>
      </c>
      <c r="DA29" s="1">
        <v>0.36363636363636365</v>
      </c>
      <c r="DB29" s="450">
        <v>-3.7724999999999995</v>
      </c>
      <c r="DC29" s="1">
        <v>0.44444444444444442</v>
      </c>
      <c r="DD29" s="450">
        <v>1.6469999999999998</v>
      </c>
      <c r="DE29" s="1">
        <v>0.75</v>
      </c>
      <c r="DF29" s="450">
        <v>-3.3244999999999996</v>
      </c>
      <c r="DG29" s="1">
        <v>0.4</v>
      </c>
      <c r="DH29" s="450">
        <v>-0.86950000000000005</v>
      </c>
      <c r="DI29" s="1">
        <v>0.625</v>
      </c>
      <c r="DJ29" s="450">
        <v>0.93249999999999944</v>
      </c>
      <c r="DK29" s="1">
        <v>0.63636363636363635</v>
      </c>
      <c r="DL29" s="450">
        <v>3.5480000000000005</v>
      </c>
      <c r="DM29" s="1">
        <v>0.75</v>
      </c>
      <c r="DN29" s="450">
        <v>-0.26300000000000001</v>
      </c>
      <c r="DO29" s="1">
        <v>0.45454545454545453</v>
      </c>
      <c r="DP29" s="450">
        <v>-2.3984999999999999</v>
      </c>
      <c r="DQ29" s="1">
        <v>0.54545454545454541</v>
      </c>
      <c r="DR29" s="450">
        <v>1.3559999999999997</v>
      </c>
      <c r="DS29" s="1">
        <v>0.5714285714285714</v>
      </c>
      <c r="DT29" s="450">
        <v>1.3559999999999997</v>
      </c>
      <c r="DU29" s="1">
        <v>0.5714285714285714</v>
      </c>
      <c r="DV29" s="450">
        <v>-3.1414999999999997</v>
      </c>
      <c r="DW29" s="1">
        <v>0.4</v>
      </c>
      <c r="DX29" s="450">
        <v>0.55349999999999999</v>
      </c>
      <c r="DY29" s="1">
        <v>0.7142857142857143</v>
      </c>
      <c r="DZ29" s="450">
        <v>4.1115000000000004</v>
      </c>
      <c r="EA29" s="1">
        <v>0.76923076923076927</v>
      </c>
      <c r="EB29" s="450">
        <v>-2.9959999999999996</v>
      </c>
      <c r="EC29" s="1">
        <v>0.44444444444444442</v>
      </c>
      <c r="ED29" s="450">
        <v>3.8629999999999995</v>
      </c>
      <c r="EE29" s="1">
        <v>0.875</v>
      </c>
      <c r="EF29" s="450">
        <v>-7.6440000000000001</v>
      </c>
      <c r="EG29" s="1">
        <v>0.14285714285714285</v>
      </c>
      <c r="EH29" s="450">
        <v>-0.74849999999999972</v>
      </c>
      <c r="EI29" s="1">
        <v>0.625</v>
      </c>
      <c r="EJ29" s="450">
        <v>5.4084999999999992</v>
      </c>
      <c r="EK29" s="1">
        <v>0.9</v>
      </c>
      <c r="EL29" s="450">
        <v>-3.9704999999999999</v>
      </c>
      <c r="EM29" s="1">
        <v>0.25</v>
      </c>
      <c r="EN29" s="450">
        <v>0.45749999999999991</v>
      </c>
      <c r="EO29" s="1">
        <v>0.625</v>
      </c>
      <c r="EP29" s="450">
        <v>6.1515000000000004</v>
      </c>
      <c r="EQ29" s="1">
        <v>1</v>
      </c>
      <c r="ER29" s="450">
        <v>1.2349999999999999</v>
      </c>
      <c r="ES29" s="1">
        <v>0.75</v>
      </c>
      <c r="ET29" s="450">
        <v>0.45749999999999991</v>
      </c>
      <c r="EU29" s="1">
        <v>0.625</v>
      </c>
      <c r="EV29" s="450">
        <v>6.1515000000000004</v>
      </c>
      <c r="EW29" s="1">
        <v>1</v>
      </c>
      <c r="EX29" s="450">
        <v>1.2349999999999999</v>
      </c>
      <c r="EY29" s="1">
        <v>0.75</v>
      </c>
      <c r="EZ29" s="450"/>
      <c r="FA29" s="1"/>
      <c r="FB29" s="450">
        <v>5.7</v>
      </c>
      <c r="FC29" s="1">
        <v>0.8571428571428571</v>
      </c>
      <c r="FD29" s="450">
        <v>-6.379999999999999</v>
      </c>
      <c r="FE29" s="1">
        <v>0.54545454545454541</v>
      </c>
      <c r="FF29" s="450">
        <v>5.0299999999999994</v>
      </c>
      <c r="FG29" s="1">
        <v>0.83333333333333337</v>
      </c>
      <c r="FH29" s="450">
        <v>-13.91</v>
      </c>
      <c r="FI29" s="1">
        <v>0.14285714285714285</v>
      </c>
      <c r="FJ29" s="450">
        <v>0.3899999999999999</v>
      </c>
      <c r="FK29" s="1">
        <v>0.625</v>
      </c>
      <c r="FL29" s="450">
        <v>-14.679999999999998</v>
      </c>
      <c r="FM29" s="1">
        <v>0.41666666666666669</v>
      </c>
      <c r="FN29" s="450">
        <v>-9.75</v>
      </c>
      <c r="FO29" s="1">
        <v>0.41666666666666669</v>
      </c>
      <c r="FP29" s="450">
        <v>1.52</v>
      </c>
      <c r="FQ29" s="1">
        <v>0.75</v>
      </c>
      <c r="FR29" s="450">
        <v>0.65999999999999981</v>
      </c>
      <c r="FS29" s="1">
        <v>0.625</v>
      </c>
      <c r="FT29" s="450">
        <v>5.2900000000000009</v>
      </c>
      <c r="FU29" s="1">
        <v>0.88888888888888884</v>
      </c>
      <c r="FV29" s="450">
        <v>-1.6600000000000006</v>
      </c>
      <c r="FW29" s="1">
        <v>0.66666666666666663</v>
      </c>
      <c r="FX29" s="450">
        <v>-5.5500000000000007</v>
      </c>
      <c r="FY29" s="1">
        <v>0.38461538461538464</v>
      </c>
      <c r="FZ29" s="450">
        <v>-1.8399999999999999</v>
      </c>
      <c r="GA29" s="1">
        <v>0.625</v>
      </c>
      <c r="GB29" s="450">
        <v>1.37</v>
      </c>
      <c r="GC29" s="1">
        <v>0.7</v>
      </c>
      <c r="GD29" s="450">
        <v>7.03</v>
      </c>
      <c r="GE29" s="1">
        <v>0.875</v>
      </c>
      <c r="GF29" s="450">
        <v>-4.4600000000000009</v>
      </c>
      <c r="GG29" s="1">
        <v>0.625</v>
      </c>
      <c r="GH29" s="450">
        <v>3.56</v>
      </c>
      <c r="GI29" s="1">
        <v>0.7142857142857143</v>
      </c>
      <c r="GJ29" s="450">
        <v>-0.32000000000000017</v>
      </c>
      <c r="GK29" s="1">
        <v>0.5</v>
      </c>
      <c r="GL29" s="450">
        <v>-16.48</v>
      </c>
      <c r="GM29" s="1">
        <v>0.14285714285714285</v>
      </c>
      <c r="GN29" s="450"/>
      <c r="GO29" s="1"/>
      <c r="GP29" s="450">
        <v>4.8400000000000007</v>
      </c>
      <c r="GQ29" s="1">
        <v>0.8571428571428571</v>
      </c>
      <c r="GR29" s="450">
        <v>-7.8199999999999985</v>
      </c>
      <c r="GS29" s="1">
        <v>0.5714285714285714</v>
      </c>
      <c r="GT29" s="450">
        <v>5.46</v>
      </c>
      <c r="GU29" s="1">
        <v>0.75</v>
      </c>
      <c r="GV29" s="450">
        <v>-2.9500000000000011</v>
      </c>
      <c r="GW29" s="1">
        <v>0.6</v>
      </c>
      <c r="GX29" s="450">
        <v>1.0599999999999996</v>
      </c>
      <c r="GY29" s="1">
        <v>0.66666666666666663</v>
      </c>
      <c r="GZ29" s="450"/>
      <c r="HA29" s="1"/>
      <c r="HB29" s="450">
        <v>-6.35</v>
      </c>
      <c r="HC29" s="1">
        <v>0.4</v>
      </c>
      <c r="HD29" s="450"/>
      <c r="HE29" s="1"/>
      <c r="HF29" s="450">
        <v>-4.7400000000000011</v>
      </c>
      <c r="HG29" s="1">
        <v>0.55555555555555558</v>
      </c>
      <c r="HH29" s="450">
        <v>9.0299999999999976</v>
      </c>
      <c r="HI29" s="1">
        <v>0.8</v>
      </c>
      <c r="HJ29" s="450">
        <v>-3.26</v>
      </c>
      <c r="HK29" s="1">
        <v>0</v>
      </c>
      <c r="HL29" s="450">
        <v>6</v>
      </c>
      <c r="HM29" s="1">
        <v>0.83333333333333337</v>
      </c>
      <c r="HN29" s="450">
        <v>2.1700000000000004</v>
      </c>
      <c r="HO29" s="1">
        <v>0.69230769230769229</v>
      </c>
      <c r="HP29" s="450">
        <v>-1.8800000000000006</v>
      </c>
      <c r="HQ29" s="1">
        <v>0.625</v>
      </c>
      <c r="HR29" s="450">
        <v>-7.52</v>
      </c>
      <c r="HS29" s="1">
        <v>0.125</v>
      </c>
      <c r="HT29" s="450">
        <v>-1.7199999999999998</v>
      </c>
      <c r="HU29" s="1">
        <v>0.6</v>
      </c>
      <c r="HV29" s="450">
        <v>-2.0699999999999994</v>
      </c>
      <c r="HW29" s="1">
        <v>0.5714285714285714</v>
      </c>
      <c r="HX29" s="450"/>
      <c r="HY29" s="1"/>
      <c r="HZ29" s="450">
        <v>-9.27</v>
      </c>
      <c r="IA29" s="1">
        <v>0.33333333333333331</v>
      </c>
      <c r="IB29" s="450">
        <v>4.9599999999999991</v>
      </c>
      <c r="IC29" s="1">
        <v>0.8</v>
      </c>
      <c r="ID29" s="450">
        <v>-26.75</v>
      </c>
      <c r="IE29" s="1">
        <v>0.16666666666666666</v>
      </c>
      <c r="IF29" s="450">
        <v>5.13</v>
      </c>
      <c r="IG29" s="1">
        <v>0.83333333333333337</v>
      </c>
      <c r="IH29" s="450">
        <v>-4.66</v>
      </c>
      <c r="II29" s="1">
        <v>0.33333333333333331</v>
      </c>
      <c r="IJ29" s="450">
        <v>-1.66</v>
      </c>
      <c r="IK29" s="1">
        <v>0.5</v>
      </c>
      <c r="IL29" s="450">
        <v>-3.16</v>
      </c>
      <c r="IM29" s="1">
        <v>0.5</v>
      </c>
      <c r="IN29" s="450">
        <v>-4.0199999999999996</v>
      </c>
      <c r="IO29" s="1">
        <v>0.33333333333333331</v>
      </c>
      <c r="IP29" s="450">
        <v>4.9999999999999822E-2</v>
      </c>
      <c r="IQ29" s="1">
        <v>0.6</v>
      </c>
      <c r="IR29" s="450">
        <v>-9.65</v>
      </c>
      <c r="IS29" s="1">
        <v>0.16666666666666666</v>
      </c>
      <c r="IT29" s="450">
        <v>-1.7500000000000007</v>
      </c>
      <c r="IU29" s="1">
        <v>0.55555555555555558</v>
      </c>
      <c r="IV29" s="450">
        <v>0.99999999999999978</v>
      </c>
      <c r="IW29" s="1">
        <v>0.66666666666666663</v>
      </c>
      <c r="IX29" s="450"/>
      <c r="IY29" s="1"/>
      <c r="IZ29" s="450">
        <v>4.08</v>
      </c>
      <c r="JA29" s="1">
        <v>0.8</v>
      </c>
      <c r="JB29" s="450">
        <v>-10.9</v>
      </c>
      <c r="JC29" s="1">
        <v>0</v>
      </c>
      <c r="JD29" s="450">
        <v>0.90000000000000036</v>
      </c>
      <c r="JE29" s="1">
        <v>0.66666666666666663</v>
      </c>
      <c r="JF29" s="450">
        <v>8.56</v>
      </c>
      <c r="JG29" s="1">
        <v>1</v>
      </c>
      <c r="JH29" s="450">
        <v>5.8100000000000005</v>
      </c>
      <c r="JI29" s="1">
        <v>1</v>
      </c>
      <c r="JJ29" s="450">
        <v>-0.2200000000000002</v>
      </c>
      <c r="JK29" s="1">
        <v>0.66666666666666663</v>
      </c>
      <c r="JL29" s="450">
        <v>-6.26</v>
      </c>
      <c r="JM29" s="1">
        <v>0.42857142857142855</v>
      </c>
      <c r="JN29" s="450">
        <v>1.96</v>
      </c>
      <c r="JO29" s="1">
        <v>0.8</v>
      </c>
      <c r="JP29" s="450">
        <v>-3.16</v>
      </c>
      <c r="JQ29" s="1">
        <v>0.33333333333333331</v>
      </c>
      <c r="JR29" s="450"/>
      <c r="JS29" s="1"/>
      <c r="JT29" s="450"/>
      <c r="JU29" s="1"/>
      <c r="JV29" s="450"/>
      <c r="JW29" s="1"/>
      <c r="JX29" s="450">
        <v>-4.7299999999999995</v>
      </c>
      <c r="JY29" s="1">
        <v>0.42857142857142855</v>
      </c>
      <c r="JZ29" s="450">
        <v>8.6199999999999992</v>
      </c>
      <c r="KA29" s="1">
        <v>0.875</v>
      </c>
      <c r="KB29" s="450">
        <v>-9.120000000000001</v>
      </c>
      <c r="KC29" s="1">
        <v>0.33333333333333331</v>
      </c>
      <c r="KD29" s="450">
        <v>-4.58</v>
      </c>
      <c r="KE29" s="1">
        <v>0.5</v>
      </c>
      <c r="KF29" s="450">
        <v>4.0699999999999994</v>
      </c>
      <c r="KG29" s="1">
        <v>0.83333333333333337</v>
      </c>
      <c r="KH29" s="450">
        <v>-2.9800000000000004</v>
      </c>
      <c r="KI29" s="1">
        <v>0.5714285714285714</v>
      </c>
      <c r="KJ29" s="450">
        <v>4.0999999999999996</v>
      </c>
      <c r="KK29" s="1">
        <v>0.83333333333333337</v>
      </c>
      <c r="KL29" s="450">
        <v>-4.6500000000000004</v>
      </c>
      <c r="KM29" s="1">
        <v>0.5</v>
      </c>
      <c r="KN29" s="450">
        <v>-0.28000000000000003</v>
      </c>
      <c r="KO29" s="1">
        <v>0.5</v>
      </c>
      <c r="KP29" s="450"/>
      <c r="KQ29" s="1"/>
      <c r="KR29" s="450">
        <v>-10.64</v>
      </c>
      <c r="KS29" s="1">
        <v>0.2</v>
      </c>
      <c r="KT29" s="450"/>
      <c r="KU29" s="1"/>
      <c r="KV29" s="450">
        <v>-1.6500000000000001</v>
      </c>
      <c r="KW29" s="1">
        <v>0.5</v>
      </c>
      <c r="KX29" s="450">
        <v>-15.61</v>
      </c>
      <c r="KY29" s="1">
        <v>0.14285714285714285</v>
      </c>
      <c r="KZ29" s="450">
        <v>0.73</v>
      </c>
      <c r="LA29" s="1">
        <v>0.5</v>
      </c>
      <c r="LB29" s="450">
        <v>1.1299999999999997</v>
      </c>
      <c r="LC29" s="1">
        <v>0.7142857142857143</v>
      </c>
      <c r="LD29" s="450">
        <v>-0.36000000000000054</v>
      </c>
      <c r="LE29" s="1">
        <v>0.66666666666666663</v>
      </c>
      <c r="LF29" s="450">
        <v>1.29</v>
      </c>
      <c r="LG29" s="1">
        <v>1</v>
      </c>
      <c r="LH29" s="450">
        <v>-1.6</v>
      </c>
      <c r="LI29" s="1">
        <v>0.6</v>
      </c>
      <c r="LJ29" s="450"/>
      <c r="LK29" s="1"/>
      <c r="LL29" s="450">
        <v>-7.77</v>
      </c>
      <c r="LM29" s="1">
        <v>0.25</v>
      </c>
      <c r="LN29" s="450">
        <v>-1.7600000000000005</v>
      </c>
      <c r="LO29" s="1">
        <v>0.6</v>
      </c>
      <c r="LP29" s="450">
        <v>0.61999999999999966</v>
      </c>
      <c r="LQ29" s="1">
        <v>0.5</v>
      </c>
      <c r="LR29" s="450">
        <v>1.63</v>
      </c>
      <c r="LS29" s="1">
        <v>0.75</v>
      </c>
      <c r="LT29" s="450">
        <v>2.3299999999999992</v>
      </c>
      <c r="LU29" s="1">
        <v>0.75</v>
      </c>
      <c r="LV29" s="450">
        <v>-2.8200000000000003</v>
      </c>
      <c r="LW29" s="1">
        <v>0.5</v>
      </c>
      <c r="LX29" s="450">
        <v>-1.6400000000000001</v>
      </c>
      <c r="LY29" s="1">
        <v>0.5</v>
      </c>
      <c r="LZ29" s="450">
        <v>-5.38</v>
      </c>
      <c r="MA29" s="1">
        <v>0</v>
      </c>
      <c r="MB29" s="450">
        <v>-1.37</v>
      </c>
      <c r="MC29" s="1">
        <v>0.6</v>
      </c>
      <c r="MD29" s="450"/>
      <c r="ME29" s="1"/>
      <c r="MF29" s="450">
        <v>-1.74</v>
      </c>
      <c r="MG29" s="1">
        <v>0.6</v>
      </c>
      <c r="MH29" s="450">
        <v>10.39</v>
      </c>
      <c r="MI29" s="1">
        <v>1</v>
      </c>
      <c r="MJ29" s="450">
        <v>2.4000000000000004</v>
      </c>
      <c r="MK29" s="1">
        <v>0.66666666666666663</v>
      </c>
      <c r="ML29" s="450">
        <v>0.70000000000000018</v>
      </c>
      <c r="MM29" s="1">
        <v>0.66666666666666663</v>
      </c>
      <c r="MN29" s="450">
        <v>-7.42</v>
      </c>
      <c r="MO29" s="1">
        <v>0.33333333333333331</v>
      </c>
      <c r="MP29" s="450">
        <v>-1.7499999999999998</v>
      </c>
      <c r="MQ29" s="1">
        <v>0.6</v>
      </c>
      <c r="MR29" s="450">
        <v>-14.719999999999999</v>
      </c>
      <c r="MS29" s="1">
        <v>0</v>
      </c>
      <c r="MT29" s="450">
        <v>-4.3800000000000008</v>
      </c>
      <c r="MU29" s="1">
        <v>0.4</v>
      </c>
      <c r="MV29" s="450">
        <v>4.0299999999999994</v>
      </c>
      <c r="MW29" s="1">
        <v>1</v>
      </c>
      <c r="MX29" s="450">
        <v>7.34</v>
      </c>
      <c r="MY29" s="1">
        <v>1</v>
      </c>
      <c r="MZ29" s="450">
        <v>2.6199999999999988</v>
      </c>
      <c r="NA29" s="1">
        <v>0.75</v>
      </c>
      <c r="NB29" s="450">
        <v>-3.5500000000000003</v>
      </c>
      <c r="NC29" s="1">
        <v>0.33333333333333331</v>
      </c>
      <c r="ND29" s="450"/>
      <c r="NE29" s="1"/>
      <c r="NF29" s="450">
        <v>-3.0999999999999996</v>
      </c>
      <c r="NG29" s="1">
        <v>0.5</v>
      </c>
      <c r="NH29" s="450">
        <v>-3.0999999999999996</v>
      </c>
      <c r="NI29" s="1">
        <v>0.5</v>
      </c>
      <c r="NJ29" s="450">
        <v>-4.8400000000000007</v>
      </c>
      <c r="NK29" s="1">
        <v>0.5</v>
      </c>
      <c r="NL29" s="450">
        <v>-3.5</v>
      </c>
      <c r="NM29" s="1">
        <v>0.5714285714285714</v>
      </c>
      <c r="NN29" s="450"/>
      <c r="NO29" s="1"/>
      <c r="NP29" s="450">
        <v>-4.46</v>
      </c>
      <c r="NQ29" s="1">
        <v>0.33333333333333331</v>
      </c>
      <c r="NR29" s="450">
        <v>-0.30000000000000004</v>
      </c>
      <c r="NS29" s="1">
        <v>0.66666666666666663</v>
      </c>
      <c r="NT29" s="450">
        <v>-6.17</v>
      </c>
      <c r="NU29" s="1">
        <v>0.4</v>
      </c>
      <c r="NV29" s="450">
        <v>0.7799999999999998</v>
      </c>
      <c r="NW29" s="1">
        <v>0.6</v>
      </c>
      <c r="NX29" s="450">
        <v>-0.18999999999999995</v>
      </c>
      <c r="NY29" s="1">
        <v>0.66666666666666663</v>
      </c>
      <c r="NZ29" s="450">
        <v>-4.66</v>
      </c>
      <c r="OA29" s="1">
        <v>0.33333333333333331</v>
      </c>
      <c r="OB29" s="450">
        <v>2.7699999999999996</v>
      </c>
      <c r="OC29" s="1">
        <v>0.8</v>
      </c>
      <c r="OD29" s="450">
        <v>4.38</v>
      </c>
      <c r="OE29" s="1">
        <v>1</v>
      </c>
      <c r="OF29" s="450">
        <v>1.0599999999999998</v>
      </c>
      <c r="OG29" s="1">
        <v>0.66666666666666663</v>
      </c>
      <c r="OH29" s="450">
        <v>-6.0000000000000053E-2</v>
      </c>
      <c r="OI29" s="1">
        <v>0.66666666666666663</v>
      </c>
      <c r="OJ29" s="450"/>
      <c r="OK29" s="1"/>
      <c r="OL29" s="450">
        <v>2.34</v>
      </c>
      <c r="OM29" s="1">
        <v>0.75</v>
      </c>
      <c r="ON29" s="450">
        <v>2.2599999999999998</v>
      </c>
      <c r="OO29" s="1">
        <v>0.75</v>
      </c>
      <c r="OP29" s="450">
        <v>-0.67000000000000026</v>
      </c>
      <c r="OQ29" s="1">
        <v>0.5</v>
      </c>
      <c r="OR29" s="450"/>
      <c r="OS29" s="1"/>
      <c r="OT29" s="450">
        <v>-1.6099999999999997</v>
      </c>
      <c r="OU29" s="1">
        <v>0.6</v>
      </c>
      <c r="OV29" s="450"/>
      <c r="OW29" s="1"/>
      <c r="OX29" s="450">
        <v>0.85999999999999988</v>
      </c>
      <c r="OY29" s="1">
        <v>0.7</v>
      </c>
      <c r="OZ29" s="450">
        <v>-0.63999999999999968</v>
      </c>
      <c r="PA29" s="1">
        <v>0.66666666666666663</v>
      </c>
      <c r="PB29" s="450">
        <v>5.8</v>
      </c>
      <c r="PC29" s="1">
        <v>1</v>
      </c>
      <c r="PD29" s="450">
        <v>-12.07</v>
      </c>
      <c r="PE29" s="1">
        <v>0</v>
      </c>
      <c r="PF29" s="450">
        <v>-2.0600000000000005</v>
      </c>
      <c r="PG29" s="1">
        <v>0.6</v>
      </c>
      <c r="PH29" s="450">
        <v>6.8099999999999987</v>
      </c>
      <c r="PI29" s="1">
        <v>0.875</v>
      </c>
      <c r="PJ29" s="450"/>
      <c r="PK29" s="1"/>
      <c r="PL29" s="450">
        <v>-3.22</v>
      </c>
      <c r="PM29" s="1">
        <v>0.5714285714285714</v>
      </c>
      <c r="PN29" s="450">
        <v>-3.5700000000000003</v>
      </c>
      <c r="PO29" s="1">
        <v>0.6</v>
      </c>
      <c r="PP29" s="450">
        <v>-6.35</v>
      </c>
      <c r="PQ29" s="1">
        <v>0.4</v>
      </c>
      <c r="PR29" s="450">
        <v>-4.8899999999999997</v>
      </c>
      <c r="PS29" s="1">
        <v>0</v>
      </c>
      <c r="PT29" s="450">
        <v>1.18</v>
      </c>
      <c r="PU29" s="1">
        <v>0.66666666666666663</v>
      </c>
      <c r="PV29" s="450">
        <v>-1.1499999999999999</v>
      </c>
      <c r="PW29" s="1">
        <v>0.66666666666666663</v>
      </c>
      <c r="PX29" s="450">
        <v>2.7199999999999998</v>
      </c>
      <c r="PY29" s="1">
        <v>0.75</v>
      </c>
      <c r="PZ29" s="450"/>
      <c r="QA29" s="1"/>
      <c r="QB29" s="450">
        <v>-7.8100000000000005</v>
      </c>
      <c r="QC29" s="1">
        <v>0.25</v>
      </c>
      <c r="QD29" s="450">
        <v>1.5</v>
      </c>
      <c r="QE29" s="1">
        <v>1</v>
      </c>
      <c r="QF29" s="450">
        <v>4.3599999999999994</v>
      </c>
      <c r="QG29" s="1">
        <v>0.83333333333333337</v>
      </c>
      <c r="QH29" s="450">
        <v>-0.15000000000000013</v>
      </c>
      <c r="QI29" s="1">
        <v>0.66666666666666663</v>
      </c>
      <c r="QJ29" s="450">
        <v>-7.67</v>
      </c>
      <c r="QK29" s="1">
        <v>0.25</v>
      </c>
      <c r="QL29" s="450">
        <v>8.5</v>
      </c>
      <c r="QM29" s="1">
        <v>0.83333333333333337</v>
      </c>
      <c r="QN29" s="450">
        <v>-9.2499999999999982</v>
      </c>
      <c r="QO29" s="1">
        <v>0.33333333333333331</v>
      </c>
      <c r="QP29" s="450">
        <v>2.78</v>
      </c>
      <c r="QQ29" s="1">
        <v>0.83333333333333337</v>
      </c>
      <c r="QR29" s="450">
        <v>-24.279999999999998</v>
      </c>
      <c r="QS29" s="1">
        <v>0.1</v>
      </c>
      <c r="QT29" s="450">
        <v>-2.0499999999999998</v>
      </c>
      <c r="QU29" s="1">
        <v>0.33333333333333331</v>
      </c>
      <c r="QV29" s="450">
        <v>-1.3599999999999999</v>
      </c>
      <c r="QW29" s="1">
        <v>0.5</v>
      </c>
      <c r="QX29" s="450">
        <v>-4.01</v>
      </c>
      <c r="QY29" s="1">
        <v>0.3</v>
      </c>
      <c r="QZ29" s="450"/>
      <c r="RA29" s="1"/>
      <c r="RB29" s="450">
        <v>-2.1799999999999993</v>
      </c>
      <c r="RC29" s="1">
        <v>0.625</v>
      </c>
      <c r="RD29" s="450">
        <v>-10.010000000000002</v>
      </c>
      <c r="RE29" s="1">
        <v>0.25</v>
      </c>
      <c r="RF29" s="450">
        <v>5.75</v>
      </c>
      <c r="RG29" s="1">
        <v>1</v>
      </c>
      <c r="RH29" s="450">
        <v>-6.370000000000001</v>
      </c>
      <c r="RI29" s="1">
        <v>0.5</v>
      </c>
      <c r="RJ29" s="450">
        <v>2.88</v>
      </c>
      <c r="RK29" s="1">
        <v>1</v>
      </c>
      <c r="RL29" s="450"/>
      <c r="RM29" s="1"/>
      <c r="RN29" s="450">
        <v>-1.52</v>
      </c>
      <c r="RO29" s="1">
        <v>0.5</v>
      </c>
      <c r="RP29" s="450">
        <v>4.6900000000000004</v>
      </c>
      <c r="RQ29" s="1">
        <v>0.8571428571428571</v>
      </c>
      <c r="RR29" s="450"/>
      <c r="RS29" s="1"/>
      <c r="RT29" s="450">
        <v>10.029999999999999</v>
      </c>
      <c r="RU29" s="1">
        <v>1</v>
      </c>
      <c r="RV29" s="450">
        <v>-6.34</v>
      </c>
      <c r="RW29" s="1">
        <v>0.4</v>
      </c>
      <c r="RX29" s="450">
        <v>-4.6500000000000004</v>
      </c>
      <c r="RY29" s="1">
        <v>0.33333333333333331</v>
      </c>
      <c r="RZ29" s="450">
        <v>-15.27</v>
      </c>
      <c r="SA29" s="1">
        <v>0.25</v>
      </c>
      <c r="SB29" s="450">
        <v>5.4799999999999995</v>
      </c>
      <c r="SC29" s="1">
        <v>0.8571428571428571</v>
      </c>
      <c r="SD29" s="450">
        <v>-3.59</v>
      </c>
      <c r="SE29" s="1">
        <v>0</v>
      </c>
      <c r="SF29" s="450"/>
      <c r="SG29" s="1"/>
      <c r="SH29" s="450">
        <v>6.8999999999999995</v>
      </c>
      <c r="SI29" s="1">
        <v>0.8571428571428571</v>
      </c>
      <c r="SJ29" s="452">
        <v>-6.5100000000000007</v>
      </c>
      <c r="SK29" s="1">
        <v>0.5</v>
      </c>
      <c r="SL29" s="457">
        <v>-8.6999999999999975</v>
      </c>
      <c r="SM29" s="1">
        <v>0.44444444444444442</v>
      </c>
      <c r="SN29" s="459">
        <v>-6.2100000000000009</v>
      </c>
      <c r="SO29" s="1">
        <v>0.4</v>
      </c>
      <c r="SP29" s="461">
        <v>-0.51999999999999991</v>
      </c>
      <c r="SQ29" s="1">
        <v>0.5714285714285714</v>
      </c>
      <c r="SR29" s="463">
        <v>-7.76</v>
      </c>
      <c r="SS29" s="1">
        <v>0.42857142857142855</v>
      </c>
      <c r="ST29" s="464">
        <v>1.0599999999999996</v>
      </c>
      <c r="SU29" s="1">
        <v>0.7142857142857143</v>
      </c>
      <c r="SV29" s="466">
        <v>9.76</v>
      </c>
      <c r="SW29" s="1">
        <v>0.9</v>
      </c>
      <c r="SX29" s="467"/>
      <c r="SY29" s="1"/>
      <c r="SZ29" s="469">
        <v>1.3699999999999997</v>
      </c>
      <c r="TA29" s="1">
        <v>0.75</v>
      </c>
      <c r="TB29" s="471">
        <v>-1.9800000000000009</v>
      </c>
      <c r="TC29" s="1">
        <v>0.625</v>
      </c>
      <c r="TD29" s="472">
        <v>1.0799999999999992</v>
      </c>
      <c r="TE29" s="1">
        <v>0.7142857142857143</v>
      </c>
      <c r="TF29" s="474">
        <v>0.60999999999999976</v>
      </c>
      <c r="TG29" s="1">
        <v>0.66666666666666663</v>
      </c>
      <c r="TH29" s="488">
        <v>-8.9999999999999858E-2</v>
      </c>
      <c r="TI29" s="1">
        <v>0.66666666666666663</v>
      </c>
      <c r="TJ29" s="489">
        <v>-17.68</v>
      </c>
      <c r="TK29" s="1">
        <v>0.2</v>
      </c>
      <c r="TL29" s="490">
        <v>-7.7799999999999985</v>
      </c>
      <c r="TM29" s="1">
        <v>0.42857142857142855</v>
      </c>
      <c r="TN29" s="495"/>
      <c r="TO29" s="1"/>
      <c r="TP29" s="500">
        <v>-3.07</v>
      </c>
      <c r="TQ29" s="1">
        <v>0.5</v>
      </c>
      <c r="TR29" s="511">
        <v>2.71</v>
      </c>
      <c r="TS29" s="1">
        <v>0.8</v>
      </c>
      <c r="TT29" s="515">
        <v>3.64</v>
      </c>
      <c r="TU29" s="1">
        <v>0.7142857142857143</v>
      </c>
      <c r="TV29" s="518">
        <v>-4.46</v>
      </c>
      <c r="TW29" s="1">
        <v>0.33333333333333331</v>
      </c>
      <c r="TX29" s="521">
        <v>1.1499999999999999</v>
      </c>
      <c r="TY29" s="1">
        <v>0.75</v>
      </c>
      <c r="TZ29" s="524">
        <v>-3.25</v>
      </c>
      <c r="UA29" s="1">
        <v>0.5</v>
      </c>
      <c r="UB29" s="527">
        <v>-4.7099999999999991</v>
      </c>
      <c r="UC29" s="1">
        <v>0.5</v>
      </c>
      <c r="UD29" s="530">
        <v>-10.219999999999999</v>
      </c>
      <c r="UE29" s="1">
        <v>0.45454545454545453</v>
      </c>
      <c r="UF29" s="533">
        <v>0.51</v>
      </c>
      <c r="UG29" s="1">
        <v>0.6</v>
      </c>
      <c r="UH29" s="536">
        <v>-4.5199999999999996</v>
      </c>
      <c r="UI29" s="1">
        <v>0.5</v>
      </c>
      <c r="UJ29" s="539">
        <v>-9.2899999999999991</v>
      </c>
      <c r="UK29" s="1">
        <v>0.44444444444444442</v>
      </c>
      <c r="UL29" s="540">
        <v>-1.7600000000000002</v>
      </c>
      <c r="UM29" s="1">
        <v>0.6</v>
      </c>
      <c r="UN29" s="543">
        <v>1.6500000000000001</v>
      </c>
      <c r="UO29" s="1">
        <v>0.77777777777777779</v>
      </c>
      <c r="UP29" s="544">
        <v>-5.129999999999999</v>
      </c>
      <c r="UQ29" s="1">
        <v>0.55555555555555558</v>
      </c>
      <c r="UR29" s="551">
        <v>-0.52</v>
      </c>
      <c r="US29" s="1">
        <v>0.5714285714285714</v>
      </c>
      <c r="UT29" s="551">
        <v>1.4400000000000004</v>
      </c>
      <c r="UU29" s="1">
        <v>0.75</v>
      </c>
      <c r="UV29" s="562">
        <v>0.13</v>
      </c>
      <c r="UW29" s="1">
        <v>0.5</v>
      </c>
      <c r="UX29" s="566">
        <v>1.95</v>
      </c>
      <c r="UY29" s="1">
        <v>0.7</v>
      </c>
      <c r="UZ29" s="568"/>
      <c r="VA29" s="1"/>
      <c r="VB29" s="572">
        <v>-2.38</v>
      </c>
      <c r="VC29" s="1">
        <v>0.5</v>
      </c>
      <c r="VD29" s="576">
        <v>3.3899999999999997</v>
      </c>
      <c r="VE29" s="1">
        <v>0.83333333333333337</v>
      </c>
      <c r="VF29" s="580">
        <v>-1.5199999999999998</v>
      </c>
      <c r="VG29" s="1">
        <v>0.66666666666666663</v>
      </c>
      <c r="VH29" s="584">
        <v>-9</v>
      </c>
      <c r="VI29" s="1">
        <v>0.44444444444444442</v>
      </c>
      <c r="VJ29" s="589">
        <v>0.21999999999999986</v>
      </c>
      <c r="VK29" s="1">
        <v>0.5</v>
      </c>
      <c r="VL29" s="593">
        <v>2.5100000000000002</v>
      </c>
      <c r="VM29" s="1">
        <v>0.66666666666666663</v>
      </c>
      <c r="VN29" s="597">
        <v>-1.6399999999999997</v>
      </c>
      <c r="VO29" s="1">
        <v>0.5</v>
      </c>
      <c r="VP29" s="601">
        <v>-10.62</v>
      </c>
      <c r="VQ29" s="1">
        <v>0.2</v>
      </c>
      <c r="VR29" s="603"/>
      <c r="VS29" s="1"/>
      <c r="VT29" s="607">
        <v>-6.8999999999999995</v>
      </c>
      <c r="VU29" s="1">
        <v>0.44444444444444442</v>
      </c>
      <c r="VV29" s="609">
        <v>-6.7899999999999991</v>
      </c>
      <c r="VW29" s="1">
        <v>0.42857142857142855</v>
      </c>
      <c r="VX29" s="613">
        <v>-1.84</v>
      </c>
      <c r="VY29" s="1">
        <v>0.6</v>
      </c>
      <c r="VZ29" s="617">
        <v>-3.16</v>
      </c>
      <c r="WA29" s="1">
        <v>0.5</v>
      </c>
      <c r="WB29" s="619">
        <v>-12.14</v>
      </c>
      <c r="WC29" s="1">
        <v>0.4</v>
      </c>
      <c r="WD29" s="624">
        <v>-1.56</v>
      </c>
      <c r="WE29" s="1">
        <v>0.5</v>
      </c>
      <c r="WF29" s="626">
        <v>-9.2799999999999994</v>
      </c>
      <c r="WG29" s="1">
        <v>0.33333333333333331</v>
      </c>
      <c r="WH29" s="630">
        <v>-1.6300000000000001</v>
      </c>
      <c r="WI29" s="1">
        <v>0.66666666666666663</v>
      </c>
      <c r="WJ29" s="636">
        <v>-9.32</v>
      </c>
      <c r="WK29" s="1">
        <v>0.33333333333333331</v>
      </c>
      <c r="WL29" s="638">
        <v>-10.57</v>
      </c>
      <c r="WM29" s="1">
        <v>0.2</v>
      </c>
      <c r="WN29" s="642">
        <v>-2.9699999999999993</v>
      </c>
      <c r="WO29" s="1">
        <v>0.55555555555555558</v>
      </c>
      <c r="WP29" s="646">
        <v>3.12</v>
      </c>
      <c r="WQ29" s="1">
        <v>0.75</v>
      </c>
      <c r="WR29" s="652">
        <v>-1.7999999999999998</v>
      </c>
      <c r="WS29" s="1">
        <v>0.6</v>
      </c>
      <c r="WT29" s="659">
        <v>-0.25000000000000044</v>
      </c>
      <c r="WU29" s="1">
        <v>0.66666666666666663</v>
      </c>
      <c r="WV29" s="659">
        <v>-3.3099999999999996</v>
      </c>
      <c r="WW29" s="1">
        <v>0.5714285714285714</v>
      </c>
      <c r="WX29" s="672">
        <v>1.5999999999999999</v>
      </c>
      <c r="WY29" s="1">
        <v>0.5</v>
      </c>
      <c r="WZ29" s="677">
        <v>-1.930000000000001</v>
      </c>
      <c r="XA29" s="1">
        <v>0.625</v>
      </c>
      <c r="XB29" s="681">
        <v>-3.3500000000000005</v>
      </c>
      <c r="XC29" s="1">
        <v>0.5714285714285714</v>
      </c>
      <c r="XD29" s="683"/>
      <c r="XE29" s="1"/>
      <c r="XF29" s="687">
        <v>-3.3600000000000003</v>
      </c>
      <c r="XG29" s="1">
        <v>0.5714285714285714</v>
      </c>
      <c r="XH29" s="689">
        <v>-4.0599999999999996</v>
      </c>
      <c r="XI29" s="1">
        <v>0.42857142857142855</v>
      </c>
      <c r="XJ29" s="696">
        <v>1.2799999999999998</v>
      </c>
      <c r="XK29" s="1">
        <v>0.7142857142857143</v>
      </c>
      <c r="XL29" s="696">
        <v>5.71</v>
      </c>
      <c r="XM29" s="1">
        <v>1</v>
      </c>
      <c r="XN29" s="696">
        <v>-0.58999999999999986</v>
      </c>
      <c r="XO29" s="1">
        <v>0.66666666666666663</v>
      </c>
      <c r="XP29" s="700">
        <v>1.2</v>
      </c>
      <c r="XQ29" s="1">
        <v>0.75</v>
      </c>
      <c r="XR29" s="705">
        <v>-14.329999999999998</v>
      </c>
      <c r="XS29" s="1">
        <v>0.33333333333333331</v>
      </c>
      <c r="XT29" s="709">
        <v>-10.8</v>
      </c>
      <c r="XU29" s="1">
        <v>0.2</v>
      </c>
      <c r="XV29" s="715">
        <v>2.77</v>
      </c>
      <c r="XW29" s="1">
        <v>0.66666666666666663</v>
      </c>
    </row>
    <row r="30" spans="2:647" x14ac:dyDescent="0.25">
      <c r="B30" s="755"/>
      <c r="C30" s="756"/>
      <c r="D30" s="757" t="s">
        <v>13</v>
      </c>
      <c r="E30" s="757"/>
      <c r="F30" s="448">
        <v>0.3</v>
      </c>
      <c r="G30" s="768"/>
      <c r="H30" s="450"/>
      <c r="I30" s="1"/>
      <c r="J30" s="450"/>
      <c r="K30" s="1"/>
      <c r="L30" s="450"/>
      <c r="M30" s="1"/>
      <c r="N30" s="450"/>
      <c r="O30" s="1"/>
      <c r="P30" s="450"/>
      <c r="Q30" s="1"/>
      <c r="R30" s="450"/>
      <c r="S30" s="1"/>
      <c r="T30" s="450"/>
      <c r="U30" s="1"/>
      <c r="V30" s="450"/>
      <c r="W30" s="1"/>
      <c r="X30" s="450"/>
      <c r="Y30" s="1"/>
      <c r="Z30" s="450"/>
      <c r="AA30" s="1"/>
      <c r="AB30" s="450"/>
      <c r="AC30" s="1"/>
      <c r="AD30" s="450"/>
      <c r="AE30" s="1"/>
      <c r="AF30" s="450"/>
      <c r="AG30" s="1"/>
      <c r="AH30" s="450"/>
      <c r="AI30" s="1"/>
      <c r="AJ30" s="450"/>
      <c r="AK30" s="1"/>
      <c r="AL30" s="450"/>
      <c r="AM30" s="1"/>
      <c r="AN30" s="450"/>
      <c r="AO30" s="1"/>
      <c r="AP30" s="450"/>
      <c r="AQ30" s="1"/>
      <c r="AR30" s="450"/>
      <c r="AS30" s="1"/>
      <c r="AT30" s="450"/>
      <c r="AU30" s="1"/>
      <c r="AV30" s="450"/>
      <c r="AW30" s="1"/>
      <c r="AX30" s="450"/>
      <c r="AY30" s="1"/>
      <c r="AZ30" s="450"/>
      <c r="BA30" s="1"/>
      <c r="BB30" s="450"/>
      <c r="BC30" s="1"/>
      <c r="BD30" s="450"/>
      <c r="BE30" s="1"/>
      <c r="BF30" s="11">
        <v>1.1271428571428574</v>
      </c>
      <c r="BG30" s="12">
        <v>0.5</v>
      </c>
      <c r="BH30" s="11">
        <v>-2.5085714285714289</v>
      </c>
      <c r="BI30" s="12">
        <v>0.47058823529411764</v>
      </c>
      <c r="BJ30" s="11">
        <v>-0.17428571428571432</v>
      </c>
      <c r="BK30" s="12">
        <v>0.58823529411764708</v>
      </c>
      <c r="BL30" s="11">
        <v>2.3085714285714287</v>
      </c>
      <c r="BM30" s="12">
        <v>0.5</v>
      </c>
      <c r="BN30" s="11">
        <v>-3.5757142857142847</v>
      </c>
      <c r="BO30" s="12">
        <v>0.27777777777777779</v>
      </c>
      <c r="BP30" s="11">
        <v>-0.72714285714285709</v>
      </c>
      <c r="BQ30" s="12">
        <v>0.5</v>
      </c>
      <c r="BR30" s="11">
        <v>-6.6057142857142859</v>
      </c>
      <c r="BS30" s="12">
        <v>0.23529411764705882</v>
      </c>
      <c r="BT30" s="11">
        <v>-0.4571428571428573</v>
      </c>
      <c r="BU30" s="12">
        <v>0.55555555555555558</v>
      </c>
      <c r="BV30" s="11">
        <v>-4.0542857142857143</v>
      </c>
      <c r="BW30" s="12">
        <v>0.33333333333333331</v>
      </c>
      <c r="BX30" s="11">
        <v>-0.50285714285714256</v>
      </c>
      <c r="BY30" s="12">
        <v>0.3888888888888889</v>
      </c>
      <c r="BZ30" s="11"/>
      <c r="CA30" s="12"/>
      <c r="CB30" s="11">
        <v>-8.4428571428571431</v>
      </c>
      <c r="CC30" s="12">
        <v>0.27777777777777779</v>
      </c>
      <c r="CD30" s="11">
        <v>3.1957142857142871</v>
      </c>
      <c r="CE30" s="12">
        <v>0.55555555555555558</v>
      </c>
      <c r="CF30" s="11">
        <v>-1.5314285714285714</v>
      </c>
      <c r="CG30" s="12">
        <v>0.5</v>
      </c>
      <c r="CH30" s="11">
        <v>-3.6714285714285717</v>
      </c>
      <c r="CI30" s="12">
        <v>0.44444444444444442</v>
      </c>
      <c r="CJ30" s="11">
        <v>-0.27571428571428569</v>
      </c>
      <c r="CK30" s="12">
        <v>0.33333333333333331</v>
      </c>
      <c r="CL30" s="11">
        <v>-4.1785714285714279</v>
      </c>
      <c r="CM30" s="12">
        <v>0.29411764705882354</v>
      </c>
      <c r="CN30" s="11">
        <v>-1.2828571428571434</v>
      </c>
      <c r="CO30" s="12">
        <v>0.44444444444444442</v>
      </c>
      <c r="CP30" s="11">
        <v>-6.589999999999999</v>
      </c>
      <c r="CQ30" s="12">
        <v>0.47058823529411764</v>
      </c>
      <c r="CR30" s="11">
        <v>2.8528571428571432</v>
      </c>
      <c r="CS30" s="12">
        <v>0.72222222222222221</v>
      </c>
      <c r="CT30" s="11">
        <v>3.2899999999999996</v>
      </c>
      <c r="CU30" s="12">
        <v>0.75</v>
      </c>
      <c r="CV30" s="11">
        <v>-9.6071428571428594</v>
      </c>
      <c r="CW30" s="12">
        <v>0.4375</v>
      </c>
      <c r="CX30" s="11">
        <v>-4.701428571428572</v>
      </c>
      <c r="CY30" s="12">
        <v>0.55555555555555558</v>
      </c>
      <c r="CZ30" s="11">
        <v>-3.6985714285714288</v>
      </c>
      <c r="DA30" s="12">
        <v>0.44444444444444442</v>
      </c>
      <c r="DB30" s="11">
        <v>-3.644285714285715</v>
      </c>
      <c r="DC30" s="12">
        <v>0.5</v>
      </c>
      <c r="DD30" s="11">
        <v>-3.1057142857142859</v>
      </c>
      <c r="DE30" s="12">
        <v>0.52941176470588236</v>
      </c>
      <c r="DF30" s="11">
        <v>-8.3114285714285714</v>
      </c>
      <c r="DG30" s="12">
        <v>0.5</v>
      </c>
      <c r="DH30" s="11">
        <v>5.7042857142857146</v>
      </c>
      <c r="DI30" s="12">
        <v>0.77777777777777779</v>
      </c>
      <c r="DJ30" s="11">
        <v>-5.9771428571428569</v>
      </c>
      <c r="DK30" s="12">
        <v>0.44444444444444442</v>
      </c>
      <c r="DL30" s="11">
        <v>4.5428571428571445</v>
      </c>
      <c r="DM30" s="12">
        <v>0.55555555555555558</v>
      </c>
      <c r="DN30" s="11">
        <v>-3.5414285714285714</v>
      </c>
      <c r="DO30" s="12">
        <v>0.33333333333333331</v>
      </c>
      <c r="DP30" s="11">
        <v>-4.2071428571428573</v>
      </c>
      <c r="DQ30" s="12">
        <v>0.5</v>
      </c>
      <c r="DR30" s="11">
        <v>4.7799999999999994</v>
      </c>
      <c r="DS30" s="12">
        <v>0.61111111111111116</v>
      </c>
      <c r="DT30" s="11">
        <v>4.7799999999999994</v>
      </c>
      <c r="DU30" s="12">
        <v>0.61111111111111116</v>
      </c>
      <c r="DV30" s="11">
        <v>-7.1757142857142853</v>
      </c>
      <c r="DW30" s="12">
        <v>0.44444444444444442</v>
      </c>
      <c r="DX30" s="11">
        <v>3.5242857142857136</v>
      </c>
      <c r="DY30" s="12">
        <v>0.61111111111111116</v>
      </c>
      <c r="DZ30" s="11">
        <v>9.9999999999996602E-3</v>
      </c>
      <c r="EA30" s="12">
        <v>0.5</v>
      </c>
      <c r="EB30" s="11">
        <v>-0.79714285714285826</v>
      </c>
      <c r="EC30" s="12">
        <v>0.58823529411764708</v>
      </c>
      <c r="ED30" s="11">
        <v>-1.7799999999999996</v>
      </c>
      <c r="EE30" s="12">
        <v>0.5</v>
      </c>
      <c r="EF30" s="11">
        <v>3.5914285714285716</v>
      </c>
      <c r="EG30" s="12">
        <v>0.66666666666666663</v>
      </c>
      <c r="EH30" s="11">
        <v>-1.602857142857143</v>
      </c>
      <c r="EI30" s="12">
        <v>0.5625</v>
      </c>
      <c r="EJ30" s="11">
        <v>5.362857142857143</v>
      </c>
      <c r="EK30" s="12">
        <v>0.72222222222222221</v>
      </c>
      <c r="EL30" s="11">
        <v>-3.6342857142857143</v>
      </c>
      <c r="EM30" s="12">
        <v>0.55555555555555558</v>
      </c>
      <c r="EN30" s="11">
        <v>-1.5714285714285632E-2</v>
      </c>
      <c r="EO30" s="12">
        <v>0.61111111111111116</v>
      </c>
      <c r="EP30" s="11">
        <v>-6.4228571428571417</v>
      </c>
      <c r="EQ30" s="12">
        <v>0.33333333333333331</v>
      </c>
      <c r="ER30" s="11">
        <v>1.408571428571429</v>
      </c>
      <c r="ES30" s="12">
        <v>0.6</v>
      </c>
      <c r="ET30" s="11">
        <v>-1.5714285714285632E-2</v>
      </c>
      <c r="EU30" s="12">
        <v>0.61111111111111116</v>
      </c>
      <c r="EV30" s="11">
        <v>-6.4228571428571417</v>
      </c>
      <c r="EW30" s="12">
        <v>0.33333333333333331</v>
      </c>
      <c r="EX30" s="11">
        <v>1.408571428571429</v>
      </c>
      <c r="EY30" s="12">
        <v>0.6</v>
      </c>
      <c r="EZ30" s="450"/>
      <c r="FA30" s="1"/>
      <c r="FB30" s="450">
        <v>-8.8800000000000026</v>
      </c>
      <c r="FC30" s="1">
        <v>0.55555555555555558</v>
      </c>
      <c r="FD30" s="450">
        <v>-1.1899999999999991</v>
      </c>
      <c r="FE30" s="1">
        <v>0.41176470588235292</v>
      </c>
      <c r="FF30" s="450">
        <v>3.58</v>
      </c>
      <c r="FG30" s="1">
        <v>0.6875</v>
      </c>
      <c r="FH30" s="450">
        <v>-11.549999999999997</v>
      </c>
      <c r="FI30" s="1">
        <v>0.375</v>
      </c>
      <c r="FJ30" s="450">
        <v>3.22</v>
      </c>
      <c r="FK30" s="1">
        <v>0.52941176470588236</v>
      </c>
      <c r="FL30" s="450">
        <v>-1.9300000000000004</v>
      </c>
      <c r="FM30" s="1">
        <v>0.55555555555555558</v>
      </c>
      <c r="FN30" s="450">
        <v>1.6100000000000005</v>
      </c>
      <c r="FO30" s="1">
        <v>0.55555555555555558</v>
      </c>
      <c r="FP30" s="450">
        <v>-8.8600000000000012</v>
      </c>
      <c r="FQ30" s="1">
        <v>0.46666666666666667</v>
      </c>
      <c r="FR30" s="450">
        <v>2.120000000000001</v>
      </c>
      <c r="FS30" s="1">
        <v>0.61111111111111116</v>
      </c>
      <c r="FT30" s="450">
        <v>-19.18</v>
      </c>
      <c r="FU30" s="1">
        <v>0.41176470588235292</v>
      </c>
      <c r="FV30" s="450">
        <v>4.46</v>
      </c>
      <c r="FW30" s="1">
        <v>0.55555555555555558</v>
      </c>
      <c r="FX30" s="450">
        <v>-2.2499999999999996</v>
      </c>
      <c r="FY30" s="1">
        <v>0.55555555555555558</v>
      </c>
      <c r="FZ30" s="450">
        <v>-16.05</v>
      </c>
      <c r="GA30" s="1">
        <v>0.35294117647058826</v>
      </c>
      <c r="GB30" s="450">
        <v>13.970000000000002</v>
      </c>
      <c r="GC30" s="1">
        <v>0.6875</v>
      </c>
      <c r="GD30" s="450">
        <v>9.15</v>
      </c>
      <c r="GE30" s="1">
        <v>0.70588235294117652</v>
      </c>
      <c r="GF30" s="450">
        <v>1.0200000000000005</v>
      </c>
      <c r="GG30" s="1">
        <v>0.61111111111111116</v>
      </c>
      <c r="GH30" s="450">
        <v>-6.2099999999999991</v>
      </c>
      <c r="GI30" s="1">
        <v>0.3888888888888889</v>
      </c>
      <c r="GJ30" s="450">
        <v>-9.009999999999998</v>
      </c>
      <c r="GK30" s="1">
        <v>0.3125</v>
      </c>
      <c r="GL30" s="450">
        <v>-12.28</v>
      </c>
      <c r="GM30" s="1">
        <v>0.3125</v>
      </c>
      <c r="GN30" s="450"/>
      <c r="GO30" s="1"/>
      <c r="GP30" s="450">
        <v>12.570000000000004</v>
      </c>
      <c r="GQ30" s="1">
        <v>0.625</v>
      </c>
      <c r="GR30" s="450">
        <v>-8.6199999999999974</v>
      </c>
      <c r="GS30" s="1">
        <v>0.55555555555555558</v>
      </c>
      <c r="GT30" s="450">
        <v>16.660000000000004</v>
      </c>
      <c r="GU30" s="1">
        <v>0.66666666666666663</v>
      </c>
      <c r="GV30" s="450">
        <v>0.64000000000000146</v>
      </c>
      <c r="GW30" s="1">
        <v>0.55555555555555558</v>
      </c>
      <c r="GX30" s="450">
        <v>-17.619999999999997</v>
      </c>
      <c r="GY30" s="1">
        <v>0.375</v>
      </c>
      <c r="GZ30" s="450"/>
      <c r="HA30" s="1"/>
      <c r="HB30" s="450">
        <v>-6.4</v>
      </c>
      <c r="HC30" s="1">
        <v>0.5</v>
      </c>
      <c r="HD30" s="450"/>
      <c r="HE30" s="1"/>
      <c r="HF30" s="450">
        <v>-12.529999999999996</v>
      </c>
      <c r="HG30" s="1">
        <v>0.4</v>
      </c>
      <c r="HH30" s="450">
        <v>7.5600000000000005</v>
      </c>
      <c r="HI30" s="1">
        <v>0.66666666666666663</v>
      </c>
      <c r="HJ30" s="450">
        <v>-3.34</v>
      </c>
      <c r="HK30" s="1">
        <v>0.41176470588235292</v>
      </c>
      <c r="HL30" s="450">
        <v>-3.3899999999999988</v>
      </c>
      <c r="HM30" s="1">
        <v>0.4375</v>
      </c>
      <c r="HN30" s="450">
        <v>4.2900000000000009</v>
      </c>
      <c r="HO30" s="1">
        <v>0.55555555555555558</v>
      </c>
      <c r="HP30" s="450">
        <v>-3.3799999999999994</v>
      </c>
      <c r="HQ30" s="1">
        <v>0.44444444444444442</v>
      </c>
      <c r="HR30" s="450">
        <v>-9.32</v>
      </c>
      <c r="HS30" s="1">
        <v>0.125</v>
      </c>
      <c r="HT30" s="450">
        <v>7.37</v>
      </c>
      <c r="HU30" s="1">
        <v>0.6470588235294118</v>
      </c>
      <c r="HV30" s="450">
        <v>4.0100000000000007</v>
      </c>
      <c r="HW30" s="1">
        <v>0.52941176470588236</v>
      </c>
      <c r="HX30" s="450"/>
      <c r="HY30" s="1"/>
      <c r="HZ30" s="450">
        <v>-32.709999999999994</v>
      </c>
      <c r="IA30" s="1">
        <v>0.22222222222222221</v>
      </c>
      <c r="IB30" s="450">
        <v>-2.4899999999999989</v>
      </c>
      <c r="IC30" s="1">
        <v>0.5</v>
      </c>
      <c r="ID30" s="450">
        <v>-7.32</v>
      </c>
      <c r="IE30" s="1">
        <v>0.33333333333333331</v>
      </c>
      <c r="IF30" s="450">
        <v>0.22000000000000008</v>
      </c>
      <c r="IG30" s="1">
        <v>0.52941176470588236</v>
      </c>
      <c r="IH30" s="450">
        <v>-7.1899999999999995</v>
      </c>
      <c r="II30" s="1">
        <v>0.5</v>
      </c>
      <c r="IJ30" s="450">
        <v>-3.7099999999999991</v>
      </c>
      <c r="IK30" s="1">
        <v>0.5</v>
      </c>
      <c r="IL30" s="450">
        <v>-12.290000000000001</v>
      </c>
      <c r="IM30" s="1">
        <v>0.3888888888888889</v>
      </c>
      <c r="IN30" s="450">
        <v>-4.2600000000000016</v>
      </c>
      <c r="IO30" s="1">
        <v>0.5</v>
      </c>
      <c r="IP30" s="450">
        <v>-3.5700000000000007</v>
      </c>
      <c r="IQ30" s="1">
        <v>0.5</v>
      </c>
      <c r="IR30" s="450">
        <v>-6.0699999999999976</v>
      </c>
      <c r="IS30" s="1">
        <v>0.35294117647058826</v>
      </c>
      <c r="IT30" s="450">
        <v>-13.87</v>
      </c>
      <c r="IU30" s="1">
        <v>0.27777777777777779</v>
      </c>
      <c r="IV30" s="450">
        <v>-1.59</v>
      </c>
      <c r="IW30" s="1">
        <v>0.55555555555555558</v>
      </c>
      <c r="IX30" s="450"/>
      <c r="IY30" s="1"/>
      <c r="IZ30" s="450">
        <v>13.280000000000001</v>
      </c>
      <c r="JA30" s="1">
        <v>0.76470588235294112</v>
      </c>
      <c r="JB30" s="450">
        <v>-10.939999999999998</v>
      </c>
      <c r="JC30" s="1">
        <v>0.3888888888888889</v>
      </c>
      <c r="JD30" s="450">
        <v>0.51999999999999869</v>
      </c>
      <c r="JE30" s="1">
        <v>0.5</v>
      </c>
      <c r="JF30" s="450">
        <v>7.3900000000000006</v>
      </c>
      <c r="JG30" s="1">
        <v>0.66666666666666663</v>
      </c>
      <c r="JH30" s="450">
        <v>-15.639999999999999</v>
      </c>
      <c r="JI30" s="1">
        <v>0.33333333333333331</v>
      </c>
      <c r="JJ30" s="450">
        <v>2.1</v>
      </c>
      <c r="JK30" s="1">
        <v>0.61111111111111116</v>
      </c>
      <c r="JL30" s="450">
        <v>-15.87</v>
      </c>
      <c r="JM30" s="1">
        <v>0.27777777777777779</v>
      </c>
      <c r="JN30" s="450">
        <v>-13.98</v>
      </c>
      <c r="JO30" s="1">
        <v>0.3888888888888889</v>
      </c>
      <c r="JP30" s="450">
        <v>-23.1</v>
      </c>
      <c r="JQ30" s="1">
        <v>0.27777777777777779</v>
      </c>
      <c r="JR30" s="450"/>
      <c r="JS30" s="1"/>
      <c r="JT30" s="450"/>
      <c r="JU30" s="1"/>
      <c r="JV30" s="450"/>
      <c r="JW30" s="1"/>
      <c r="JX30" s="450">
        <v>-24.76</v>
      </c>
      <c r="JY30" s="1">
        <v>0.3888888888888889</v>
      </c>
      <c r="JZ30" s="450">
        <v>2.38</v>
      </c>
      <c r="KA30" s="1">
        <v>0.61111111111111116</v>
      </c>
      <c r="KB30" s="450">
        <v>-36.32</v>
      </c>
      <c r="KC30" s="1">
        <v>0.3888888888888889</v>
      </c>
      <c r="KD30" s="450">
        <v>-19.350000000000009</v>
      </c>
      <c r="KE30" s="1">
        <v>0.33333333333333331</v>
      </c>
      <c r="KF30" s="450">
        <v>10.889999999999997</v>
      </c>
      <c r="KG30" s="1">
        <v>0.72222222222222221</v>
      </c>
      <c r="KH30" s="450">
        <v>-3.2599999999999989</v>
      </c>
      <c r="KI30" s="1">
        <v>0.55555555555555558</v>
      </c>
      <c r="KJ30" s="450">
        <v>7.3400000000000016</v>
      </c>
      <c r="KK30" s="1">
        <v>0.61111111111111116</v>
      </c>
      <c r="KL30" s="450">
        <v>-15.13</v>
      </c>
      <c r="KM30" s="1">
        <v>0.44444444444444442</v>
      </c>
      <c r="KN30" s="450">
        <v>1.8899999999999995</v>
      </c>
      <c r="KO30" s="1">
        <v>0.5</v>
      </c>
      <c r="KP30" s="450"/>
      <c r="KQ30" s="1"/>
      <c r="KR30" s="450">
        <v>-20.399999999999999</v>
      </c>
      <c r="KS30" s="1">
        <v>0.5</v>
      </c>
      <c r="KT30" s="450"/>
      <c r="KU30" s="1"/>
      <c r="KV30" s="450">
        <v>-12.370000000000003</v>
      </c>
      <c r="KW30" s="1">
        <v>0.61111111111111116</v>
      </c>
      <c r="KX30" s="450">
        <v>-19.929999999999996</v>
      </c>
      <c r="KY30" s="1">
        <v>0.44444444444444442</v>
      </c>
      <c r="KZ30" s="450">
        <v>-14.89</v>
      </c>
      <c r="LA30" s="1">
        <v>0.53333333333333333</v>
      </c>
      <c r="LB30" s="450">
        <v>-3.2199999999999944</v>
      </c>
      <c r="LC30" s="1">
        <v>0.66666666666666663</v>
      </c>
      <c r="LD30" s="450">
        <v>7.7499999999999982</v>
      </c>
      <c r="LE30" s="1">
        <v>0.72222222222222221</v>
      </c>
      <c r="LF30" s="450">
        <v>-9.1700000000000017</v>
      </c>
      <c r="LG30" s="1">
        <v>0.58823529411764708</v>
      </c>
      <c r="LH30" s="450">
        <v>-22.92</v>
      </c>
      <c r="LI30" s="1">
        <v>0.5</v>
      </c>
      <c r="LJ30" s="450"/>
      <c r="LK30" s="1"/>
      <c r="LL30" s="450">
        <v>-8.4699999999999989</v>
      </c>
      <c r="LM30" s="1">
        <v>0.61111111111111116</v>
      </c>
      <c r="LN30" s="450">
        <v>-16.419999999999998</v>
      </c>
      <c r="LO30" s="1">
        <v>0.5</v>
      </c>
      <c r="LP30" s="450">
        <v>-4.0999999999999996</v>
      </c>
      <c r="LQ30" s="1">
        <v>0.6</v>
      </c>
      <c r="LR30" s="450">
        <v>-5.5699999999999985</v>
      </c>
      <c r="LS30" s="1">
        <v>0.66666666666666663</v>
      </c>
      <c r="LT30" s="450">
        <v>2.5099999999999989</v>
      </c>
      <c r="LU30" s="1">
        <v>0.75</v>
      </c>
      <c r="LV30" s="450">
        <v>0.45999999999999996</v>
      </c>
      <c r="LW30" s="1">
        <v>0.69230769230769229</v>
      </c>
      <c r="LX30" s="450">
        <v>-15.130000000000003</v>
      </c>
      <c r="LY30" s="1">
        <v>0.53846153846153844</v>
      </c>
      <c r="LZ30" s="450">
        <v>-1.7099999999999982</v>
      </c>
      <c r="MA30" s="1">
        <v>0.6</v>
      </c>
      <c r="MB30" s="450">
        <v>-1.1099999999999994</v>
      </c>
      <c r="MC30" s="1">
        <v>0.70588235294117652</v>
      </c>
      <c r="MD30" s="450"/>
      <c r="ME30" s="1"/>
      <c r="MF30" s="450">
        <v>-2.9899999999999993</v>
      </c>
      <c r="MG30" s="1">
        <v>0.66666666666666663</v>
      </c>
      <c r="MH30" s="450">
        <v>13.7</v>
      </c>
      <c r="MI30" s="1">
        <v>0.75</v>
      </c>
      <c r="MJ30" s="450">
        <v>-0.54999999999999805</v>
      </c>
      <c r="MK30" s="1">
        <v>0.66666666666666663</v>
      </c>
      <c r="ML30" s="450">
        <v>0.48000000000000043</v>
      </c>
      <c r="MM30" s="1">
        <v>0.6470588235294118</v>
      </c>
      <c r="MN30" s="450">
        <v>-24.82</v>
      </c>
      <c r="MO30" s="1">
        <v>0.47058823529411764</v>
      </c>
      <c r="MP30" s="450">
        <v>-7.7</v>
      </c>
      <c r="MQ30" s="1">
        <v>0.66666666666666663</v>
      </c>
      <c r="MR30" s="450">
        <v>-56.519999999999989</v>
      </c>
      <c r="MS30" s="1">
        <v>0.25</v>
      </c>
      <c r="MT30" s="450">
        <v>-23.290000000000003</v>
      </c>
      <c r="MU30" s="1">
        <v>0.5</v>
      </c>
      <c r="MV30" s="450">
        <v>-5.44</v>
      </c>
      <c r="MW30" s="1">
        <v>0.6</v>
      </c>
      <c r="MX30" s="450">
        <v>11.780000000000001</v>
      </c>
      <c r="MY30" s="1">
        <v>0.82352941176470584</v>
      </c>
      <c r="MZ30" s="450">
        <v>-2.3800000000000003</v>
      </c>
      <c r="NA30" s="1">
        <v>0.625</v>
      </c>
      <c r="NB30" s="450">
        <v>-23.289999999999996</v>
      </c>
      <c r="NC30" s="1">
        <v>0.35294117647058826</v>
      </c>
      <c r="ND30" s="450"/>
      <c r="NE30" s="1"/>
      <c r="NF30" s="450">
        <v>4.2399999999999949</v>
      </c>
      <c r="NG30" s="1">
        <v>0.68421052631578949</v>
      </c>
      <c r="NH30" s="450">
        <v>4.2399999999999949</v>
      </c>
      <c r="NI30" s="1">
        <v>0.68421052631578949</v>
      </c>
      <c r="NJ30" s="450">
        <v>-3.7899999999999983</v>
      </c>
      <c r="NK30" s="1">
        <v>0.72222222222222221</v>
      </c>
      <c r="NL30" s="450">
        <v>-16.770000000000003</v>
      </c>
      <c r="NM30" s="1">
        <v>0.55555555555555558</v>
      </c>
      <c r="NN30" s="450"/>
      <c r="NO30" s="1"/>
      <c r="NP30" s="450">
        <v>-11.390000000000002</v>
      </c>
      <c r="NQ30" s="1">
        <v>0.5</v>
      </c>
      <c r="NR30" s="450">
        <v>4.3899999999999997</v>
      </c>
      <c r="NS30" s="1">
        <v>0.77777777777777779</v>
      </c>
      <c r="NT30" s="450">
        <v>-11.469999999999999</v>
      </c>
      <c r="NU30" s="1">
        <v>0.44444444444444442</v>
      </c>
      <c r="NV30" s="450">
        <v>-8.5699999999999985</v>
      </c>
      <c r="NW30" s="1">
        <v>0.55555555555555558</v>
      </c>
      <c r="NX30" s="450">
        <v>-20.089999999999996</v>
      </c>
      <c r="NY30" s="1">
        <v>0.5</v>
      </c>
      <c r="NZ30" s="450">
        <v>-2.4899999999999993</v>
      </c>
      <c r="OA30" s="1">
        <v>0.6</v>
      </c>
      <c r="OB30" s="450">
        <v>-4.8699999999999992</v>
      </c>
      <c r="OC30" s="1">
        <v>0.42857142857142855</v>
      </c>
      <c r="OD30" s="450">
        <v>4.9800000000000004</v>
      </c>
      <c r="OE30" s="1">
        <v>0.61538461538461542</v>
      </c>
      <c r="OF30" s="450">
        <v>-13.75</v>
      </c>
      <c r="OG30" s="1">
        <v>0.36363636363636365</v>
      </c>
      <c r="OH30" s="450">
        <v>-10.290000000000001</v>
      </c>
      <c r="OI30" s="1">
        <v>0.45454545454545453</v>
      </c>
      <c r="OJ30" s="450"/>
      <c r="OK30" s="1"/>
      <c r="OL30" s="450">
        <v>9.07</v>
      </c>
      <c r="OM30" s="1">
        <v>0.6470588235294118</v>
      </c>
      <c r="ON30" s="450">
        <v>-7.129999999999999</v>
      </c>
      <c r="OO30" s="1">
        <v>0.66666666666666663</v>
      </c>
      <c r="OP30" s="450">
        <v>-17.710000000000004</v>
      </c>
      <c r="OQ30" s="1">
        <v>0.47368421052631576</v>
      </c>
      <c r="OR30" s="450"/>
      <c r="OS30" s="1"/>
      <c r="OT30" s="450">
        <v>0.82000000000000073</v>
      </c>
      <c r="OU30" s="1">
        <v>0.70588235294117652</v>
      </c>
      <c r="OV30" s="450"/>
      <c r="OW30" s="1"/>
      <c r="OX30" s="450">
        <v>6.7600000000000016</v>
      </c>
      <c r="OY30" s="1">
        <v>0.72222222222222221</v>
      </c>
      <c r="OZ30" s="450">
        <v>3.9799999999999995</v>
      </c>
      <c r="PA30" s="1">
        <v>0.68421052631578949</v>
      </c>
      <c r="PB30" s="450">
        <v>2.1300000000000008</v>
      </c>
      <c r="PC30" s="1">
        <v>0.73684210526315785</v>
      </c>
      <c r="PD30" s="450">
        <v>-37.36999999999999</v>
      </c>
      <c r="PE30" s="1">
        <v>0.42105263157894735</v>
      </c>
      <c r="PF30" s="450">
        <v>-1.1600000000000001</v>
      </c>
      <c r="PG30" s="1">
        <v>0.58823529411764708</v>
      </c>
      <c r="PH30" s="450">
        <v>24.53</v>
      </c>
      <c r="PI30" s="1">
        <v>0.9375</v>
      </c>
      <c r="PJ30" s="450"/>
      <c r="PK30" s="1"/>
      <c r="PL30" s="450">
        <v>-21.409999999999997</v>
      </c>
      <c r="PM30" s="1">
        <v>0.5</v>
      </c>
      <c r="PN30" s="450">
        <v>-3.4200000000000013</v>
      </c>
      <c r="PO30" s="1">
        <v>0.68421052631578949</v>
      </c>
      <c r="PP30" s="450">
        <v>-21.35</v>
      </c>
      <c r="PQ30" s="1">
        <v>0.47058823529411764</v>
      </c>
      <c r="PR30" s="450">
        <v>-3.5099999999999989</v>
      </c>
      <c r="PS30" s="1">
        <v>0.63157894736842102</v>
      </c>
      <c r="PT30" s="450">
        <v>-25.089999999999996</v>
      </c>
      <c r="PU30" s="1">
        <v>0.46666666666666667</v>
      </c>
      <c r="PV30" s="450">
        <v>-19.540000000000003</v>
      </c>
      <c r="PW30" s="1">
        <v>0.57894736842105265</v>
      </c>
      <c r="PX30" s="450">
        <v>-23.67</v>
      </c>
      <c r="PY30" s="1">
        <v>0.57894736842105265</v>
      </c>
      <c r="PZ30" s="450"/>
      <c r="QA30" s="1"/>
      <c r="QB30" s="450">
        <v>-15.799999999999999</v>
      </c>
      <c r="QC30" s="1">
        <v>0.61111111111111116</v>
      </c>
      <c r="QD30" s="450">
        <v>-12.110000000000003</v>
      </c>
      <c r="QE30" s="1">
        <v>0.57894736842105265</v>
      </c>
      <c r="QF30" s="450">
        <v>-14.909999999999998</v>
      </c>
      <c r="QG30" s="1">
        <v>0.55555555555555558</v>
      </c>
      <c r="QH30" s="450">
        <v>-0.37000000000000099</v>
      </c>
      <c r="QI30" s="1">
        <v>0.66666666666666663</v>
      </c>
      <c r="QJ30" s="450">
        <v>-22.61</v>
      </c>
      <c r="QK30" s="1">
        <v>0.44444444444444442</v>
      </c>
      <c r="QL30" s="450">
        <v>3.9000000000000012</v>
      </c>
      <c r="QM30" s="1">
        <v>0.68421052631578949</v>
      </c>
      <c r="QN30" s="450">
        <v>-5.2100000000000026</v>
      </c>
      <c r="QO30" s="1">
        <v>0.5</v>
      </c>
      <c r="QP30" s="450">
        <v>15.97</v>
      </c>
      <c r="QQ30" s="1">
        <v>0.72222222222222221</v>
      </c>
      <c r="QR30" s="450">
        <v>-33.590000000000003</v>
      </c>
      <c r="QS30" s="1">
        <v>0.36842105263157893</v>
      </c>
      <c r="QT30" s="450">
        <v>-27.929999999999996</v>
      </c>
      <c r="QU30" s="1">
        <v>0.41176470588235292</v>
      </c>
      <c r="QV30" s="450">
        <v>4.1499999999999986</v>
      </c>
      <c r="QW30" s="1">
        <v>0.52631578947368418</v>
      </c>
      <c r="QX30" s="450">
        <v>-5.6</v>
      </c>
      <c r="QY30" s="1">
        <v>0.29411764705882354</v>
      </c>
      <c r="QZ30" s="450"/>
      <c r="RA30" s="1"/>
      <c r="RB30" s="450">
        <v>-3.9999999999998814E-2</v>
      </c>
      <c r="RC30" s="1">
        <v>0.55555555555555558</v>
      </c>
      <c r="RD30" s="450">
        <v>-15.13</v>
      </c>
      <c r="RE30" s="1">
        <v>0.26315789473684209</v>
      </c>
      <c r="RF30" s="450">
        <v>10.509999999999998</v>
      </c>
      <c r="RG30" s="1">
        <v>0.77777777777777779</v>
      </c>
      <c r="RH30" s="450">
        <v>0.83999999999999941</v>
      </c>
      <c r="RI30" s="1">
        <v>0.57894736842105265</v>
      </c>
      <c r="RJ30" s="450">
        <v>9.89</v>
      </c>
      <c r="RK30" s="1">
        <v>0.72222222222222221</v>
      </c>
      <c r="RL30" s="450"/>
      <c r="RM30" s="1"/>
      <c r="RN30" s="450">
        <v>-17.129999999999995</v>
      </c>
      <c r="RO30" s="1">
        <v>0.22222222222222221</v>
      </c>
      <c r="RP30" s="450">
        <v>9.5500000000000007</v>
      </c>
      <c r="RQ30" s="1">
        <v>0.63157894736842102</v>
      </c>
      <c r="RR30" s="450"/>
      <c r="RS30" s="1"/>
      <c r="RT30" s="450">
        <v>15.490000000000004</v>
      </c>
      <c r="RU30" s="1">
        <v>0.77777777777777779</v>
      </c>
      <c r="RV30" s="450">
        <v>-24.459999999999994</v>
      </c>
      <c r="RW30" s="1">
        <v>0.5</v>
      </c>
      <c r="RX30" s="450">
        <v>-5.8899999999999961</v>
      </c>
      <c r="RY30" s="1">
        <v>0.61111111111111116</v>
      </c>
      <c r="RZ30" s="450">
        <v>-29.650000000000006</v>
      </c>
      <c r="SA30" s="1">
        <v>0.47368421052631576</v>
      </c>
      <c r="SB30" s="450">
        <v>-4.5699999999999976</v>
      </c>
      <c r="SC30" s="1">
        <v>0.63157894736842102</v>
      </c>
      <c r="SD30" s="450">
        <v>-19.720000000000002</v>
      </c>
      <c r="SE30" s="1">
        <v>0.36842105263157893</v>
      </c>
      <c r="SF30" s="450"/>
      <c r="SG30" s="1"/>
      <c r="SH30" s="450">
        <v>-27.14</v>
      </c>
      <c r="SI30" s="1">
        <v>0.33333333333333331</v>
      </c>
      <c r="SJ30" s="452">
        <v>-10.030000000000001</v>
      </c>
      <c r="SK30" s="1">
        <v>0.52631578947368418</v>
      </c>
      <c r="SL30" s="457">
        <v>-7.19</v>
      </c>
      <c r="SM30" s="1">
        <v>0.47368421052631576</v>
      </c>
      <c r="SN30" s="459">
        <v>2.83</v>
      </c>
      <c r="SO30" s="1">
        <v>0.61111111111111116</v>
      </c>
      <c r="SP30" s="461">
        <v>-9.4300000000000015</v>
      </c>
      <c r="SQ30" s="1">
        <v>0.47368421052631576</v>
      </c>
      <c r="SR30" s="463">
        <v>11.209999999999999</v>
      </c>
      <c r="SS30" s="1">
        <v>0.6470588235294118</v>
      </c>
      <c r="ST30" s="464">
        <v>1.8399999999999992</v>
      </c>
      <c r="SU30" s="1">
        <v>0.55555555555555558</v>
      </c>
      <c r="SV30" s="466">
        <v>8.58</v>
      </c>
      <c r="SW30" s="1">
        <v>0.61111111111111116</v>
      </c>
      <c r="SX30" s="467"/>
      <c r="SY30" s="1"/>
      <c r="SZ30" s="469">
        <v>-2.1399999999999992</v>
      </c>
      <c r="TA30" s="1">
        <v>0.44444444444444442</v>
      </c>
      <c r="TB30" s="471">
        <v>-13.689999999999998</v>
      </c>
      <c r="TC30" s="1">
        <v>0.47368421052631576</v>
      </c>
      <c r="TD30" s="472">
        <v>5.1199999999999992</v>
      </c>
      <c r="TE30" s="1">
        <v>0.55555555555555558</v>
      </c>
      <c r="TF30" s="474">
        <v>1.7399999999999998</v>
      </c>
      <c r="TG30" s="1">
        <v>0.47368421052631576</v>
      </c>
      <c r="TH30" s="488">
        <v>1.5100000000000022</v>
      </c>
      <c r="TI30" s="1">
        <v>0.52631578947368418</v>
      </c>
      <c r="TJ30" s="489">
        <v>-22.960000000000004</v>
      </c>
      <c r="TK30" s="1">
        <v>0.36842105263157893</v>
      </c>
      <c r="TL30" s="490">
        <v>-13</v>
      </c>
      <c r="TM30" s="1">
        <v>0.47368421052631576</v>
      </c>
      <c r="TN30" s="495"/>
      <c r="TO30" s="1"/>
      <c r="TP30" s="500">
        <v>-4.5000000000000009</v>
      </c>
      <c r="TQ30" s="1">
        <v>0.5</v>
      </c>
      <c r="TR30" s="511">
        <v>-2.0799999999999996</v>
      </c>
      <c r="TS30" s="1">
        <v>0.57894736842105265</v>
      </c>
      <c r="TT30" s="515">
        <v>-6.870000000000001</v>
      </c>
      <c r="TU30" s="1">
        <v>0.47368421052631576</v>
      </c>
      <c r="TV30" s="518">
        <v>-7.3100000000000005</v>
      </c>
      <c r="TW30" s="1">
        <v>0.57894736842105265</v>
      </c>
      <c r="TX30" s="521">
        <v>2.6699999999999986</v>
      </c>
      <c r="TY30" s="1">
        <v>0.72222222222222221</v>
      </c>
      <c r="TZ30" s="524">
        <v>-12.229999999999997</v>
      </c>
      <c r="UA30" s="1">
        <v>0.55555555555555558</v>
      </c>
      <c r="UB30" s="527">
        <v>-14.639999999999997</v>
      </c>
      <c r="UC30" s="1">
        <v>0.47368421052631576</v>
      </c>
      <c r="UD30" s="530">
        <v>-17.599999999999998</v>
      </c>
      <c r="UE30" s="1">
        <v>0.42105263157894735</v>
      </c>
      <c r="UF30" s="533">
        <v>-22.609999999999996</v>
      </c>
      <c r="UG30" s="1">
        <v>0.47368421052631576</v>
      </c>
      <c r="UH30" s="536">
        <v>-8.2099999999999991</v>
      </c>
      <c r="UI30" s="1">
        <v>0.47058823529411764</v>
      </c>
      <c r="UJ30" s="539">
        <v>-15.57</v>
      </c>
      <c r="UK30" s="1">
        <v>0.57894736842105265</v>
      </c>
      <c r="UL30" s="540">
        <v>0.22000000000000064</v>
      </c>
      <c r="UM30" s="1">
        <v>0.52631578947368418</v>
      </c>
      <c r="UN30" s="543">
        <v>3.1800000000000033</v>
      </c>
      <c r="UO30" s="1">
        <v>0.61111111111111116</v>
      </c>
      <c r="UP30" s="544">
        <v>4.4099999999999993</v>
      </c>
      <c r="UQ30" s="1">
        <v>0.68421052631578949</v>
      </c>
      <c r="UR30" s="551">
        <v>-14.230000000000004</v>
      </c>
      <c r="US30" s="1">
        <v>0.52631578947368418</v>
      </c>
      <c r="UT30" s="551">
        <v>10.050000000000001</v>
      </c>
      <c r="UU30" s="1">
        <v>0.68421052631578949</v>
      </c>
      <c r="UV30" s="562">
        <v>14.689999999999998</v>
      </c>
      <c r="UW30" s="1">
        <v>0.73684210526315785</v>
      </c>
      <c r="UX30" s="566">
        <v>3.419999999999999</v>
      </c>
      <c r="UY30" s="1">
        <v>0.57894736842105265</v>
      </c>
      <c r="UZ30" s="568"/>
      <c r="VA30" s="1"/>
      <c r="VB30" s="572">
        <v>2.2999999999999998</v>
      </c>
      <c r="VC30" s="1">
        <v>0.57894736842105265</v>
      </c>
      <c r="VD30" s="576">
        <v>1.900000000000001</v>
      </c>
      <c r="VE30" s="1">
        <v>0.57894736842105265</v>
      </c>
      <c r="VF30" s="580">
        <v>-6.56</v>
      </c>
      <c r="VG30" s="1">
        <v>0.36842105263157893</v>
      </c>
      <c r="VH30" s="584">
        <v>-23.139999999999997</v>
      </c>
      <c r="VI30" s="1">
        <v>0.3888888888888889</v>
      </c>
      <c r="VJ30" s="589">
        <v>-13.280000000000001</v>
      </c>
      <c r="VK30" s="1">
        <v>0.42105263157894735</v>
      </c>
      <c r="VL30" s="593">
        <v>-28.16</v>
      </c>
      <c r="VM30" s="1">
        <v>0.42105263157894735</v>
      </c>
      <c r="VN30" s="597">
        <v>7.660000000000001</v>
      </c>
      <c r="VO30" s="1">
        <v>0.57894736842105265</v>
      </c>
      <c r="VP30" s="601">
        <v>-37.15</v>
      </c>
      <c r="VQ30" s="1">
        <v>0.15789473684210525</v>
      </c>
      <c r="VR30" s="603"/>
      <c r="VS30" s="1"/>
      <c r="VT30" s="607">
        <v>-5.26</v>
      </c>
      <c r="VU30" s="1">
        <v>0.47368421052631576</v>
      </c>
      <c r="VV30" s="609">
        <v>-6.9500000000000011</v>
      </c>
      <c r="VW30" s="1">
        <v>0.44444444444444442</v>
      </c>
      <c r="VX30" s="613">
        <v>-19.669999999999998</v>
      </c>
      <c r="VY30" s="1">
        <v>0.52631578947368418</v>
      </c>
      <c r="VZ30" s="617">
        <v>-6.9899999999999984</v>
      </c>
      <c r="WA30" s="1">
        <v>0.36842105263157893</v>
      </c>
      <c r="WB30" s="619">
        <v>-26.069999999999993</v>
      </c>
      <c r="WC30" s="1">
        <v>0.47368421052631576</v>
      </c>
      <c r="WD30" s="624">
        <v>-25.35</v>
      </c>
      <c r="WE30" s="1">
        <v>0.47368421052631576</v>
      </c>
      <c r="WF30" s="626">
        <v>-11.100000000000001</v>
      </c>
      <c r="WG30" s="1">
        <v>0.57894736842105265</v>
      </c>
      <c r="WH30" s="630">
        <v>-12.47</v>
      </c>
      <c r="WI30" s="1">
        <v>0.57894736842105265</v>
      </c>
      <c r="WJ30" s="636">
        <v>-21.400000000000006</v>
      </c>
      <c r="WK30" s="1">
        <v>0.42105263157894735</v>
      </c>
      <c r="WL30" s="638">
        <v>-27.319999999999993</v>
      </c>
      <c r="WM30" s="1">
        <v>0.31578947368421051</v>
      </c>
      <c r="WN30" s="642">
        <v>5.9800000000000022</v>
      </c>
      <c r="WO30" s="1">
        <v>0.52631578947368418</v>
      </c>
      <c r="WP30" s="646">
        <v>-3.8799999999999994</v>
      </c>
      <c r="WQ30" s="1">
        <v>0.47368421052631576</v>
      </c>
      <c r="WR30" s="652">
        <v>-0.43999999999999861</v>
      </c>
      <c r="WS30" s="1">
        <v>0.5</v>
      </c>
      <c r="WT30" s="659">
        <v>-1.0100000000000011</v>
      </c>
      <c r="WU30" s="1">
        <v>0.52631578947368418</v>
      </c>
      <c r="WV30" s="659">
        <v>-8.6000000000000014</v>
      </c>
      <c r="WW30" s="1">
        <v>0.47368421052631576</v>
      </c>
      <c r="WX30" s="672">
        <v>-1.8400000000000007</v>
      </c>
      <c r="WY30" s="1">
        <v>0.52631578947368418</v>
      </c>
      <c r="WZ30" s="677">
        <v>-11.489999999999997</v>
      </c>
      <c r="XA30" s="1">
        <v>0.63157894736842102</v>
      </c>
      <c r="XB30" s="681">
        <v>-24.46</v>
      </c>
      <c r="XC30" s="1">
        <v>0.42105263157894735</v>
      </c>
      <c r="XD30" s="683"/>
      <c r="XE30" s="1"/>
      <c r="XF30" s="687">
        <v>-18.740000000000002</v>
      </c>
      <c r="XG30" s="1">
        <v>0.47058823529411764</v>
      </c>
      <c r="XH30" s="689">
        <v>6.24</v>
      </c>
      <c r="XI30" s="1">
        <v>0.57894736842105265</v>
      </c>
      <c r="XJ30" s="696">
        <v>2.5300000000000011</v>
      </c>
      <c r="XK30" s="1">
        <v>0.68421052631578949</v>
      </c>
      <c r="XL30" s="696">
        <v>5.0699999999999976</v>
      </c>
      <c r="XM30" s="1">
        <v>0.6875</v>
      </c>
      <c r="XN30" s="696">
        <v>25.690000000000005</v>
      </c>
      <c r="XO30" s="1">
        <v>0.73684210526315785</v>
      </c>
      <c r="XP30" s="700">
        <v>-5.759999999999998</v>
      </c>
      <c r="XQ30" s="1">
        <v>0.52631578947368418</v>
      </c>
      <c r="XR30" s="705">
        <v>-26.06999999999999</v>
      </c>
      <c r="XS30" s="1">
        <v>0.45945945945945948</v>
      </c>
      <c r="XT30" s="709">
        <v>-0.14999999999999852</v>
      </c>
      <c r="XU30" s="1">
        <v>0.52631578947368418</v>
      </c>
      <c r="XV30" s="715">
        <v>0.37000000000000033</v>
      </c>
      <c r="XW30" s="1">
        <v>0.47368421052631576</v>
      </c>
    </row>
    <row r="31" spans="2:647" x14ac:dyDescent="0.25">
      <c r="B31" s="755"/>
      <c r="C31" s="756"/>
      <c r="D31" s="757" t="s">
        <v>12</v>
      </c>
      <c r="E31" s="757"/>
      <c r="F31" s="448">
        <v>0.4</v>
      </c>
      <c r="G31" s="768"/>
      <c r="H31" s="450"/>
      <c r="I31" s="1"/>
      <c r="J31" s="450"/>
      <c r="K31" s="1"/>
      <c r="L31" s="450"/>
      <c r="M31" s="1"/>
      <c r="N31" s="450"/>
      <c r="O31" s="1"/>
      <c r="P31" s="450"/>
      <c r="Q31" s="1"/>
      <c r="R31" s="450"/>
      <c r="S31" s="1"/>
      <c r="T31" s="450"/>
      <c r="U31" s="1"/>
      <c r="V31" s="450"/>
      <c r="W31" s="1"/>
      <c r="X31" s="450"/>
      <c r="Y31" s="1"/>
      <c r="Z31" s="450"/>
      <c r="AA31" s="1"/>
      <c r="AB31" s="450"/>
      <c r="AC31" s="1"/>
      <c r="AD31" s="450"/>
      <c r="AE31" s="1"/>
      <c r="AF31" s="450"/>
      <c r="AG31" s="1"/>
      <c r="AH31" s="450"/>
      <c r="AI31" s="1"/>
      <c r="AJ31" s="450"/>
      <c r="AK31" s="1"/>
      <c r="AL31" s="450"/>
      <c r="AM31" s="1"/>
      <c r="AN31" s="450"/>
      <c r="AO31" s="1"/>
      <c r="AP31" s="450"/>
      <c r="AQ31" s="1"/>
      <c r="AR31" s="450"/>
      <c r="AS31" s="1"/>
      <c r="AT31" s="450"/>
      <c r="AU31" s="1"/>
      <c r="AV31" s="450"/>
      <c r="AW31" s="1"/>
      <c r="AX31" s="450"/>
      <c r="AY31" s="1"/>
      <c r="AZ31" s="450"/>
      <c r="BA31" s="1"/>
      <c r="BB31" s="450"/>
      <c r="BC31" s="1"/>
      <c r="BD31" s="450"/>
      <c r="BE31" s="1"/>
      <c r="BF31" s="450">
        <v>-0.5488888888888892</v>
      </c>
      <c r="BG31" s="1">
        <v>0.61111111111111116</v>
      </c>
      <c r="BH31" s="450">
        <v>-2.9055555555555546</v>
      </c>
      <c r="BI31" s="1">
        <v>0.47058823529411764</v>
      </c>
      <c r="BJ31" s="450">
        <v>-0.10777777777777781</v>
      </c>
      <c r="BK31" s="1">
        <v>0.47058823529411764</v>
      </c>
      <c r="BL31" s="450">
        <v>-0.77333333333333298</v>
      </c>
      <c r="BM31" s="1">
        <v>0.61111111111111116</v>
      </c>
      <c r="BN31" s="450">
        <v>-5.1744444444444442</v>
      </c>
      <c r="BO31" s="1">
        <v>0.33333333333333331</v>
      </c>
      <c r="BP31" s="450">
        <v>1.6666666666666705E-2</v>
      </c>
      <c r="BQ31" s="1">
        <v>0.5</v>
      </c>
      <c r="BR31" s="450">
        <v>-0.594444444444444</v>
      </c>
      <c r="BS31" s="1">
        <v>0.44444444444444442</v>
      </c>
      <c r="BT31" s="450">
        <v>-0.77111111111111119</v>
      </c>
      <c r="BU31" s="1">
        <v>0.55555555555555558</v>
      </c>
      <c r="BV31" s="450">
        <v>-7.551111111111112</v>
      </c>
      <c r="BW31" s="1">
        <v>0.33333333333333331</v>
      </c>
      <c r="BX31" s="450">
        <v>-4.3044444444444441</v>
      </c>
      <c r="BY31" s="1">
        <v>0.3888888888888889</v>
      </c>
      <c r="BZ31" s="450"/>
      <c r="CA31" s="1"/>
      <c r="CB31" s="450">
        <v>3.0788888888888897</v>
      </c>
      <c r="CC31" s="1">
        <v>0.61111111111111116</v>
      </c>
      <c r="CD31" s="450">
        <v>3.7211111111111106</v>
      </c>
      <c r="CE31" s="1">
        <v>0.61111111111111116</v>
      </c>
      <c r="CF31" s="450">
        <v>6.0988888888888875</v>
      </c>
      <c r="CG31" s="1">
        <v>0.77777777777777779</v>
      </c>
      <c r="CH31" s="450">
        <v>-3.6255555555555556</v>
      </c>
      <c r="CI31" s="1">
        <v>0.44444444444444442</v>
      </c>
      <c r="CJ31" s="450">
        <v>-5.956666666666667</v>
      </c>
      <c r="CK31" s="1">
        <v>5.5555555555555552E-2</v>
      </c>
      <c r="CL31" s="450">
        <v>-7.5366666666666662</v>
      </c>
      <c r="CM31" s="1">
        <v>0.17647058823529413</v>
      </c>
      <c r="CN31" s="450">
        <v>-3.0455555555555556</v>
      </c>
      <c r="CO31" s="1">
        <v>0.27777777777777779</v>
      </c>
      <c r="CP31" s="450">
        <v>-1.6166666666666669</v>
      </c>
      <c r="CQ31" s="1">
        <v>0.58823529411764708</v>
      </c>
      <c r="CR31" s="450">
        <v>-4.3288888888888888</v>
      </c>
      <c r="CS31" s="1">
        <v>0.55555555555555558</v>
      </c>
      <c r="CT31" s="450">
        <v>-0.55888888888888877</v>
      </c>
      <c r="CU31" s="1">
        <v>0.625</v>
      </c>
      <c r="CV31" s="450">
        <v>-9.0544444444444458</v>
      </c>
      <c r="CW31" s="1">
        <v>0.5</v>
      </c>
      <c r="CX31" s="450">
        <v>-3.6866666666666656</v>
      </c>
      <c r="CY31" s="1">
        <v>0.66666666666666663</v>
      </c>
      <c r="CZ31" s="450">
        <v>-2.4277777777777785</v>
      </c>
      <c r="DA31" s="1">
        <v>0.55555555555555558</v>
      </c>
      <c r="DB31" s="450">
        <v>-7.5944444444444441</v>
      </c>
      <c r="DC31" s="1">
        <v>0.44444444444444442</v>
      </c>
      <c r="DD31" s="450">
        <v>-0.99444444444444513</v>
      </c>
      <c r="DE31" s="1">
        <v>0.52941176470588236</v>
      </c>
      <c r="DF31" s="450">
        <v>0.53222222222222237</v>
      </c>
      <c r="DG31" s="1">
        <v>0.6875</v>
      </c>
      <c r="DH31" s="450">
        <v>-0.53111111111111109</v>
      </c>
      <c r="DI31" s="1">
        <v>0.72222222222222221</v>
      </c>
      <c r="DJ31" s="450">
        <v>4.3055555555555545</v>
      </c>
      <c r="DK31" s="1">
        <v>0.66666666666666663</v>
      </c>
      <c r="DL31" s="450">
        <v>2.0744444444444441</v>
      </c>
      <c r="DM31" s="1">
        <v>0.61111111111111116</v>
      </c>
      <c r="DN31" s="450">
        <v>-3.3577777777777782</v>
      </c>
      <c r="DO31" s="1">
        <v>0.3888888888888889</v>
      </c>
      <c r="DP31" s="450">
        <v>-1.2622222222222224</v>
      </c>
      <c r="DQ31" s="1">
        <v>0.61111111111111116</v>
      </c>
      <c r="DR31" s="450">
        <v>2.4577777777777774</v>
      </c>
      <c r="DS31" s="1">
        <v>0.58823529411764708</v>
      </c>
      <c r="DT31" s="450">
        <v>2.4577777777777774</v>
      </c>
      <c r="DU31" s="1">
        <v>0.58823529411764708</v>
      </c>
      <c r="DV31" s="450">
        <v>-7.4911111111111079</v>
      </c>
      <c r="DW31" s="1">
        <v>0.44444444444444442</v>
      </c>
      <c r="DX31" s="450">
        <v>7.3744444444444417</v>
      </c>
      <c r="DY31" s="1">
        <v>0.83333333333333337</v>
      </c>
      <c r="DZ31" s="450">
        <v>0.70666666666666678</v>
      </c>
      <c r="EA31" s="1">
        <v>0.55555555555555558</v>
      </c>
      <c r="EB31" s="450">
        <v>0.43111111111111078</v>
      </c>
      <c r="EC31" s="1">
        <v>0.61111111111111116</v>
      </c>
      <c r="ED31" s="450">
        <v>2.3333333333333339</v>
      </c>
      <c r="EE31" s="1">
        <v>0.55555555555555558</v>
      </c>
      <c r="EF31" s="450">
        <v>0.3277777777777775</v>
      </c>
      <c r="EG31" s="1">
        <v>0.61111111111111116</v>
      </c>
      <c r="EH31" s="450">
        <v>0.64444444444444537</v>
      </c>
      <c r="EI31" s="1">
        <v>0.625</v>
      </c>
      <c r="EJ31" s="450">
        <v>3.9955555555555566</v>
      </c>
      <c r="EK31" s="1">
        <v>0.72222222222222221</v>
      </c>
      <c r="EL31" s="450">
        <v>-7.5077777777777799</v>
      </c>
      <c r="EM31" s="1">
        <v>0.33333333333333331</v>
      </c>
      <c r="EN31" s="450">
        <v>0.58777777777777807</v>
      </c>
      <c r="EO31" s="1">
        <v>0.61111111111111116</v>
      </c>
      <c r="EP31" s="450">
        <v>-5.2077777777777792</v>
      </c>
      <c r="EQ31" s="1">
        <v>0.44444444444444442</v>
      </c>
      <c r="ER31" s="450">
        <v>2.1633333333333331</v>
      </c>
      <c r="ES31" s="1">
        <v>0.6</v>
      </c>
      <c r="ET31" s="450">
        <v>0.58777777777777807</v>
      </c>
      <c r="EU31" s="1">
        <v>0.61111111111111116</v>
      </c>
      <c r="EV31" s="450">
        <v>-5.2077777777777792</v>
      </c>
      <c r="EW31" s="1">
        <v>0.44444444444444442</v>
      </c>
      <c r="EX31" s="450">
        <v>2.1633333333333331</v>
      </c>
      <c r="EY31" s="1">
        <v>0.6</v>
      </c>
      <c r="EZ31" s="450"/>
      <c r="FA31" s="1"/>
      <c r="FB31" s="450">
        <v>-15.450000000000003</v>
      </c>
      <c r="FC31" s="1">
        <v>0.3888888888888889</v>
      </c>
      <c r="FD31" s="450">
        <v>11.72</v>
      </c>
      <c r="FE31" s="1">
        <v>0.58823529411764708</v>
      </c>
      <c r="FF31" s="450">
        <v>-4.84</v>
      </c>
      <c r="FG31" s="1">
        <v>0.61111111111111116</v>
      </c>
      <c r="FH31" s="450">
        <v>-23.2</v>
      </c>
      <c r="FI31" s="1">
        <v>0.41176470588235292</v>
      </c>
      <c r="FJ31" s="450">
        <v>10.549999999999999</v>
      </c>
      <c r="FK31" s="1">
        <v>0.58823529411764708</v>
      </c>
      <c r="FL31" s="450">
        <v>33.75</v>
      </c>
      <c r="FM31" s="1">
        <v>0.88888888888888884</v>
      </c>
      <c r="FN31" s="450">
        <v>-33.29</v>
      </c>
      <c r="FO31" s="1">
        <v>0.44444444444444442</v>
      </c>
      <c r="FP31" s="450">
        <v>-36.079999999999991</v>
      </c>
      <c r="FQ31" s="1">
        <v>0.29411764705882354</v>
      </c>
      <c r="FR31" s="450">
        <v>11.850000000000005</v>
      </c>
      <c r="FS31" s="1">
        <v>0.55555555555555558</v>
      </c>
      <c r="FT31" s="450">
        <v>-9.89</v>
      </c>
      <c r="FU31" s="1">
        <v>0.58823529411764708</v>
      </c>
      <c r="FV31" s="450">
        <v>-13.85</v>
      </c>
      <c r="FW31" s="1">
        <v>0.33333333333333331</v>
      </c>
      <c r="FX31" s="450">
        <v>-15.59</v>
      </c>
      <c r="FY31" s="1">
        <v>0.3888888888888889</v>
      </c>
      <c r="FZ31" s="450">
        <v>-20.259999999999998</v>
      </c>
      <c r="GA31" s="1">
        <v>0.35294117647058826</v>
      </c>
      <c r="GB31" s="450">
        <v>15.76</v>
      </c>
      <c r="GC31" s="1">
        <v>0.6470588235294118</v>
      </c>
      <c r="GD31" s="450">
        <v>-8.09</v>
      </c>
      <c r="GE31" s="1">
        <v>0.47058823529411764</v>
      </c>
      <c r="GF31" s="450">
        <v>3.1500000000000012</v>
      </c>
      <c r="GG31" s="1">
        <v>0.5</v>
      </c>
      <c r="GH31" s="450">
        <v>-12.419999999999998</v>
      </c>
      <c r="GI31" s="1">
        <v>0.3888888888888889</v>
      </c>
      <c r="GJ31" s="450">
        <v>6.8000000000000007</v>
      </c>
      <c r="GK31" s="1">
        <v>0.5</v>
      </c>
      <c r="GL31" s="450">
        <v>-26.759999999999998</v>
      </c>
      <c r="GM31" s="1">
        <v>0.1875</v>
      </c>
      <c r="GN31" s="450"/>
      <c r="GO31" s="1"/>
      <c r="GP31" s="450">
        <v>-6.0900000000000016</v>
      </c>
      <c r="GQ31" s="1">
        <v>0.58823529411764708</v>
      </c>
      <c r="GR31" s="450">
        <v>-54.769999999999996</v>
      </c>
      <c r="GS31" s="1">
        <v>0.3888888888888889</v>
      </c>
      <c r="GT31" s="450">
        <v>17.05</v>
      </c>
      <c r="GU31" s="1">
        <v>0.77777777777777779</v>
      </c>
      <c r="GV31" s="450">
        <v>-2.3300000000000014</v>
      </c>
      <c r="GW31" s="1">
        <v>0.66666666666666663</v>
      </c>
      <c r="GX31" s="450">
        <v>-30.340000000000003</v>
      </c>
      <c r="GY31" s="1">
        <v>0.3125</v>
      </c>
      <c r="GZ31" s="450"/>
      <c r="HA31" s="1"/>
      <c r="HB31" s="450">
        <v>-21.41</v>
      </c>
      <c r="HC31" s="1">
        <v>0.44444444444444442</v>
      </c>
      <c r="HD31" s="450"/>
      <c r="HE31" s="1"/>
      <c r="HF31" s="450">
        <v>26.93</v>
      </c>
      <c r="HG31" s="1">
        <v>0.75</v>
      </c>
      <c r="HH31" s="450">
        <v>-10.5</v>
      </c>
      <c r="HI31" s="1">
        <v>0.55555555555555558</v>
      </c>
      <c r="HJ31" s="450">
        <v>-4.6899999999999995</v>
      </c>
      <c r="HK31" s="1">
        <v>0.41176470588235292</v>
      </c>
      <c r="HL31" s="450">
        <v>16.14</v>
      </c>
      <c r="HM31" s="1">
        <v>0.70588235294117652</v>
      </c>
      <c r="HN31" s="450">
        <v>-3.0999999999999988</v>
      </c>
      <c r="HO31" s="1">
        <v>0.44444444444444442</v>
      </c>
      <c r="HP31" s="450">
        <v>-12.13</v>
      </c>
      <c r="HQ31" s="1">
        <v>0.3888888888888889</v>
      </c>
      <c r="HR31" s="450">
        <v>-24.14</v>
      </c>
      <c r="HS31" s="1">
        <v>0.17647058823529413</v>
      </c>
      <c r="HT31" s="450">
        <v>-13.13</v>
      </c>
      <c r="HU31" s="1">
        <v>0.41176470588235292</v>
      </c>
      <c r="HV31" s="450">
        <v>-7.4900000000000011</v>
      </c>
      <c r="HW31" s="1">
        <v>0.52941176470588236</v>
      </c>
      <c r="HX31" s="450"/>
      <c r="HY31" s="1"/>
      <c r="HZ31" s="450">
        <v>-5.9599999999999991</v>
      </c>
      <c r="IA31" s="1">
        <v>0.55555555555555558</v>
      </c>
      <c r="IB31" s="450">
        <v>8.7300000000000022</v>
      </c>
      <c r="IC31" s="1">
        <v>0.55555555555555558</v>
      </c>
      <c r="ID31" s="450">
        <v>-4.8900000000000023</v>
      </c>
      <c r="IE31" s="1">
        <v>0.55555555555555558</v>
      </c>
      <c r="IF31" s="450">
        <v>7.1499999999999986</v>
      </c>
      <c r="IG31" s="1">
        <v>0.52941176470588236</v>
      </c>
      <c r="IH31" s="450">
        <v>22.91</v>
      </c>
      <c r="II31" s="1">
        <v>0.83333333333333337</v>
      </c>
      <c r="IJ31" s="450">
        <v>-14.83</v>
      </c>
      <c r="IK31" s="1">
        <v>0.55555555555555558</v>
      </c>
      <c r="IL31" s="450">
        <v>-10.289999999999996</v>
      </c>
      <c r="IM31" s="1">
        <v>0.3888888888888889</v>
      </c>
      <c r="IN31" s="450">
        <v>1.57</v>
      </c>
      <c r="IO31" s="1">
        <v>0.3888888888888889</v>
      </c>
      <c r="IP31" s="450">
        <v>-28.329999999999995</v>
      </c>
      <c r="IQ31" s="1">
        <v>0.27777777777777779</v>
      </c>
      <c r="IR31" s="450">
        <v>-7.1000000000000014</v>
      </c>
      <c r="IS31" s="1">
        <v>0.47058823529411764</v>
      </c>
      <c r="IT31" s="450">
        <v>-17.510000000000002</v>
      </c>
      <c r="IU31" s="1">
        <v>0.33333333333333331</v>
      </c>
      <c r="IV31" s="450">
        <v>7.8399999999999972</v>
      </c>
      <c r="IW31" s="1">
        <v>0.72222222222222221</v>
      </c>
      <c r="IX31" s="450"/>
      <c r="IY31" s="1"/>
      <c r="IZ31" s="450">
        <v>-32.840000000000003</v>
      </c>
      <c r="JA31" s="1">
        <v>0.47058823529411764</v>
      </c>
      <c r="JB31" s="450">
        <v>-7.7400000000000011</v>
      </c>
      <c r="JC31" s="1">
        <v>0.44444444444444442</v>
      </c>
      <c r="JD31" s="450">
        <v>-8.2799999999999994</v>
      </c>
      <c r="JE31" s="1">
        <v>0.55555555555555558</v>
      </c>
      <c r="JF31" s="450">
        <v>27.61</v>
      </c>
      <c r="JG31" s="1">
        <v>0.72222222222222221</v>
      </c>
      <c r="JH31" s="450">
        <v>7.1499999999999968</v>
      </c>
      <c r="JI31" s="1">
        <v>0.55555555555555558</v>
      </c>
      <c r="JJ31" s="450">
        <v>-29.860000000000007</v>
      </c>
      <c r="JK31" s="1">
        <v>0.3888888888888889</v>
      </c>
      <c r="JL31" s="450">
        <v>-19.440000000000001</v>
      </c>
      <c r="JM31" s="1">
        <v>0.5</v>
      </c>
      <c r="JN31" s="450">
        <v>-2.6599999999999997</v>
      </c>
      <c r="JO31" s="1">
        <v>0.55555555555555558</v>
      </c>
      <c r="JP31" s="450">
        <v>-7.7800000000000029</v>
      </c>
      <c r="JQ31" s="1">
        <v>0.5</v>
      </c>
      <c r="JR31" s="450"/>
      <c r="JS31" s="1"/>
      <c r="JT31" s="450"/>
      <c r="JU31" s="1"/>
      <c r="JV31" s="450"/>
      <c r="JW31" s="1"/>
      <c r="JX31" s="450">
        <v>-28.55</v>
      </c>
      <c r="JY31" s="1">
        <v>0.5</v>
      </c>
      <c r="JZ31" s="450">
        <v>7.7600000000000016</v>
      </c>
      <c r="KA31" s="1">
        <v>0.61111111111111116</v>
      </c>
      <c r="KB31" s="450">
        <v>-7.88</v>
      </c>
      <c r="KC31" s="1">
        <v>0.55555555555555558</v>
      </c>
      <c r="KD31" s="450">
        <v>-9.1599999999999948</v>
      </c>
      <c r="KE31" s="1">
        <v>0.55555555555555558</v>
      </c>
      <c r="KF31" s="450">
        <v>-19.720000000000002</v>
      </c>
      <c r="KG31" s="1">
        <v>0.5</v>
      </c>
      <c r="KH31" s="450">
        <v>21.19</v>
      </c>
      <c r="KI31" s="1">
        <v>0.72222222222222221</v>
      </c>
      <c r="KJ31" s="450">
        <v>4.4700000000000015</v>
      </c>
      <c r="KK31" s="1">
        <v>0.55555555555555558</v>
      </c>
      <c r="KL31" s="450">
        <v>-14.049999999999999</v>
      </c>
      <c r="KM31" s="1">
        <v>0.5</v>
      </c>
      <c r="KN31" s="450">
        <v>-10.560000000000004</v>
      </c>
      <c r="KO31" s="1">
        <v>0.44444444444444442</v>
      </c>
      <c r="KP31" s="450"/>
      <c r="KQ31" s="1"/>
      <c r="KR31" s="450">
        <v>-24.019999999999996</v>
      </c>
      <c r="KS31" s="1">
        <v>0.5</v>
      </c>
      <c r="KT31" s="450"/>
      <c r="KU31" s="1"/>
      <c r="KV31" s="450">
        <v>-29.100000000000005</v>
      </c>
      <c r="KW31" s="1">
        <v>0.5</v>
      </c>
      <c r="KX31" s="450">
        <v>-40.52000000000001</v>
      </c>
      <c r="KY31" s="1">
        <v>0.44444444444444442</v>
      </c>
      <c r="KZ31" s="450">
        <v>-5.8400000000000007</v>
      </c>
      <c r="LA31" s="1">
        <v>0.6470588235294118</v>
      </c>
      <c r="LB31" s="450">
        <v>-20.49</v>
      </c>
      <c r="LC31" s="1">
        <v>0.55555555555555558</v>
      </c>
      <c r="LD31" s="450">
        <v>-12.939999999999998</v>
      </c>
      <c r="LE31" s="1">
        <v>0.66666666666666663</v>
      </c>
      <c r="LF31" s="450">
        <v>-23.990000000000002</v>
      </c>
      <c r="LG31" s="1">
        <v>0.55555555555555558</v>
      </c>
      <c r="LH31" s="450">
        <v>1.8999999999999986</v>
      </c>
      <c r="LI31" s="1">
        <v>0.76470588235294112</v>
      </c>
      <c r="LJ31" s="450"/>
      <c r="LK31" s="1"/>
      <c r="LL31" s="450">
        <v>-16.799999999999997</v>
      </c>
      <c r="LM31" s="1">
        <v>0.55555555555555558</v>
      </c>
      <c r="LN31" s="450">
        <v>-22.259999999999998</v>
      </c>
      <c r="LO31" s="1">
        <v>0.55555555555555558</v>
      </c>
      <c r="LP31" s="450">
        <v>-18.700000000000003</v>
      </c>
      <c r="LQ31" s="1">
        <v>0.53333333333333333</v>
      </c>
      <c r="LR31" s="450">
        <v>-7.64</v>
      </c>
      <c r="LS31" s="1">
        <v>0.6875</v>
      </c>
      <c r="LT31" s="450">
        <v>-30.290000000000003</v>
      </c>
      <c r="LU31" s="1">
        <v>0.625</v>
      </c>
      <c r="LV31" s="450">
        <v>3.4000000000000012</v>
      </c>
      <c r="LW31" s="1">
        <v>0.75</v>
      </c>
      <c r="LX31" s="450">
        <v>-29.150000000000013</v>
      </c>
      <c r="LY31" s="1">
        <v>0.5</v>
      </c>
      <c r="LZ31" s="450">
        <v>-11.100000000000001</v>
      </c>
      <c r="MA31" s="1">
        <v>0.6</v>
      </c>
      <c r="MB31" s="450">
        <v>-12.029999999999998</v>
      </c>
      <c r="MC31" s="1">
        <v>0.6470588235294118</v>
      </c>
      <c r="MD31" s="450"/>
      <c r="ME31" s="1"/>
      <c r="MF31" s="450">
        <v>-18.749999999999996</v>
      </c>
      <c r="MG31" s="1">
        <v>0.625</v>
      </c>
      <c r="MH31" s="450">
        <v>-8.3000000000000007</v>
      </c>
      <c r="MI31" s="1">
        <v>0.6875</v>
      </c>
      <c r="MJ31" s="450">
        <v>-24.04</v>
      </c>
      <c r="MK31" s="1">
        <v>0.5625</v>
      </c>
      <c r="ML31" s="450">
        <v>0.98000000000000043</v>
      </c>
      <c r="MM31" s="1">
        <v>0.61111111111111116</v>
      </c>
      <c r="MN31" s="450">
        <v>-19.380000000000006</v>
      </c>
      <c r="MO31" s="1">
        <v>0.61111111111111116</v>
      </c>
      <c r="MP31" s="450">
        <v>-23.249999999999993</v>
      </c>
      <c r="MQ31" s="1">
        <v>0.6470588235294118</v>
      </c>
      <c r="MR31" s="450">
        <v>-25.97</v>
      </c>
      <c r="MS31" s="1">
        <v>0.5</v>
      </c>
      <c r="MT31" s="450">
        <v>-15.749999999999995</v>
      </c>
      <c r="MU31" s="1">
        <v>0.61111111111111116</v>
      </c>
      <c r="MV31" s="450">
        <v>8.7499999999999982</v>
      </c>
      <c r="MW31" s="1">
        <v>0.76470588235294112</v>
      </c>
      <c r="MX31" s="450">
        <v>35.069999999999993</v>
      </c>
      <c r="MY31" s="1">
        <v>0.88235294117647056</v>
      </c>
      <c r="MZ31" s="450">
        <v>-20.38</v>
      </c>
      <c r="NA31" s="1">
        <v>0.6470588235294118</v>
      </c>
      <c r="NB31" s="450">
        <v>-20.409999999999997</v>
      </c>
      <c r="NC31" s="1">
        <v>0.5</v>
      </c>
      <c r="ND31" s="450"/>
      <c r="NE31" s="1"/>
      <c r="NF31" s="450">
        <v>3.2499999999999964</v>
      </c>
      <c r="NG31" s="1">
        <v>0.73684210526315785</v>
      </c>
      <c r="NH31" s="450">
        <v>3.2499999999999964</v>
      </c>
      <c r="NI31" s="1">
        <v>0.73684210526315785</v>
      </c>
      <c r="NJ31" s="450">
        <v>17.129999999999995</v>
      </c>
      <c r="NK31" s="1">
        <v>0.83333333333333337</v>
      </c>
      <c r="NL31" s="450">
        <v>-32.290000000000006</v>
      </c>
      <c r="NM31" s="1">
        <v>0.55555555555555558</v>
      </c>
      <c r="NN31" s="450"/>
      <c r="NO31" s="1"/>
      <c r="NP31" s="450">
        <v>-38.559999999999995</v>
      </c>
      <c r="NQ31" s="1">
        <v>0.22222222222222221</v>
      </c>
      <c r="NR31" s="450">
        <v>-32.5</v>
      </c>
      <c r="NS31" s="1">
        <v>0.375</v>
      </c>
      <c r="NT31" s="450">
        <v>5.3000000000000007</v>
      </c>
      <c r="NU31" s="1">
        <v>0.75</v>
      </c>
      <c r="NV31" s="450">
        <v>-5.4099999999999993</v>
      </c>
      <c r="NW31" s="1">
        <v>0.55555555555555558</v>
      </c>
      <c r="NX31" s="450">
        <v>-18.18</v>
      </c>
      <c r="NY31" s="1">
        <v>0.42857142857142855</v>
      </c>
      <c r="NZ31" s="450">
        <v>4.87</v>
      </c>
      <c r="OA31" s="1">
        <v>0.72222222222222221</v>
      </c>
      <c r="OB31" s="450">
        <v>-31.459999999999994</v>
      </c>
      <c r="OC31" s="1">
        <v>0.16666666666666666</v>
      </c>
      <c r="OD31" s="450">
        <v>21.880000000000003</v>
      </c>
      <c r="OE31" s="1">
        <v>0.72727272727272729</v>
      </c>
      <c r="OF31" s="450">
        <v>2.640000000000001</v>
      </c>
      <c r="OG31" s="1">
        <v>0.72727272727272729</v>
      </c>
      <c r="OH31" s="450">
        <v>-4.1199999999999974</v>
      </c>
      <c r="OI31" s="1">
        <v>0.66666666666666663</v>
      </c>
      <c r="OJ31" s="450"/>
      <c r="OK31" s="1"/>
      <c r="OL31" s="450">
        <v>-12.179999999999996</v>
      </c>
      <c r="OM31" s="1">
        <v>0.61111111111111116</v>
      </c>
      <c r="ON31" s="450">
        <v>-11.659999999999997</v>
      </c>
      <c r="OO31" s="1">
        <v>0.61111111111111116</v>
      </c>
      <c r="OP31" s="450">
        <v>17.010000000000002</v>
      </c>
      <c r="OQ31" s="1">
        <v>0.68421052631578949</v>
      </c>
      <c r="OR31" s="450"/>
      <c r="OS31" s="1"/>
      <c r="OT31" s="450">
        <v>-8.24</v>
      </c>
      <c r="OU31" s="1">
        <v>0.58823529411764708</v>
      </c>
      <c r="OV31" s="450"/>
      <c r="OW31" s="1"/>
      <c r="OX31" s="450">
        <v>4.4499999999999966</v>
      </c>
      <c r="OY31" s="1">
        <v>0.66666666666666663</v>
      </c>
      <c r="OZ31" s="450">
        <v>-0.63999999999999879</v>
      </c>
      <c r="PA31" s="1">
        <v>0.73684210526315785</v>
      </c>
      <c r="PB31" s="450">
        <v>-4.67</v>
      </c>
      <c r="PC31" s="1">
        <v>0.68421052631578949</v>
      </c>
      <c r="PD31" s="450">
        <v>-85.270000000000024</v>
      </c>
      <c r="PE31" s="1">
        <v>0.36842105263157893</v>
      </c>
      <c r="PF31" s="450">
        <v>37.269999999999996</v>
      </c>
      <c r="PG31" s="1">
        <v>0.82352941176470584</v>
      </c>
      <c r="PH31" s="450">
        <v>-8.26</v>
      </c>
      <c r="PI31" s="1">
        <v>0.6470588235294118</v>
      </c>
      <c r="PJ31" s="450"/>
      <c r="PK31" s="1"/>
      <c r="PL31" s="450">
        <v>-5.5699999999999994</v>
      </c>
      <c r="PM31" s="1">
        <v>0.63157894736842102</v>
      </c>
      <c r="PN31" s="450">
        <v>-20.270000000000003</v>
      </c>
      <c r="PO31" s="1">
        <v>0.63157894736842102</v>
      </c>
      <c r="PP31" s="450">
        <v>17.11</v>
      </c>
      <c r="PQ31" s="1">
        <v>0.82352941176470584</v>
      </c>
      <c r="PR31" s="450">
        <v>-7.4200000000000008</v>
      </c>
      <c r="PS31" s="1">
        <v>0.68421052631578949</v>
      </c>
      <c r="PT31" s="450">
        <v>-55.959999999999987</v>
      </c>
      <c r="PU31" s="1">
        <v>0.4</v>
      </c>
      <c r="PV31" s="450">
        <v>-24.5</v>
      </c>
      <c r="PW31" s="1">
        <v>0.61111111111111116</v>
      </c>
      <c r="PX31" s="450">
        <v>-23.34</v>
      </c>
      <c r="PY31" s="1">
        <v>0.63157894736842102</v>
      </c>
      <c r="PZ31" s="450"/>
      <c r="QA31" s="1"/>
      <c r="QB31" s="450">
        <v>-13.280000000000001</v>
      </c>
      <c r="QC31" s="1">
        <v>0.66666666666666663</v>
      </c>
      <c r="QD31" s="450">
        <v>-22.53</v>
      </c>
      <c r="QE31" s="1">
        <v>0.68421052631578949</v>
      </c>
      <c r="QF31" s="450">
        <v>-8.2800000000000029</v>
      </c>
      <c r="QG31" s="1">
        <v>0.72222222222222221</v>
      </c>
      <c r="QH31" s="450">
        <v>-12.55</v>
      </c>
      <c r="QI31" s="1">
        <v>0.66666666666666663</v>
      </c>
      <c r="QJ31" s="450">
        <v>-48.639999999999993</v>
      </c>
      <c r="QK31" s="1">
        <v>0.3888888888888889</v>
      </c>
      <c r="QL31" s="450">
        <v>41.489999999999988</v>
      </c>
      <c r="QM31" s="1">
        <v>0.94736842105263153</v>
      </c>
      <c r="QN31" s="450">
        <v>5.6899999999999977</v>
      </c>
      <c r="QO31" s="1">
        <v>0.61111111111111116</v>
      </c>
      <c r="QP31" s="450">
        <v>0.63000000000000145</v>
      </c>
      <c r="QQ31" s="1">
        <v>0.61111111111111116</v>
      </c>
      <c r="QR31" s="450">
        <v>-41.660000000000004</v>
      </c>
      <c r="QS31" s="1">
        <v>0.52631578947368418</v>
      </c>
      <c r="QT31" s="450">
        <v>-3.35</v>
      </c>
      <c r="QU31" s="1">
        <v>0.70588235294117652</v>
      </c>
      <c r="QV31" s="450">
        <v>3.09</v>
      </c>
      <c r="QW31" s="1">
        <v>0.52631578947368418</v>
      </c>
      <c r="QX31" s="450">
        <v>3.7399999999999989</v>
      </c>
      <c r="QY31" s="1">
        <v>0.44444444444444442</v>
      </c>
      <c r="QZ31" s="450"/>
      <c r="RA31" s="1"/>
      <c r="RB31" s="450">
        <v>-17.72</v>
      </c>
      <c r="RC31" s="1">
        <v>0.5</v>
      </c>
      <c r="RD31" s="450">
        <v>-31.21</v>
      </c>
      <c r="RE31" s="1">
        <v>0.36842105263157893</v>
      </c>
      <c r="RF31" s="450">
        <v>29.86</v>
      </c>
      <c r="RG31" s="1">
        <v>0.83333333333333337</v>
      </c>
      <c r="RH31" s="450">
        <v>-9.0800000000000018</v>
      </c>
      <c r="RI31" s="1">
        <v>0.63157894736842102</v>
      </c>
      <c r="RJ31" s="450">
        <v>3.1500000000000004</v>
      </c>
      <c r="RK31" s="1">
        <v>0.66666666666666663</v>
      </c>
      <c r="RL31" s="450"/>
      <c r="RM31" s="1"/>
      <c r="RN31" s="450">
        <v>-5.8599999999999994</v>
      </c>
      <c r="RO31" s="1">
        <v>0.3888888888888889</v>
      </c>
      <c r="RP31" s="450">
        <v>-2.9200000000000017</v>
      </c>
      <c r="RQ31" s="1">
        <v>0.57894736842105265</v>
      </c>
      <c r="RR31" s="450"/>
      <c r="RS31" s="1"/>
      <c r="RT31" s="450">
        <v>11.730000000000004</v>
      </c>
      <c r="RU31" s="1">
        <v>0.72222222222222221</v>
      </c>
      <c r="RV31" s="450">
        <v>-26.83</v>
      </c>
      <c r="RW31" s="1">
        <v>0.61111111111111116</v>
      </c>
      <c r="RX31" s="450">
        <v>11.920000000000002</v>
      </c>
      <c r="RY31" s="1">
        <v>0.77777777777777779</v>
      </c>
      <c r="RZ31" s="450">
        <v>-38.480000000000004</v>
      </c>
      <c r="SA31" s="1">
        <v>0.47368421052631576</v>
      </c>
      <c r="SB31" s="450">
        <v>-26.200000000000003</v>
      </c>
      <c r="SC31" s="1">
        <v>0.57894736842105265</v>
      </c>
      <c r="SD31" s="450">
        <v>-20.029999999999998</v>
      </c>
      <c r="SE31" s="1">
        <v>0.47368421052631576</v>
      </c>
      <c r="SF31" s="450"/>
      <c r="SG31" s="1"/>
      <c r="SH31" s="450">
        <v>6.5399999999999974</v>
      </c>
      <c r="SI31" s="1">
        <v>0.66666666666666663</v>
      </c>
      <c r="SJ31" s="452">
        <v>-27.719999999999995</v>
      </c>
      <c r="SK31" s="1">
        <v>0.52631578947368418</v>
      </c>
      <c r="SL31" s="457">
        <v>-1.8399999999999985</v>
      </c>
      <c r="SM31" s="1">
        <v>0.52631578947368418</v>
      </c>
      <c r="SN31" s="459">
        <v>13.290000000000004</v>
      </c>
      <c r="SO31" s="1">
        <v>0.72222222222222221</v>
      </c>
      <c r="SP31" s="461">
        <v>-1.849999999999997</v>
      </c>
      <c r="SQ31" s="1">
        <v>0.57894736842105265</v>
      </c>
      <c r="SR31" s="463">
        <v>-11.39</v>
      </c>
      <c r="SS31" s="1">
        <v>0.47058823529411764</v>
      </c>
      <c r="ST31" s="464">
        <v>-8.1300000000000008</v>
      </c>
      <c r="SU31" s="1">
        <v>0.55555555555555558</v>
      </c>
      <c r="SV31" s="466">
        <v>16.040000000000003</v>
      </c>
      <c r="SW31" s="1">
        <v>0.61111111111111116</v>
      </c>
      <c r="SX31" s="467"/>
      <c r="SY31" s="1"/>
      <c r="SZ31" s="469">
        <v>21.410000000000004</v>
      </c>
      <c r="TA31" s="1">
        <v>0.72222222222222221</v>
      </c>
      <c r="TB31" s="471">
        <v>-33.93</v>
      </c>
      <c r="TC31" s="1">
        <v>0.52631578947368418</v>
      </c>
      <c r="TD31" s="472">
        <v>4.1300000000000008</v>
      </c>
      <c r="TE31" s="1">
        <v>0.77777777777777779</v>
      </c>
      <c r="TF31" s="474">
        <v>-2.6000000000000023</v>
      </c>
      <c r="TG31" s="1">
        <v>0.47368421052631576</v>
      </c>
      <c r="TH31" s="488">
        <v>-18.239999999999998</v>
      </c>
      <c r="TI31" s="1">
        <v>0.47368421052631576</v>
      </c>
      <c r="TJ31" s="489">
        <v>-31.13</v>
      </c>
      <c r="TK31" s="1">
        <v>0.47368421052631576</v>
      </c>
      <c r="TL31" s="490">
        <v>-5.5299999999999994</v>
      </c>
      <c r="TM31" s="1">
        <v>0.63157894736842102</v>
      </c>
      <c r="TN31" s="495"/>
      <c r="TO31" s="1"/>
      <c r="TP31" s="500">
        <v>2.42</v>
      </c>
      <c r="TQ31" s="1">
        <v>0.61111111111111116</v>
      </c>
      <c r="TR31" s="511">
        <v>-19.699999999999996</v>
      </c>
      <c r="TS31" s="1">
        <v>0.42105263157894735</v>
      </c>
      <c r="TT31" s="515">
        <v>-11.129999999999999</v>
      </c>
      <c r="TU31" s="1">
        <v>0.52631578947368418</v>
      </c>
      <c r="TV31" s="518">
        <v>-68.40000000000002</v>
      </c>
      <c r="TW31" s="1">
        <v>0.36842105263157893</v>
      </c>
      <c r="TX31" s="521">
        <v>-20.130000000000006</v>
      </c>
      <c r="TY31" s="1">
        <v>0.57894736842105265</v>
      </c>
      <c r="TZ31" s="524">
        <v>-8.08</v>
      </c>
      <c r="UA31" s="1">
        <v>0.61111111111111116</v>
      </c>
      <c r="UB31" s="527">
        <v>-5.6700000000000017</v>
      </c>
      <c r="UC31" s="1">
        <v>0.52631578947368418</v>
      </c>
      <c r="UD31" s="530">
        <v>-56.92</v>
      </c>
      <c r="UE31" s="1">
        <v>0.42105263157894735</v>
      </c>
      <c r="UF31" s="533">
        <v>-40.059999999999995</v>
      </c>
      <c r="UG31" s="1">
        <v>0.52631578947368418</v>
      </c>
      <c r="UH31" s="536">
        <v>-1.100000000000001</v>
      </c>
      <c r="UI31" s="1">
        <v>0.66666666666666663</v>
      </c>
      <c r="UJ31" s="539">
        <v>1.9</v>
      </c>
      <c r="UK31" s="1">
        <v>0.78947368421052633</v>
      </c>
      <c r="UL31" s="540">
        <v>23.5</v>
      </c>
      <c r="UM31" s="1">
        <v>0.84210526315789469</v>
      </c>
      <c r="UN31" s="543">
        <v>-3.5100000000000002</v>
      </c>
      <c r="UO31" s="1">
        <v>0.61111111111111116</v>
      </c>
      <c r="UP31" s="544">
        <v>-2.6800000000000006</v>
      </c>
      <c r="UQ31" s="1">
        <v>0.68421052631578949</v>
      </c>
      <c r="UR31" s="551">
        <v>-9.84</v>
      </c>
      <c r="US31" s="1">
        <v>0.68421052631578949</v>
      </c>
      <c r="UT31" s="551">
        <v>9.6900000000000013</v>
      </c>
      <c r="UU31" s="1">
        <v>0.73684210526315785</v>
      </c>
      <c r="UV31" s="562">
        <v>-2.1099999999999968</v>
      </c>
      <c r="UW31" s="1">
        <v>0.68421052631578949</v>
      </c>
      <c r="UX31" s="566">
        <v>33.92</v>
      </c>
      <c r="UY31" s="1">
        <v>0.84210526315789469</v>
      </c>
      <c r="UZ31" s="568"/>
      <c r="VA31" s="1"/>
      <c r="VB31" s="572">
        <v>-16.019999999999996</v>
      </c>
      <c r="VC31" s="1">
        <v>0.47368421052631576</v>
      </c>
      <c r="VD31" s="576">
        <v>-1.5499999999999996</v>
      </c>
      <c r="VE31" s="1">
        <v>0.57894736842105265</v>
      </c>
      <c r="VF31" s="580">
        <v>11.56</v>
      </c>
      <c r="VG31" s="1">
        <v>0.57894736842105265</v>
      </c>
      <c r="VH31" s="584">
        <v>-14.790000000000001</v>
      </c>
      <c r="VI31" s="1">
        <v>0.5</v>
      </c>
      <c r="VJ31" s="589">
        <v>-7.5900000000000007</v>
      </c>
      <c r="VK31" s="1">
        <v>0.5</v>
      </c>
      <c r="VL31" s="593">
        <v>-22.739999999999995</v>
      </c>
      <c r="VM31" s="1">
        <v>0.57894736842105265</v>
      </c>
      <c r="VN31" s="597">
        <v>-13.510000000000002</v>
      </c>
      <c r="VO31" s="1">
        <v>0.47368421052631576</v>
      </c>
      <c r="VP31" s="601">
        <v>-67.210000000000008</v>
      </c>
      <c r="VQ31" s="1">
        <v>0.15789473684210525</v>
      </c>
      <c r="VR31" s="603"/>
      <c r="VS31" s="1"/>
      <c r="VT31" s="607">
        <v>-11.589999999999996</v>
      </c>
      <c r="VU31" s="1">
        <v>0.47368421052631576</v>
      </c>
      <c r="VV31" s="609">
        <v>4.0400000000000018</v>
      </c>
      <c r="VW31" s="1">
        <v>0.5</v>
      </c>
      <c r="VX31" s="613">
        <v>-30.89</v>
      </c>
      <c r="VY31" s="1">
        <v>0.57894736842105265</v>
      </c>
      <c r="VZ31" s="617">
        <v>-14.55</v>
      </c>
      <c r="WA31" s="1">
        <v>0.36842105263157893</v>
      </c>
      <c r="WB31" s="619">
        <v>-25.34</v>
      </c>
      <c r="WC31" s="1">
        <v>0.57894736842105265</v>
      </c>
      <c r="WD31" s="624">
        <v>-71.270000000000024</v>
      </c>
      <c r="WE31" s="1">
        <v>0.36842105263157893</v>
      </c>
      <c r="WF31" s="626">
        <v>15.379999999999999</v>
      </c>
      <c r="WG31" s="1">
        <v>0.78947368421052633</v>
      </c>
      <c r="WH31" s="630">
        <v>-23.58</v>
      </c>
      <c r="WI31" s="1">
        <v>0.57894736842105265</v>
      </c>
      <c r="WJ31" s="636">
        <v>10.07</v>
      </c>
      <c r="WK31" s="1">
        <v>0.63157894736842102</v>
      </c>
      <c r="WL31" s="638">
        <v>-24.5</v>
      </c>
      <c r="WM31" s="1">
        <v>0.47368421052631576</v>
      </c>
      <c r="WN31" s="642">
        <v>-0.9299999999999996</v>
      </c>
      <c r="WO31" s="1">
        <v>0.47368421052631576</v>
      </c>
      <c r="WP31" s="646">
        <v>1.87</v>
      </c>
      <c r="WQ31" s="1">
        <v>0.57894736842105265</v>
      </c>
      <c r="WR31" s="652">
        <v>-18.670000000000002</v>
      </c>
      <c r="WS31" s="1">
        <v>0.5</v>
      </c>
      <c r="WT31" s="659">
        <v>12.830000000000004</v>
      </c>
      <c r="WU31" s="1">
        <v>0.68421052631578949</v>
      </c>
      <c r="WV31" s="659">
        <v>-3.18</v>
      </c>
      <c r="WW31" s="1">
        <v>0.36842105263157893</v>
      </c>
      <c r="WX31" s="672">
        <v>15.82</v>
      </c>
      <c r="WY31" s="1">
        <v>0.73684210526315785</v>
      </c>
      <c r="WZ31" s="677">
        <v>-69.59</v>
      </c>
      <c r="XA31" s="1">
        <v>0.36842105263157893</v>
      </c>
      <c r="XB31" s="681">
        <v>-20.12</v>
      </c>
      <c r="XC31" s="1">
        <v>0.57894736842105265</v>
      </c>
      <c r="XD31" s="683"/>
      <c r="XE31" s="1"/>
      <c r="XF31" s="687">
        <v>-39.21</v>
      </c>
      <c r="XG31" s="1">
        <v>0.41176470588235292</v>
      </c>
      <c r="XH31" s="689">
        <v>7.8700000000000019</v>
      </c>
      <c r="XI31" s="1">
        <v>0.47368421052631576</v>
      </c>
      <c r="XJ31" s="696">
        <v>-6.16</v>
      </c>
      <c r="XK31" s="1">
        <v>0.68421052631578949</v>
      </c>
      <c r="XL31" s="696">
        <v>3.9500000000000015</v>
      </c>
      <c r="XM31" s="1">
        <v>0.6875</v>
      </c>
      <c r="XN31" s="696">
        <v>-0.58000000000000096</v>
      </c>
      <c r="XO31" s="1">
        <v>0.68421052631578949</v>
      </c>
      <c r="XP31" s="700">
        <v>-15.329999999999998</v>
      </c>
      <c r="XQ31" s="1">
        <v>0.47368421052631576</v>
      </c>
      <c r="XR31" s="705">
        <v>-85.240000000000009</v>
      </c>
      <c r="XS31" s="1">
        <v>0.32432432432432434</v>
      </c>
      <c r="XT31" s="709">
        <v>5.6499999999999986</v>
      </c>
      <c r="XU31" s="1">
        <v>0.57894736842105265</v>
      </c>
      <c r="XV31" s="715">
        <v>18.64</v>
      </c>
      <c r="XW31" s="1">
        <v>0.63157894736842102</v>
      </c>
    </row>
    <row r="32" spans="2:647" x14ac:dyDescent="0.25">
      <c r="B32" s="755"/>
      <c r="C32" s="728"/>
      <c r="D32" s="725" t="s">
        <v>24</v>
      </c>
      <c r="E32" s="725"/>
      <c r="F32" s="449">
        <v>0.5</v>
      </c>
      <c r="G32" s="769"/>
      <c r="H32" s="4"/>
      <c r="I32" s="5"/>
      <c r="J32" s="4"/>
      <c r="K32" s="5"/>
      <c r="L32" s="4"/>
      <c r="M32" s="5"/>
      <c r="N32" s="4"/>
      <c r="O32" s="5"/>
      <c r="P32" s="4"/>
      <c r="Q32" s="5"/>
      <c r="R32" s="4"/>
      <c r="S32" s="5"/>
      <c r="T32" s="4"/>
      <c r="U32" s="5"/>
      <c r="V32" s="4"/>
      <c r="W32" s="5"/>
      <c r="X32" s="4"/>
      <c r="Y32" s="5"/>
      <c r="Z32" s="4"/>
      <c r="AA32" s="5"/>
      <c r="AB32" s="4"/>
      <c r="AC32" s="5"/>
      <c r="AD32" s="4"/>
      <c r="AE32" s="5"/>
      <c r="AF32" s="4"/>
      <c r="AG32" s="5"/>
      <c r="AH32" s="4"/>
      <c r="AI32" s="5"/>
      <c r="AJ32" s="4"/>
      <c r="AK32" s="5"/>
      <c r="AL32" s="4"/>
      <c r="AM32" s="5"/>
      <c r="AN32" s="4"/>
      <c r="AO32" s="5"/>
      <c r="AP32" s="4"/>
      <c r="AQ32" s="5"/>
      <c r="AR32" s="4"/>
      <c r="AS32" s="5"/>
      <c r="AT32" s="4"/>
      <c r="AU32" s="5"/>
      <c r="AV32" s="4"/>
      <c r="AW32" s="5"/>
      <c r="AX32" s="4"/>
      <c r="AY32" s="5"/>
      <c r="AZ32" s="4"/>
      <c r="BA32" s="5"/>
      <c r="BB32" s="4"/>
      <c r="BC32" s="5"/>
      <c r="BD32" s="4"/>
      <c r="BE32" s="5"/>
      <c r="BF32" s="4">
        <v>-9.524285714285714</v>
      </c>
      <c r="BG32" s="5">
        <v>0.3125</v>
      </c>
      <c r="BH32" s="4">
        <v>-11.017142857142858</v>
      </c>
      <c r="BI32" s="5">
        <v>0.33333333333333331</v>
      </c>
      <c r="BJ32" s="4">
        <v>-1.5214285714285718</v>
      </c>
      <c r="BK32" s="5">
        <v>0.5</v>
      </c>
      <c r="BL32" s="4">
        <v>6.1471428571428559</v>
      </c>
      <c r="BM32" s="5">
        <v>0.72222222222222221</v>
      </c>
      <c r="BN32" s="4">
        <v>0.84142857142857164</v>
      </c>
      <c r="BO32" s="5">
        <v>0.47058823529411764</v>
      </c>
      <c r="BP32" s="4">
        <v>-8.8857142857142843</v>
      </c>
      <c r="BQ32" s="5">
        <v>9.0909090909090912E-2</v>
      </c>
      <c r="BR32" s="4">
        <v>-0.21428571428571422</v>
      </c>
      <c r="BS32" s="5">
        <v>0.5</v>
      </c>
      <c r="BT32" s="4">
        <v>-10.25</v>
      </c>
      <c r="BU32" s="5">
        <v>6.6666666666666666E-2</v>
      </c>
      <c r="BV32" s="4">
        <v>-2.1442857142857141</v>
      </c>
      <c r="BW32" s="5">
        <v>0.375</v>
      </c>
      <c r="BX32" s="4">
        <v>-2.3385714285714294</v>
      </c>
      <c r="BY32" s="5">
        <v>0.58333333333333337</v>
      </c>
      <c r="BZ32" s="4"/>
      <c r="CA32" s="5"/>
      <c r="CB32" s="4">
        <v>6.5371428571428565</v>
      </c>
      <c r="CC32" s="5">
        <v>0.76470588235294112</v>
      </c>
      <c r="CD32" s="4">
        <v>4.951428571428572</v>
      </c>
      <c r="CE32" s="5">
        <v>0.75</v>
      </c>
      <c r="CF32" s="4">
        <v>-2.132857142857143</v>
      </c>
      <c r="CG32" s="5">
        <v>0.46666666666666667</v>
      </c>
      <c r="CH32" s="4">
        <v>-4.9242857142857153</v>
      </c>
      <c r="CI32" s="5">
        <v>0.2857142857142857</v>
      </c>
      <c r="CJ32" s="4">
        <v>0.6042857142857142</v>
      </c>
      <c r="CK32" s="5">
        <v>0.5</v>
      </c>
      <c r="CL32" s="4">
        <v>-3.91</v>
      </c>
      <c r="CM32" s="5">
        <v>0.1111111111111111</v>
      </c>
      <c r="CN32" s="4">
        <v>-0.38428571428571429</v>
      </c>
      <c r="CO32" s="5">
        <v>0.6</v>
      </c>
      <c r="CP32" s="4">
        <v>-1.711428571428572</v>
      </c>
      <c r="CQ32" s="5">
        <v>0.6428571428571429</v>
      </c>
      <c r="CR32" s="4">
        <v>2.14</v>
      </c>
      <c r="CS32" s="5">
        <v>1</v>
      </c>
      <c r="CT32" s="4">
        <v>1.4628571428571426</v>
      </c>
      <c r="CU32" s="5">
        <v>0.7142857142857143</v>
      </c>
      <c r="CV32" s="4">
        <v>-7.0857142857142863</v>
      </c>
      <c r="CW32" s="5">
        <v>0.33333333333333331</v>
      </c>
      <c r="CX32" s="4"/>
      <c r="CY32" s="5"/>
      <c r="CZ32" s="4">
        <v>-1.7799999999999998</v>
      </c>
      <c r="DA32" s="5">
        <v>0.58823529411764708</v>
      </c>
      <c r="DB32" s="4">
        <v>-5.3299999999999992</v>
      </c>
      <c r="DC32" s="5">
        <v>0.58333333333333337</v>
      </c>
      <c r="DD32" s="4">
        <v>1.2071428571428569</v>
      </c>
      <c r="DE32" s="5">
        <v>0.66666666666666663</v>
      </c>
      <c r="DF32" s="4">
        <v>-3.9685714285714289</v>
      </c>
      <c r="DG32" s="5">
        <v>0.61538461538461542</v>
      </c>
      <c r="DH32" s="4">
        <v>-10.448571428571428</v>
      </c>
      <c r="DI32" s="5">
        <v>0.5</v>
      </c>
      <c r="DJ32" s="4">
        <v>3.9385714285714295</v>
      </c>
      <c r="DK32" s="5">
        <v>0.72222222222222221</v>
      </c>
      <c r="DL32" s="4">
        <v>1.0357142857142858</v>
      </c>
      <c r="DM32" s="5">
        <v>0.55555555555555558</v>
      </c>
      <c r="DN32" s="4">
        <v>0.33714285714285708</v>
      </c>
      <c r="DO32" s="5">
        <v>0.5</v>
      </c>
      <c r="DP32" s="4"/>
      <c r="DQ32" s="5"/>
      <c r="DR32" s="4"/>
      <c r="DS32" s="5"/>
      <c r="DT32" s="4"/>
      <c r="DU32" s="5"/>
      <c r="DV32" s="4"/>
      <c r="DW32" s="5"/>
      <c r="DX32" s="4">
        <v>2.6842857142857137</v>
      </c>
      <c r="DY32" s="5">
        <v>0.5</v>
      </c>
      <c r="DZ32" s="4">
        <v>-2.1942857142857148</v>
      </c>
      <c r="EA32" s="5">
        <v>0.58823529411764708</v>
      </c>
      <c r="EB32" s="4"/>
      <c r="EC32" s="5"/>
      <c r="ED32" s="4">
        <v>4.8357142857142863</v>
      </c>
      <c r="EE32" s="5">
        <v>0.66666666666666663</v>
      </c>
      <c r="EF32" s="4">
        <v>2.834285714285715</v>
      </c>
      <c r="EG32" s="5">
        <v>1</v>
      </c>
      <c r="EH32" s="4">
        <v>2.13</v>
      </c>
      <c r="EI32" s="5">
        <v>0.7142857142857143</v>
      </c>
      <c r="EJ32" s="4">
        <v>4.2042857142857146</v>
      </c>
      <c r="EK32" s="5">
        <v>1</v>
      </c>
      <c r="EL32" s="4"/>
      <c r="EM32" s="5"/>
      <c r="EN32" s="4">
        <v>6.0014285714285709</v>
      </c>
      <c r="EO32" s="5">
        <v>0.84615384615384615</v>
      </c>
      <c r="EP32" s="4">
        <v>2.1614285714285715</v>
      </c>
      <c r="EQ32" s="5">
        <v>0.63636363636363635</v>
      </c>
      <c r="ER32" s="4">
        <v>-3.4414285714285708</v>
      </c>
      <c r="ES32" s="5">
        <v>0.5</v>
      </c>
      <c r="ET32" s="4">
        <v>6.0014285714285709</v>
      </c>
      <c r="EU32" s="5">
        <v>0.84615384615384615</v>
      </c>
      <c r="EV32" s="4">
        <v>2.1614285714285715</v>
      </c>
      <c r="EW32" s="5">
        <v>0.63636363636363635</v>
      </c>
      <c r="EX32" s="4">
        <v>-3.4414285714285708</v>
      </c>
      <c r="EY32" s="5">
        <v>0.5</v>
      </c>
      <c r="EZ32" s="4"/>
      <c r="FA32" s="5"/>
      <c r="FB32" s="4">
        <v>-3.1500000000000004</v>
      </c>
      <c r="FC32" s="5">
        <v>0.5</v>
      </c>
      <c r="FD32" s="4">
        <v>2.2399999999999989</v>
      </c>
      <c r="FE32" s="5">
        <v>0.63636363636363635</v>
      </c>
      <c r="FF32" s="4">
        <v>-14.090000000000003</v>
      </c>
      <c r="FG32" s="5">
        <v>0.5</v>
      </c>
      <c r="FH32" s="4">
        <v>20.339999999999996</v>
      </c>
      <c r="FI32" s="5">
        <v>0.8125</v>
      </c>
      <c r="FJ32" s="4">
        <v>7.4</v>
      </c>
      <c r="FK32" s="5">
        <v>1</v>
      </c>
      <c r="FL32" s="4">
        <v>6.9399999999999995</v>
      </c>
      <c r="FM32" s="5">
        <v>1</v>
      </c>
      <c r="FN32" s="4">
        <v>-52.099999999999994</v>
      </c>
      <c r="FO32" s="5">
        <v>0.4</v>
      </c>
      <c r="FP32" s="4">
        <v>-10.630000000000003</v>
      </c>
      <c r="FQ32" s="5">
        <v>0.5</v>
      </c>
      <c r="FR32" s="4">
        <v>7.2299999999999986</v>
      </c>
      <c r="FS32" s="5">
        <v>0.5625</v>
      </c>
      <c r="FT32" s="4">
        <v>5.6199999999999992</v>
      </c>
      <c r="FU32" s="5">
        <v>0.7142857142857143</v>
      </c>
      <c r="FV32" s="4">
        <v>14.280000000000001</v>
      </c>
      <c r="FW32" s="5">
        <v>0.8</v>
      </c>
      <c r="FX32" s="4">
        <v>-2.2200000000000002</v>
      </c>
      <c r="FY32" s="5">
        <v>0.4</v>
      </c>
      <c r="FZ32" s="4">
        <v>-0.88000000000000167</v>
      </c>
      <c r="GA32" s="5">
        <v>0.45454545454545453</v>
      </c>
      <c r="GB32" s="4">
        <v>-27.180000000000003</v>
      </c>
      <c r="GC32" s="5">
        <v>0.3</v>
      </c>
      <c r="GD32" s="4">
        <v>4.2899999999999991</v>
      </c>
      <c r="GE32" s="5">
        <v>0.5714285714285714</v>
      </c>
      <c r="GF32" s="4">
        <v>-52.34</v>
      </c>
      <c r="GG32" s="5">
        <v>0.23076923076923078</v>
      </c>
      <c r="GH32" s="4">
        <v>3.95</v>
      </c>
      <c r="GI32" s="5">
        <v>0.5</v>
      </c>
      <c r="GJ32" s="4">
        <v>15.239999999999998</v>
      </c>
      <c r="GK32" s="5">
        <v>0.8</v>
      </c>
      <c r="GL32" s="4">
        <v>-0.61999999999999966</v>
      </c>
      <c r="GM32" s="5">
        <v>0.36363636363636365</v>
      </c>
      <c r="GN32" s="4"/>
      <c r="GO32" s="5"/>
      <c r="GP32" s="4">
        <v>3.3599999999999994</v>
      </c>
      <c r="GQ32" s="5">
        <v>0.72727272727272729</v>
      </c>
      <c r="GR32" s="4">
        <v>-62.67</v>
      </c>
      <c r="GS32" s="5">
        <v>0.27272727272727271</v>
      </c>
      <c r="GT32" s="4">
        <v>-3.990000000000002</v>
      </c>
      <c r="GU32" s="5">
        <v>0.55555555555555558</v>
      </c>
      <c r="GV32" s="4">
        <v>20.420000000000002</v>
      </c>
      <c r="GW32" s="5">
        <v>0.75</v>
      </c>
      <c r="GX32" s="4">
        <v>0.27999999999999892</v>
      </c>
      <c r="GY32" s="5">
        <v>0.5714285714285714</v>
      </c>
      <c r="GZ32" s="4"/>
      <c r="HA32" s="5"/>
      <c r="HB32" s="4">
        <v>-33.419999999999995</v>
      </c>
      <c r="HC32" s="5">
        <v>0.3</v>
      </c>
      <c r="HD32" s="4"/>
      <c r="HE32" s="5"/>
      <c r="HF32" s="4">
        <v>-37.280000000000008</v>
      </c>
      <c r="HG32" s="5">
        <v>0.41666666666666669</v>
      </c>
      <c r="HH32" s="4">
        <v>14.45</v>
      </c>
      <c r="HI32" s="5">
        <v>0.75</v>
      </c>
      <c r="HJ32" s="4">
        <v>22.73</v>
      </c>
      <c r="HK32" s="5">
        <v>0.66666666666666663</v>
      </c>
      <c r="HL32" s="4">
        <v>2.9899999999999998</v>
      </c>
      <c r="HM32" s="5">
        <v>0.5</v>
      </c>
      <c r="HN32" s="4">
        <v>2.9899999999999989</v>
      </c>
      <c r="HO32" s="5">
        <v>0.6</v>
      </c>
      <c r="HP32" s="4">
        <v>-9.07</v>
      </c>
      <c r="HQ32" s="5">
        <v>0.25</v>
      </c>
      <c r="HR32" s="4">
        <v>-10.499999999999998</v>
      </c>
      <c r="HS32" s="5">
        <v>0.3</v>
      </c>
      <c r="HT32" s="4">
        <v>-27.399999999999995</v>
      </c>
      <c r="HU32" s="5">
        <v>0.30769230769230771</v>
      </c>
      <c r="HV32" s="4">
        <v>9.7799999999999994</v>
      </c>
      <c r="HW32" s="5">
        <v>0.7142857142857143</v>
      </c>
      <c r="HX32" s="4"/>
      <c r="HY32" s="5"/>
      <c r="HZ32" s="4">
        <v>-68.790000000000006</v>
      </c>
      <c r="IA32" s="5">
        <v>7.6923076923076927E-2</v>
      </c>
      <c r="IB32" s="4">
        <v>11.200000000000003</v>
      </c>
      <c r="IC32" s="5">
        <v>0.5714285714285714</v>
      </c>
      <c r="ID32" s="4">
        <v>0.63000000000000034</v>
      </c>
      <c r="IE32" s="5">
        <v>0.5625</v>
      </c>
      <c r="IF32" s="4">
        <v>-20.52</v>
      </c>
      <c r="IG32" s="5">
        <v>0.3</v>
      </c>
      <c r="IH32" s="4">
        <v>-3.45</v>
      </c>
      <c r="II32" s="5">
        <v>0.375</v>
      </c>
      <c r="IJ32" s="4">
        <v>-37.570000000000007</v>
      </c>
      <c r="IK32" s="5">
        <v>0.4</v>
      </c>
      <c r="IL32" s="4">
        <v>-14.700000000000001</v>
      </c>
      <c r="IM32" s="5">
        <v>0.42857142857142855</v>
      </c>
      <c r="IN32" s="4">
        <v>3.0799999999999996</v>
      </c>
      <c r="IO32" s="5">
        <v>0.42857142857142855</v>
      </c>
      <c r="IP32" s="4">
        <v>1.8799999999999994</v>
      </c>
      <c r="IQ32" s="5">
        <v>0.6</v>
      </c>
      <c r="IR32" s="4">
        <v>-5.5499999999999989</v>
      </c>
      <c r="IS32" s="5">
        <v>0.5</v>
      </c>
      <c r="IT32" s="4">
        <v>12.25</v>
      </c>
      <c r="IU32" s="5">
        <v>0.8</v>
      </c>
      <c r="IV32" s="4">
        <v>-4.7200000000000006</v>
      </c>
      <c r="IW32" s="5">
        <v>0.5</v>
      </c>
      <c r="IX32" s="4"/>
      <c r="IY32" s="5"/>
      <c r="IZ32" s="4">
        <v>8.9699999999999989</v>
      </c>
      <c r="JA32" s="5">
        <v>0.625</v>
      </c>
      <c r="JB32" s="4">
        <v>30.739999999999995</v>
      </c>
      <c r="JC32" s="5">
        <v>0.84615384615384615</v>
      </c>
      <c r="JD32" s="4">
        <v>3.6</v>
      </c>
      <c r="JE32" s="5">
        <v>1</v>
      </c>
      <c r="JF32" s="4">
        <v>5.92</v>
      </c>
      <c r="JG32" s="5">
        <v>0.66666666666666663</v>
      </c>
      <c r="JH32" s="4">
        <v>4.22</v>
      </c>
      <c r="JI32" s="5">
        <v>0.5</v>
      </c>
      <c r="JJ32" s="4">
        <v>11.17</v>
      </c>
      <c r="JK32" s="5">
        <v>0.66666666666666663</v>
      </c>
      <c r="JL32" s="4">
        <v>-17.100000000000001</v>
      </c>
      <c r="JM32" s="5">
        <v>0.33333333333333331</v>
      </c>
      <c r="JN32" s="4">
        <v>-25.46</v>
      </c>
      <c r="JO32" s="5">
        <v>0.2</v>
      </c>
      <c r="JP32" s="4">
        <v>-13.51</v>
      </c>
      <c r="JQ32" s="5">
        <v>0.22222222222222221</v>
      </c>
      <c r="JR32" s="4"/>
      <c r="JS32" s="5"/>
      <c r="JT32" s="4"/>
      <c r="JU32" s="5"/>
      <c r="JV32" s="4"/>
      <c r="JW32" s="5"/>
      <c r="JX32" s="4">
        <v>10.69</v>
      </c>
      <c r="JY32" s="5">
        <v>1</v>
      </c>
      <c r="JZ32" s="4">
        <v>9.4699999999999989</v>
      </c>
      <c r="KA32" s="5">
        <v>0.7142857142857143</v>
      </c>
      <c r="KB32" s="4">
        <v>4.8899999999999997</v>
      </c>
      <c r="KC32" s="5">
        <v>0.6</v>
      </c>
      <c r="KD32" s="4">
        <v>11.530000000000001</v>
      </c>
      <c r="KE32" s="5">
        <v>0.8571428571428571</v>
      </c>
      <c r="KF32" s="4">
        <v>-5.8000000000000007</v>
      </c>
      <c r="KG32" s="5">
        <v>0.2857142857142857</v>
      </c>
      <c r="KH32" s="4">
        <v>-7.23</v>
      </c>
      <c r="KI32" s="5">
        <v>0.5</v>
      </c>
      <c r="KJ32" s="4">
        <v>-4.96</v>
      </c>
      <c r="KK32" s="5">
        <v>0.375</v>
      </c>
      <c r="KL32" s="4">
        <v>5.7600000000000007</v>
      </c>
      <c r="KM32" s="5">
        <v>0.58333333333333337</v>
      </c>
      <c r="KN32" s="4">
        <v>20.669999999999995</v>
      </c>
      <c r="KO32" s="5">
        <v>0.72727272727272729</v>
      </c>
      <c r="KP32" s="4"/>
      <c r="KQ32" s="5"/>
      <c r="KR32" s="4">
        <v>-6.67</v>
      </c>
      <c r="KS32" s="5">
        <v>0.5</v>
      </c>
      <c r="KT32" s="4"/>
      <c r="KU32" s="5"/>
      <c r="KV32" s="4">
        <v>-30.02000000000001</v>
      </c>
      <c r="KW32" s="5">
        <v>0.5</v>
      </c>
      <c r="KX32" s="4">
        <v>14.19</v>
      </c>
      <c r="KY32" s="5">
        <v>1</v>
      </c>
      <c r="KZ32" s="4">
        <v>3.71</v>
      </c>
      <c r="LA32" s="5">
        <v>1</v>
      </c>
      <c r="LB32" s="4">
        <v>6.2800000000000011</v>
      </c>
      <c r="LC32" s="5">
        <v>0.75</v>
      </c>
      <c r="LD32" s="4">
        <v>-22.45</v>
      </c>
      <c r="LE32" s="5">
        <v>0</v>
      </c>
      <c r="LF32" s="4"/>
      <c r="LG32" s="5"/>
      <c r="LH32" s="4">
        <v>-20.220000000000006</v>
      </c>
      <c r="LI32" s="5">
        <v>0.5</v>
      </c>
      <c r="LJ32" s="4"/>
      <c r="LK32" s="5"/>
      <c r="LL32" s="4">
        <v>-19.030000000000005</v>
      </c>
      <c r="LM32" s="5">
        <v>0.66666666666666663</v>
      </c>
      <c r="LN32" s="4">
        <v>-13.410000000000002</v>
      </c>
      <c r="LO32" s="5">
        <v>0.55555555555555558</v>
      </c>
      <c r="LP32" s="4">
        <v>-28.59</v>
      </c>
      <c r="LQ32" s="5">
        <v>0.2857142857142857</v>
      </c>
      <c r="LR32" s="4">
        <v>12.93</v>
      </c>
      <c r="LS32" s="5">
        <v>0.76923076923076927</v>
      </c>
      <c r="LT32" s="4">
        <v>24.830000000000002</v>
      </c>
      <c r="LU32" s="5">
        <v>0.90909090909090906</v>
      </c>
      <c r="LV32" s="4">
        <v>-11.700000000000001</v>
      </c>
      <c r="LW32" s="5">
        <v>0.25</v>
      </c>
      <c r="LX32" s="4">
        <v>-43.739999999999995</v>
      </c>
      <c r="LY32" s="5">
        <v>0.2857142857142857</v>
      </c>
      <c r="LZ32" s="4">
        <v>-21.090000000000003</v>
      </c>
      <c r="MA32" s="5">
        <v>0.4</v>
      </c>
      <c r="MB32" s="4">
        <v>-11.419999999999998</v>
      </c>
      <c r="MC32" s="5">
        <v>0.5</v>
      </c>
      <c r="MD32" s="4"/>
      <c r="ME32" s="5"/>
      <c r="MF32" s="4">
        <v>7.5600000000000005</v>
      </c>
      <c r="MG32" s="5">
        <v>0.7</v>
      </c>
      <c r="MH32" s="4">
        <v>34.36</v>
      </c>
      <c r="MI32" s="5">
        <v>1</v>
      </c>
      <c r="MJ32" s="4">
        <v>-15.950000000000001</v>
      </c>
      <c r="MK32" s="5">
        <v>0.5</v>
      </c>
      <c r="ML32" s="4">
        <v>15.589999999999996</v>
      </c>
      <c r="MM32" s="5">
        <v>0.83333333333333337</v>
      </c>
      <c r="MN32" s="4">
        <v>-16.959999999999994</v>
      </c>
      <c r="MO32" s="5">
        <v>0.53846153846153844</v>
      </c>
      <c r="MP32" s="4">
        <v>11.899999999999997</v>
      </c>
      <c r="MQ32" s="5">
        <v>0.76923076923076927</v>
      </c>
      <c r="MR32" s="4">
        <v>3.03</v>
      </c>
      <c r="MS32" s="5">
        <v>0.72727272727272729</v>
      </c>
      <c r="MT32" s="4">
        <v>-35.159999999999997</v>
      </c>
      <c r="MU32" s="5">
        <v>0.33333333333333331</v>
      </c>
      <c r="MV32" s="4">
        <v>5.9</v>
      </c>
      <c r="MW32" s="5">
        <v>0.75</v>
      </c>
      <c r="MX32" s="4">
        <v>-6.21</v>
      </c>
      <c r="MY32" s="5">
        <v>0.66666666666666663</v>
      </c>
      <c r="MZ32" s="4">
        <v>-22.55</v>
      </c>
      <c r="NA32" s="5">
        <v>0.54545454545454541</v>
      </c>
      <c r="NB32" s="4">
        <v>-6.13</v>
      </c>
      <c r="NC32" s="5">
        <v>0.5</v>
      </c>
      <c r="ND32" s="4"/>
      <c r="NE32" s="5"/>
      <c r="NF32" s="4">
        <v>-18.62</v>
      </c>
      <c r="NG32" s="5">
        <v>0.55555555555555558</v>
      </c>
      <c r="NH32" s="4">
        <v>-18.62</v>
      </c>
      <c r="NI32" s="5">
        <v>0.55555555555555558</v>
      </c>
      <c r="NJ32" s="4">
        <v>-33.18</v>
      </c>
      <c r="NK32" s="5">
        <v>0.5714285714285714</v>
      </c>
      <c r="NL32" s="4">
        <v>-17.79</v>
      </c>
      <c r="NM32" s="5">
        <v>0.5</v>
      </c>
      <c r="NN32" s="4"/>
      <c r="NO32" s="5"/>
      <c r="NP32" s="4">
        <v>-2.6599999999999984</v>
      </c>
      <c r="NQ32" s="5">
        <v>0.625</v>
      </c>
      <c r="NR32" s="4">
        <v>-33.459999999999994</v>
      </c>
      <c r="NS32" s="5">
        <v>0.46153846153846156</v>
      </c>
      <c r="NT32" s="4">
        <v>-8.7800000000000011</v>
      </c>
      <c r="NU32" s="5">
        <v>0.5</v>
      </c>
      <c r="NV32" s="4">
        <v>-22.130000000000006</v>
      </c>
      <c r="NW32" s="5">
        <v>0.36363636363636365</v>
      </c>
      <c r="NX32" s="4">
        <v>-29.000000000000004</v>
      </c>
      <c r="NY32" s="5">
        <v>0.5</v>
      </c>
      <c r="NZ32" s="4">
        <v>3.7700000000000005</v>
      </c>
      <c r="OA32" s="5">
        <v>0.83333333333333337</v>
      </c>
      <c r="OB32" s="4">
        <v>17.72</v>
      </c>
      <c r="OC32" s="5">
        <v>1</v>
      </c>
      <c r="OD32" s="4">
        <v>5.17</v>
      </c>
      <c r="OE32" s="5">
        <v>0.8</v>
      </c>
      <c r="OF32" s="4">
        <v>-10.54</v>
      </c>
      <c r="OG32" s="5">
        <v>0.6</v>
      </c>
      <c r="OH32" s="4">
        <v>-1.9200000000000008</v>
      </c>
      <c r="OI32" s="5">
        <v>0.5</v>
      </c>
      <c r="OJ32" s="4"/>
      <c r="OK32" s="5"/>
      <c r="OL32" s="4">
        <v>-7.3500000000000014</v>
      </c>
      <c r="OM32" s="5">
        <v>0.61538461538461542</v>
      </c>
      <c r="ON32" s="4">
        <v>-50.730000000000011</v>
      </c>
      <c r="OO32" s="5">
        <v>0.42857142857142855</v>
      </c>
      <c r="OP32" s="4">
        <v>-25.540000000000006</v>
      </c>
      <c r="OQ32" s="5">
        <v>0.5</v>
      </c>
      <c r="OR32" s="4"/>
      <c r="OS32" s="5"/>
      <c r="OT32" s="4">
        <v>-25.78</v>
      </c>
      <c r="OU32" s="5">
        <v>0.5</v>
      </c>
      <c r="OV32" s="4"/>
      <c r="OW32" s="5"/>
      <c r="OX32" s="4">
        <v>14.83</v>
      </c>
      <c r="OY32" s="5">
        <v>0.66666666666666663</v>
      </c>
      <c r="OZ32" s="4">
        <v>-0.39999999999999991</v>
      </c>
      <c r="PA32" s="5">
        <v>0.66666666666666663</v>
      </c>
      <c r="PB32" s="4">
        <v>0.58999999999999986</v>
      </c>
      <c r="PC32" s="5">
        <v>0.7</v>
      </c>
      <c r="PD32" s="4">
        <v>-20.23</v>
      </c>
      <c r="PE32" s="5">
        <v>0.66666666666666663</v>
      </c>
      <c r="PF32" s="4">
        <v>8.76</v>
      </c>
      <c r="PG32" s="5">
        <v>0.61538461538461542</v>
      </c>
      <c r="PH32" s="4">
        <v>14.780000000000001</v>
      </c>
      <c r="PI32" s="5">
        <v>1</v>
      </c>
      <c r="PJ32" s="4"/>
      <c r="PK32" s="5"/>
      <c r="PL32" s="4">
        <v>2.7000000000000011</v>
      </c>
      <c r="PM32" s="5">
        <v>0.75</v>
      </c>
      <c r="PN32" s="4">
        <v>9.0399999999999991</v>
      </c>
      <c r="PO32" s="5">
        <v>0.66666666666666663</v>
      </c>
      <c r="PP32" s="4">
        <v>-8.1900000000000013</v>
      </c>
      <c r="PQ32" s="5">
        <v>0.66666666666666663</v>
      </c>
      <c r="PR32" s="4">
        <v>-49.67</v>
      </c>
      <c r="PS32" s="5">
        <v>0.33333333333333331</v>
      </c>
      <c r="PT32" s="4">
        <v>10.899999999999999</v>
      </c>
      <c r="PU32" s="5">
        <v>1</v>
      </c>
      <c r="PV32" s="4">
        <v>-43.940000000000005</v>
      </c>
      <c r="PW32" s="5">
        <v>0.25</v>
      </c>
      <c r="PX32" s="4">
        <v>-13.290000000000001</v>
      </c>
      <c r="PY32" s="5">
        <v>0.6428571428571429</v>
      </c>
      <c r="PZ32" s="4"/>
      <c r="QA32" s="5"/>
      <c r="QB32" s="4">
        <v>-23.900000000000006</v>
      </c>
      <c r="QC32" s="5">
        <v>0.625</v>
      </c>
      <c r="QD32" s="4">
        <v>-12.440000000000001</v>
      </c>
      <c r="QE32" s="5">
        <v>0.66666666666666663</v>
      </c>
      <c r="QF32" s="4">
        <v>-66.25</v>
      </c>
      <c r="QG32" s="5">
        <v>0.42857142857142855</v>
      </c>
      <c r="QH32" s="4">
        <v>1.8900000000000023</v>
      </c>
      <c r="QI32" s="5">
        <v>0.66666666666666663</v>
      </c>
      <c r="QJ32" s="4">
        <v>18.009999999999998</v>
      </c>
      <c r="QK32" s="5">
        <v>0.7857142857142857</v>
      </c>
      <c r="QL32" s="4">
        <v>29.37</v>
      </c>
      <c r="QM32" s="5">
        <v>0.8</v>
      </c>
      <c r="QN32" s="4">
        <v>-14.329999999999998</v>
      </c>
      <c r="QO32" s="5">
        <v>0.4375</v>
      </c>
      <c r="QP32" s="4">
        <v>38.559999999999995</v>
      </c>
      <c r="QQ32" s="5">
        <v>0.8125</v>
      </c>
      <c r="QR32" s="4">
        <v>-0.20999999999999908</v>
      </c>
      <c r="QS32" s="5">
        <v>0.66666666666666663</v>
      </c>
      <c r="QT32" s="4">
        <v>-13.43</v>
      </c>
      <c r="QU32" s="5">
        <v>0.55555555555555558</v>
      </c>
      <c r="QV32" s="4">
        <v>22.47</v>
      </c>
      <c r="QW32" s="5">
        <v>0.6470588235294118</v>
      </c>
      <c r="QX32" s="4">
        <v>-9.7300000000000022</v>
      </c>
      <c r="QY32" s="5">
        <v>0.35294117647058826</v>
      </c>
      <c r="QZ32" s="4"/>
      <c r="RA32" s="5"/>
      <c r="RB32" s="4">
        <v>5.84</v>
      </c>
      <c r="RC32" s="5">
        <v>0.6470588235294118</v>
      </c>
      <c r="RD32" s="4">
        <v>-31.55</v>
      </c>
      <c r="RE32" s="5">
        <v>0.5</v>
      </c>
      <c r="RF32" s="4">
        <v>11.809999999999999</v>
      </c>
      <c r="RG32" s="5">
        <v>0.83333333333333337</v>
      </c>
      <c r="RH32" s="4">
        <v>-57.95</v>
      </c>
      <c r="RI32" s="5">
        <v>0.375</v>
      </c>
      <c r="RJ32" s="4">
        <v>14.91</v>
      </c>
      <c r="RK32" s="5">
        <v>0.75</v>
      </c>
      <c r="RL32" s="4"/>
      <c r="RM32" s="5"/>
      <c r="RN32" s="4">
        <v>11.209999999999999</v>
      </c>
      <c r="RO32" s="5">
        <v>0.58823529411764708</v>
      </c>
      <c r="RP32" s="4">
        <v>10.910000000000002</v>
      </c>
      <c r="RQ32" s="5">
        <v>0.8</v>
      </c>
      <c r="RR32" s="4"/>
      <c r="RS32" s="5"/>
      <c r="RT32" s="4">
        <v>15.379999999999999</v>
      </c>
      <c r="RU32" s="5">
        <v>0.83333333333333337</v>
      </c>
      <c r="RV32" s="4">
        <v>-54.22</v>
      </c>
      <c r="RW32" s="5">
        <v>0.33333333333333331</v>
      </c>
      <c r="RX32" s="4">
        <v>-27.760000000000009</v>
      </c>
      <c r="RY32" s="5">
        <v>0.5625</v>
      </c>
      <c r="RZ32" s="4">
        <v>-50.960000000000008</v>
      </c>
      <c r="SA32" s="5">
        <v>0.4</v>
      </c>
      <c r="SB32" s="4">
        <v>4.5599999999999969</v>
      </c>
      <c r="SC32" s="5">
        <v>0.7857142857142857</v>
      </c>
      <c r="SD32" s="4">
        <v>6.8200000000000012</v>
      </c>
      <c r="SE32" s="5">
        <v>0.7142857142857143</v>
      </c>
      <c r="SF32" s="4"/>
      <c r="SG32" s="5"/>
      <c r="SH32" s="4">
        <v>-39.83</v>
      </c>
      <c r="SI32" s="5">
        <v>0.14285714285714285</v>
      </c>
      <c r="SJ32" s="4">
        <v>-7.5900000000000016</v>
      </c>
      <c r="SK32" s="5">
        <v>0.625</v>
      </c>
      <c r="SL32" s="4">
        <v>13.17</v>
      </c>
      <c r="SM32" s="5">
        <v>0.66666666666666663</v>
      </c>
      <c r="SN32" s="4">
        <v>4.51</v>
      </c>
      <c r="SO32" s="5">
        <v>0.5714285714285714</v>
      </c>
      <c r="SP32" s="4">
        <v>-21.099999999999998</v>
      </c>
      <c r="SQ32" s="5">
        <v>0.41666666666666669</v>
      </c>
      <c r="SR32" s="4">
        <v>-14.440000000000001</v>
      </c>
      <c r="SS32" s="5">
        <v>0.44444444444444442</v>
      </c>
      <c r="ST32" s="4">
        <v>9.6199999999999974</v>
      </c>
      <c r="SU32" s="5">
        <v>0.61111111111111116</v>
      </c>
      <c r="SV32" s="4">
        <v>-5.9900000000000029</v>
      </c>
      <c r="SW32" s="5">
        <v>0.35714285714285715</v>
      </c>
      <c r="SX32" s="4"/>
      <c r="SY32" s="5"/>
      <c r="SZ32" s="4">
        <v>-41.480000000000004</v>
      </c>
      <c r="TA32" s="5">
        <v>0.41176470588235292</v>
      </c>
      <c r="TB32" s="4">
        <v>-31.74</v>
      </c>
      <c r="TC32" s="5">
        <v>0.14285714285714285</v>
      </c>
      <c r="TD32" s="4">
        <v>-4.1300000000000008</v>
      </c>
      <c r="TE32" s="5">
        <v>0.7</v>
      </c>
      <c r="TF32" s="4">
        <v>0.15000000000000036</v>
      </c>
      <c r="TG32" s="5">
        <v>0.42857142857142855</v>
      </c>
      <c r="TH32" s="4">
        <v>0.37999999999999989</v>
      </c>
      <c r="TI32" s="5">
        <v>0.8</v>
      </c>
      <c r="TJ32" s="4">
        <v>-22.730000000000004</v>
      </c>
      <c r="TK32" s="5">
        <v>0.5</v>
      </c>
      <c r="TL32" s="4">
        <v>-23.54</v>
      </c>
      <c r="TM32" s="5">
        <v>0.5</v>
      </c>
      <c r="TN32" s="4"/>
      <c r="TO32" s="5"/>
      <c r="TP32" s="4">
        <v>-7.860000000000003</v>
      </c>
      <c r="TQ32" s="5">
        <v>0.625</v>
      </c>
      <c r="TR32" s="4">
        <v>-9.48</v>
      </c>
      <c r="TS32" s="5">
        <v>0.5</v>
      </c>
      <c r="TT32" s="4">
        <v>-5.88</v>
      </c>
      <c r="TU32" s="5">
        <v>0.44444444444444442</v>
      </c>
      <c r="TV32" s="4">
        <v>-24.120000000000005</v>
      </c>
      <c r="TW32" s="5">
        <v>0.54545454545454541</v>
      </c>
      <c r="TX32" s="4">
        <v>-59.960000000000008</v>
      </c>
      <c r="TY32" s="5">
        <v>0.375</v>
      </c>
      <c r="TZ32" s="4">
        <v>-37.580000000000005</v>
      </c>
      <c r="UA32" s="5">
        <v>0.42857142857142855</v>
      </c>
      <c r="UB32" s="4">
        <v>-35.130000000000003</v>
      </c>
      <c r="UC32" s="5">
        <v>0.5</v>
      </c>
      <c r="UD32" s="4">
        <v>-8.84</v>
      </c>
      <c r="UE32" s="5">
        <v>0.16666666666666666</v>
      </c>
      <c r="UF32" s="4">
        <v>14.59</v>
      </c>
      <c r="UG32" s="5">
        <v>1</v>
      </c>
      <c r="UH32" s="4">
        <v>17.630000000000003</v>
      </c>
      <c r="UI32" s="5">
        <v>1</v>
      </c>
      <c r="UJ32" s="4">
        <v>-5.68</v>
      </c>
      <c r="UK32" s="5">
        <v>0.7142857142857143</v>
      </c>
      <c r="UL32" s="4">
        <v>-9.2800000000000011</v>
      </c>
      <c r="UM32" s="5">
        <v>0.61111111111111116</v>
      </c>
      <c r="UN32" s="4">
        <v>6.089999999999999</v>
      </c>
      <c r="UO32" s="5">
        <v>0.5714285714285714</v>
      </c>
      <c r="UP32" s="4">
        <v>17.939999999999998</v>
      </c>
      <c r="UQ32" s="5">
        <v>1</v>
      </c>
      <c r="UR32" s="4">
        <v>-26.509999999999998</v>
      </c>
      <c r="US32" s="5">
        <v>0.33333333333333331</v>
      </c>
      <c r="UT32" s="4">
        <v>19.66</v>
      </c>
      <c r="UU32" s="5">
        <v>1</v>
      </c>
      <c r="UV32" s="4">
        <v>-30.640000000000011</v>
      </c>
      <c r="UW32" s="5">
        <v>0.6</v>
      </c>
      <c r="UX32" s="4">
        <v>22.97</v>
      </c>
      <c r="UY32" s="5">
        <v>0.75</v>
      </c>
      <c r="UZ32" s="4"/>
      <c r="VA32" s="5"/>
      <c r="VB32" s="4">
        <v>-41.039999999999992</v>
      </c>
      <c r="VC32" s="5">
        <v>0.4375</v>
      </c>
      <c r="VD32" s="4">
        <v>-13.310000000000004</v>
      </c>
      <c r="VE32" s="5">
        <v>0.52631578947368418</v>
      </c>
      <c r="VF32" s="4">
        <v>10.330000000000002</v>
      </c>
      <c r="VG32" s="5">
        <v>0.7142857142857143</v>
      </c>
      <c r="VH32" s="4">
        <v>17.450000000000003</v>
      </c>
      <c r="VI32" s="5">
        <v>1</v>
      </c>
      <c r="VJ32" s="4">
        <v>-8.5200000000000031</v>
      </c>
      <c r="VK32" s="5">
        <v>0.6</v>
      </c>
      <c r="VL32" s="4">
        <v>-27.11</v>
      </c>
      <c r="VM32" s="5">
        <v>0.16666666666666666</v>
      </c>
      <c r="VN32" s="4">
        <v>18.53</v>
      </c>
      <c r="VO32" s="5">
        <v>0.77777777777777779</v>
      </c>
      <c r="VP32" s="4">
        <v>-38.93</v>
      </c>
      <c r="VQ32" s="5">
        <v>0.5</v>
      </c>
      <c r="VR32" s="4"/>
      <c r="VS32" s="5"/>
      <c r="VT32" s="4">
        <v>-51.21</v>
      </c>
      <c r="VU32" s="5">
        <v>0.25</v>
      </c>
      <c r="VV32" s="4">
        <v>-15.440000000000003</v>
      </c>
      <c r="VW32" s="5">
        <v>0.4</v>
      </c>
      <c r="VX32" s="4">
        <v>-11.28</v>
      </c>
      <c r="VY32" s="5">
        <v>0.55555555555555558</v>
      </c>
      <c r="VZ32" s="4">
        <v>4.7199999999999989</v>
      </c>
      <c r="WA32" s="5">
        <v>0.46666666666666667</v>
      </c>
      <c r="WB32" s="4">
        <v>6.8599999999999994</v>
      </c>
      <c r="WC32" s="5">
        <v>0.75</v>
      </c>
      <c r="WD32" s="4">
        <v>-25.47</v>
      </c>
      <c r="WE32" s="5">
        <v>0.54545454545454541</v>
      </c>
      <c r="WF32" s="4">
        <v>-18.399999999999999</v>
      </c>
      <c r="WG32" s="5">
        <v>0.58333333333333337</v>
      </c>
      <c r="WH32" s="4">
        <v>-30.109999999999992</v>
      </c>
      <c r="WI32" s="5">
        <v>0.6</v>
      </c>
      <c r="WJ32" s="4">
        <v>22.310000000000002</v>
      </c>
      <c r="WK32" s="5">
        <v>0.8</v>
      </c>
      <c r="WL32" s="4">
        <v>8.999999999999897E-2</v>
      </c>
      <c r="WM32" s="5">
        <v>0.66666666666666663</v>
      </c>
      <c r="WN32" s="4">
        <v>17.269999999999996</v>
      </c>
      <c r="WO32" s="5">
        <v>0.76923076923076927</v>
      </c>
      <c r="WP32" s="4">
        <v>10.58</v>
      </c>
      <c r="WQ32" s="5">
        <v>1</v>
      </c>
      <c r="WR32" s="4">
        <v>-43.540000000000006</v>
      </c>
      <c r="WS32" s="5">
        <v>0.4</v>
      </c>
      <c r="WT32" s="4">
        <v>12.67</v>
      </c>
      <c r="WU32" s="5">
        <v>0.7142857142857143</v>
      </c>
      <c r="WV32" s="4">
        <v>1.8699999999999997</v>
      </c>
      <c r="WW32" s="5">
        <v>0.38461538461538464</v>
      </c>
      <c r="WX32" s="4">
        <v>11.680000000000001</v>
      </c>
      <c r="WY32" s="5">
        <v>0.66666666666666663</v>
      </c>
      <c r="WZ32" s="4">
        <v>-70.440000000000012</v>
      </c>
      <c r="XA32" s="5">
        <v>0.125</v>
      </c>
      <c r="XB32" s="4">
        <v>15.12</v>
      </c>
      <c r="XC32" s="5">
        <v>0.75</v>
      </c>
      <c r="XD32" s="4"/>
      <c r="XE32" s="5"/>
      <c r="XF32" s="4">
        <v>-10.650000000000002</v>
      </c>
      <c r="XG32" s="5">
        <v>0.6</v>
      </c>
      <c r="XH32" s="4">
        <v>-6.4099999999999984</v>
      </c>
      <c r="XI32" s="5">
        <v>0.6428571428571429</v>
      </c>
      <c r="XJ32" s="4">
        <v>10.33</v>
      </c>
      <c r="XK32" s="5">
        <v>1</v>
      </c>
      <c r="XL32" s="4">
        <v>-1.6600000000000006</v>
      </c>
      <c r="XM32" s="5">
        <v>0.8</v>
      </c>
      <c r="XN32" s="4">
        <v>-7.4100000000000055</v>
      </c>
      <c r="XO32" s="5">
        <v>0.63636363636363635</v>
      </c>
      <c r="XP32" s="4">
        <v>7.4499999999999993</v>
      </c>
      <c r="XQ32" s="5">
        <v>0.61538461538461542</v>
      </c>
      <c r="XR32" s="4">
        <v>-28.189999999999998</v>
      </c>
      <c r="XS32" s="5">
        <v>0.4</v>
      </c>
      <c r="XT32" s="4">
        <v>15.41</v>
      </c>
      <c r="XU32" s="5">
        <v>0.75</v>
      </c>
      <c r="XV32" s="4">
        <v>-20.640000000000004</v>
      </c>
      <c r="XW32" s="5">
        <v>0.30769230769230771</v>
      </c>
    </row>
    <row r="33" spans="2:647" x14ac:dyDescent="0.25">
      <c r="B33" s="755"/>
      <c r="C33" s="721" t="s">
        <v>10</v>
      </c>
      <c r="D33" s="729" t="s">
        <v>14</v>
      </c>
      <c r="E33" s="729"/>
      <c r="F33" s="448">
        <v>0.1</v>
      </c>
      <c r="G33" s="767" t="s">
        <v>5</v>
      </c>
      <c r="H33" s="450">
        <v>-0.88</v>
      </c>
      <c r="I33" s="1">
        <v>0.58333333333333337</v>
      </c>
      <c r="J33" s="450">
        <v>-1.2899999999999998</v>
      </c>
      <c r="K33" s="1">
        <v>0.33333333333333331</v>
      </c>
      <c r="L33" s="450">
        <v>0.48499999999999999</v>
      </c>
      <c r="M33" s="1">
        <v>0.5</v>
      </c>
      <c r="N33" s="450">
        <v>-1.7</v>
      </c>
      <c r="O33" s="1">
        <v>0.41666666666666669</v>
      </c>
      <c r="P33" s="450">
        <v>-1.3149999999999997</v>
      </c>
      <c r="Q33" s="1">
        <v>0.41666666666666669</v>
      </c>
      <c r="R33" s="450">
        <v>-0.28499999999999981</v>
      </c>
      <c r="S33" s="1">
        <v>0.33333333333333331</v>
      </c>
      <c r="T33" s="450"/>
      <c r="U33" s="1"/>
      <c r="V33" s="450">
        <v>-5.22</v>
      </c>
      <c r="W33" s="1">
        <v>0.27272727272727271</v>
      </c>
      <c r="X33" s="450"/>
      <c r="Y33" s="1"/>
      <c r="Z33" s="450">
        <v>-0.52999999999999992</v>
      </c>
      <c r="AA33" s="1">
        <v>0.63636363636363635</v>
      </c>
      <c r="AB33" s="450">
        <v>4.0549999999999997</v>
      </c>
      <c r="AC33" s="1">
        <v>0.75</v>
      </c>
      <c r="AD33" s="450">
        <v>-8.4349999999999987</v>
      </c>
      <c r="AE33" s="1">
        <v>0.41666666666666669</v>
      </c>
      <c r="AF33" s="450"/>
      <c r="AG33" s="1"/>
      <c r="AH33" s="450">
        <v>-2.29</v>
      </c>
      <c r="AI33" s="1">
        <v>0.41666666666666669</v>
      </c>
      <c r="AJ33" s="450">
        <v>-4.085</v>
      </c>
      <c r="AK33" s="1">
        <v>0.25</v>
      </c>
      <c r="AL33" s="450">
        <v>4.0449999999999999</v>
      </c>
      <c r="AM33" s="1">
        <v>0.66666666666666663</v>
      </c>
      <c r="AN33" s="450">
        <v>-2.8600000000000003</v>
      </c>
      <c r="AO33" s="1">
        <v>0.25</v>
      </c>
      <c r="AP33" s="450">
        <v>-2.6349999999999998</v>
      </c>
      <c r="AQ33" s="1">
        <v>0.16666666666666666</v>
      </c>
      <c r="AR33" s="450">
        <v>-0.94000000000000039</v>
      </c>
      <c r="AS33" s="1">
        <v>0.41666666666666669</v>
      </c>
      <c r="AT33" s="450">
        <v>0.9850000000000001</v>
      </c>
      <c r="AU33" s="1">
        <v>0.41666666666666669</v>
      </c>
      <c r="AV33" s="450">
        <v>-1.0449999999999999</v>
      </c>
      <c r="AW33" s="1">
        <v>0.5</v>
      </c>
      <c r="AX33" s="450">
        <v>1.6199999999999999</v>
      </c>
      <c r="AY33" s="1">
        <v>0.58333333333333337</v>
      </c>
      <c r="AZ33" s="450">
        <v>-0.59000000000000019</v>
      </c>
      <c r="BA33" s="1">
        <v>0.5</v>
      </c>
      <c r="BB33" s="450">
        <v>-3.5550000000000006</v>
      </c>
      <c r="BC33" s="1">
        <v>0.16666666666666666</v>
      </c>
      <c r="BD33" s="450">
        <v>-1.125</v>
      </c>
      <c r="BE33" s="1">
        <v>0.33333333333333331</v>
      </c>
      <c r="BF33" s="450">
        <v>-3.0449999999999999</v>
      </c>
      <c r="BG33" s="1">
        <v>0.27272727272727271</v>
      </c>
      <c r="BH33" s="450">
        <v>2.7</v>
      </c>
      <c r="BI33" s="1">
        <v>0.5</v>
      </c>
      <c r="BJ33" s="450">
        <v>0.48999999999999988</v>
      </c>
      <c r="BK33" s="1">
        <v>0.41666666666666669</v>
      </c>
      <c r="BL33" s="450">
        <v>-3.5649999999999999</v>
      </c>
      <c r="BM33" s="1">
        <v>8.3333333333333329E-2</v>
      </c>
      <c r="BN33" s="450"/>
      <c r="BO33" s="1"/>
      <c r="BP33" s="450">
        <v>2.8300000000000005</v>
      </c>
      <c r="BQ33" s="1">
        <v>0.58333333333333337</v>
      </c>
      <c r="BR33" s="450">
        <v>-0.28999999999999992</v>
      </c>
      <c r="BS33" s="1">
        <v>0.41666666666666669</v>
      </c>
      <c r="BT33" s="450"/>
      <c r="BU33" s="1"/>
      <c r="BV33" s="450">
        <v>5.2349999999999994</v>
      </c>
      <c r="BW33" s="1">
        <v>0.83333333333333337</v>
      </c>
      <c r="BX33" s="450">
        <v>-2.02</v>
      </c>
      <c r="BY33" s="1">
        <v>0.41666666666666669</v>
      </c>
      <c r="BZ33" s="450">
        <v>-0.57499999999999996</v>
      </c>
      <c r="CA33" s="1">
        <v>0.58333333333333337</v>
      </c>
      <c r="CB33" s="450">
        <v>-3.91</v>
      </c>
      <c r="CC33" s="1">
        <v>0.33333333333333331</v>
      </c>
      <c r="CD33" s="450">
        <v>-0.9800000000000002</v>
      </c>
      <c r="CE33" s="1">
        <v>0.5</v>
      </c>
      <c r="CF33" s="450">
        <v>1.7699999999999998</v>
      </c>
      <c r="CG33" s="1">
        <v>0.75</v>
      </c>
      <c r="CH33" s="450"/>
      <c r="CI33" s="1"/>
      <c r="CJ33" s="450">
        <v>0.53500000000000003</v>
      </c>
      <c r="CK33" s="1">
        <v>0.58333333333333337</v>
      </c>
      <c r="CL33" s="450">
        <v>-2.39</v>
      </c>
      <c r="CM33" s="1">
        <v>0.41666666666666669</v>
      </c>
      <c r="CN33" s="450">
        <v>-3.2449999999999997</v>
      </c>
      <c r="CO33" s="1">
        <v>0.25</v>
      </c>
      <c r="CP33" s="450">
        <v>-1.8699999999999999</v>
      </c>
      <c r="CQ33" s="1">
        <v>0.41666666666666669</v>
      </c>
      <c r="CR33" s="450">
        <v>-0.78500000000000003</v>
      </c>
      <c r="CS33" s="1">
        <v>0.45454545454545453</v>
      </c>
      <c r="CT33" s="450">
        <v>4.8449999999999998</v>
      </c>
      <c r="CU33" s="1">
        <v>0.45454545454545453</v>
      </c>
      <c r="CV33" s="450">
        <v>-7.8100000000000005</v>
      </c>
      <c r="CW33" s="1">
        <v>0.16666666666666666</v>
      </c>
      <c r="CX33" s="450">
        <v>-4.51</v>
      </c>
      <c r="CY33" s="1">
        <v>0.41666666666666669</v>
      </c>
      <c r="CZ33" s="450">
        <v>3.2749999999999999</v>
      </c>
      <c r="DA33" s="1">
        <v>0.75</v>
      </c>
      <c r="DB33" s="450">
        <v>-10.360000000000001</v>
      </c>
      <c r="DC33" s="1">
        <v>0.25</v>
      </c>
      <c r="DD33" s="450">
        <v>-7.5</v>
      </c>
      <c r="DE33" s="1">
        <v>8.3333333333333329E-2</v>
      </c>
      <c r="DF33" s="450">
        <v>-0.31500000000000006</v>
      </c>
      <c r="DG33" s="1">
        <v>0.33333333333333331</v>
      </c>
      <c r="DH33" s="450">
        <v>6.1250000000000009</v>
      </c>
      <c r="DI33" s="1">
        <v>0.7</v>
      </c>
      <c r="DJ33" s="450">
        <v>3.5300000000000002</v>
      </c>
      <c r="DK33" s="1">
        <v>0.5</v>
      </c>
      <c r="DL33" s="450">
        <v>8.2449999999999992</v>
      </c>
      <c r="DM33" s="1">
        <v>0.75</v>
      </c>
      <c r="DN33" s="450">
        <v>-2.165</v>
      </c>
      <c r="DO33" s="1">
        <v>0.41666666666666669</v>
      </c>
      <c r="DP33" s="450">
        <v>-2.8849999999999998</v>
      </c>
      <c r="DQ33" s="1">
        <v>0.33333333333333331</v>
      </c>
      <c r="DR33" s="450"/>
      <c r="DS33" s="1"/>
      <c r="DT33" s="450">
        <v>-0.36999999999999988</v>
      </c>
      <c r="DU33" s="1">
        <v>0.25</v>
      </c>
      <c r="DV33" s="450">
        <v>4.4899999999999993</v>
      </c>
      <c r="DW33" s="1">
        <v>0.44444444444444442</v>
      </c>
      <c r="DX33" s="450">
        <v>4.4899999999999993</v>
      </c>
      <c r="DY33" s="1">
        <v>0.44444444444444442</v>
      </c>
      <c r="DZ33" s="450">
        <v>-3.7049999999999992</v>
      </c>
      <c r="EA33" s="1">
        <v>0.27272727272727271</v>
      </c>
      <c r="EB33" s="450">
        <v>0.38500000000000001</v>
      </c>
      <c r="EC33" s="1">
        <v>0.5</v>
      </c>
      <c r="ED33" s="450">
        <v>2.3600000000000003</v>
      </c>
      <c r="EE33" s="1">
        <v>0.58333333333333337</v>
      </c>
      <c r="EF33" s="450">
        <v>-1.1000000000000001</v>
      </c>
      <c r="EG33" s="1">
        <v>0.5</v>
      </c>
      <c r="EH33" s="450">
        <v>-0.51000000000000012</v>
      </c>
      <c r="EI33" s="1">
        <v>0.5</v>
      </c>
      <c r="EJ33" s="450">
        <v>1.2199999999999998</v>
      </c>
      <c r="EK33" s="1">
        <v>0.45454545454545453</v>
      </c>
      <c r="EL33" s="450"/>
      <c r="EM33" s="1"/>
      <c r="EN33" s="450">
        <v>-0.97</v>
      </c>
      <c r="EO33" s="1">
        <v>0.33333333333333331</v>
      </c>
      <c r="EP33" s="450"/>
      <c r="EQ33" s="1"/>
      <c r="ER33" s="450">
        <v>2.0950000000000002</v>
      </c>
      <c r="ES33" s="1">
        <v>0.58333333333333337</v>
      </c>
      <c r="ET33" s="450">
        <v>-2.1450000000000005</v>
      </c>
      <c r="EU33" s="1">
        <v>0.41666666666666669</v>
      </c>
      <c r="EV33" s="450">
        <v>-5.7250000000000005</v>
      </c>
      <c r="EW33" s="1">
        <v>0.16666666666666666</v>
      </c>
      <c r="EX33" s="450">
        <v>0.79500000000000015</v>
      </c>
      <c r="EY33" s="1">
        <v>0.58333333333333337</v>
      </c>
      <c r="EZ33" s="450">
        <v>-2.335</v>
      </c>
      <c r="FA33" s="1">
        <v>0.41666666666666669</v>
      </c>
      <c r="FB33" s="450">
        <v>-2.81</v>
      </c>
      <c r="FC33" s="1">
        <v>0.58333333333333337</v>
      </c>
      <c r="FD33" s="450">
        <v>1.94</v>
      </c>
      <c r="FE33" s="1">
        <v>0.36363636363636365</v>
      </c>
      <c r="FF33" s="450">
        <v>0.47999999999999987</v>
      </c>
      <c r="FG33" s="1">
        <v>0.58333333333333337</v>
      </c>
      <c r="FH33" s="450">
        <v>-1.9900000000000002</v>
      </c>
      <c r="FI33" s="1">
        <v>0.5</v>
      </c>
      <c r="FJ33" s="450">
        <v>-2.4000000000000004</v>
      </c>
      <c r="FK33" s="1">
        <v>0.41666666666666669</v>
      </c>
      <c r="FL33" s="450">
        <v>2.52</v>
      </c>
      <c r="FM33" s="1">
        <v>0.5</v>
      </c>
      <c r="FN33" s="450">
        <v>-5.2599999999999989</v>
      </c>
      <c r="FO33" s="1">
        <v>0.25</v>
      </c>
      <c r="FP33" s="450">
        <v>0.4300000000000001</v>
      </c>
      <c r="FQ33" s="1">
        <v>0.41666666666666669</v>
      </c>
      <c r="FR33" s="450">
        <v>-4.9800000000000004</v>
      </c>
      <c r="FS33" s="1">
        <v>0.16666666666666666</v>
      </c>
      <c r="FT33" s="450">
        <v>0.20999999999999985</v>
      </c>
      <c r="FU33" s="1">
        <v>0.5</v>
      </c>
      <c r="FV33" s="450">
        <v>-3.91</v>
      </c>
      <c r="FW33" s="1">
        <v>0.25</v>
      </c>
      <c r="FX33" s="450">
        <v>-0.6100000000000001</v>
      </c>
      <c r="FY33" s="1">
        <v>0.41666666666666669</v>
      </c>
      <c r="FZ33" s="450">
        <v>-4.7699999999999996</v>
      </c>
      <c r="GA33" s="1">
        <v>0.33333333333333331</v>
      </c>
      <c r="GB33" s="450">
        <v>0.32000000000000006</v>
      </c>
      <c r="GC33" s="1">
        <v>0.58333333333333337</v>
      </c>
      <c r="GD33" s="450">
        <v>-2.2400000000000002</v>
      </c>
      <c r="GE33" s="1">
        <v>0.41666666666666669</v>
      </c>
      <c r="GF33" s="450">
        <v>-4.7299999999999995</v>
      </c>
      <c r="GG33" s="1">
        <v>0.33333333333333331</v>
      </c>
      <c r="GH33" s="450">
        <v>-2.21</v>
      </c>
      <c r="GI33" s="1">
        <v>0.41666666666666669</v>
      </c>
      <c r="GJ33" s="450">
        <v>-2.34</v>
      </c>
      <c r="GK33" s="1">
        <v>0.18181818181818182</v>
      </c>
      <c r="GL33" s="450">
        <v>-4.3600000000000012</v>
      </c>
      <c r="GM33" s="1">
        <v>0.18181818181818182</v>
      </c>
      <c r="GN33" s="450">
        <v>-5.5200000000000005</v>
      </c>
      <c r="GO33" s="1">
        <v>0.16666666666666666</v>
      </c>
      <c r="GP33" s="450">
        <v>-4.4799999999999986</v>
      </c>
      <c r="GQ33" s="1">
        <v>0.25</v>
      </c>
      <c r="GR33" s="450">
        <v>-5.3200000000000012</v>
      </c>
      <c r="GS33" s="1">
        <v>0.41666666666666669</v>
      </c>
      <c r="GT33" s="450">
        <v>-5.26</v>
      </c>
      <c r="GU33" s="1">
        <v>0.16666666666666666</v>
      </c>
      <c r="GV33" s="450">
        <v>1.82</v>
      </c>
      <c r="GW33" s="1">
        <v>0.58333333333333337</v>
      </c>
      <c r="GX33" s="450">
        <v>1.52</v>
      </c>
      <c r="GY33" s="1">
        <v>0.33333333333333331</v>
      </c>
      <c r="GZ33" s="450">
        <v>-1.71</v>
      </c>
      <c r="HA33" s="1">
        <v>0.58333333333333337</v>
      </c>
      <c r="HB33" s="450">
        <v>-0.53999999999999992</v>
      </c>
      <c r="HC33" s="1">
        <v>0.66666666666666663</v>
      </c>
      <c r="HD33" s="450">
        <v>-3.1599999999999993</v>
      </c>
      <c r="HE33" s="1">
        <v>0.5</v>
      </c>
      <c r="HF33" s="450">
        <v>-2.54</v>
      </c>
      <c r="HG33" s="1">
        <v>0.5</v>
      </c>
      <c r="HH33" s="450">
        <v>-2.4299999999999997</v>
      </c>
      <c r="HI33" s="1">
        <v>0.33333333333333331</v>
      </c>
      <c r="HJ33" s="450">
        <v>-0.16999999999999993</v>
      </c>
      <c r="HK33" s="1">
        <v>0.58333333333333337</v>
      </c>
      <c r="HL33" s="450">
        <v>0.5</v>
      </c>
      <c r="HM33" s="1">
        <v>0.75</v>
      </c>
      <c r="HN33" s="450">
        <v>-3.34</v>
      </c>
      <c r="HO33" s="1">
        <v>0.25</v>
      </c>
      <c r="HP33" s="450">
        <v>-7.0000000000000007E-2</v>
      </c>
      <c r="HQ33" s="1">
        <v>0.41666666666666669</v>
      </c>
      <c r="HR33" s="450">
        <v>-2.2799999999999998</v>
      </c>
      <c r="HS33" s="1">
        <v>0.33333333333333331</v>
      </c>
      <c r="HT33" s="450">
        <v>-2.19</v>
      </c>
      <c r="HU33" s="1">
        <v>0.33333333333333331</v>
      </c>
      <c r="HV33" s="450">
        <v>-2.52</v>
      </c>
      <c r="HW33" s="1">
        <v>0.45454545454545453</v>
      </c>
      <c r="HX33" s="450">
        <v>-3.8600000000000003</v>
      </c>
      <c r="HY33" s="1">
        <v>0.33333333333333331</v>
      </c>
      <c r="HZ33" s="450"/>
      <c r="IA33" s="1"/>
      <c r="IB33" s="450">
        <v>-1.9999999999999928E-2</v>
      </c>
      <c r="IC33" s="1">
        <v>0.5</v>
      </c>
      <c r="ID33" s="450">
        <v>-0.36</v>
      </c>
      <c r="IE33" s="1">
        <v>0.45454545454545453</v>
      </c>
      <c r="IF33" s="450">
        <v>-0.89000000000000024</v>
      </c>
      <c r="IG33" s="1">
        <v>0.25</v>
      </c>
      <c r="IH33" s="450">
        <v>0.16999999999999979</v>
      </c>
      <c r="II33" s="1">
        <v>0.45454545454545453</v>
      </c>
      <c r="IJ33" s="450">
        <v>3.6799999999999997</v>
      </c>
      <c r="IK33" s="1">
        <v>0.58333333333333337</v>
      </c>
      <c r="IL33" s="450">
        <v>-1.33</v>
      </c>
      <c r="IM33" s="1">
        <v>0.5</v>
      </c>
      <c r="IN33" s="450">
        <v>1.25</v>
      </c>
      <c r="IO33" s="1">
        <v>0.75</v>
      </c>
      <c r="IP33" s="450">
        <v>-2.99</v>
      </c>
      <c r="IQ33" s="1">
        <v>0.33333333333333331</v>
      </c>
      <c r="IR33" s="450"/>
      <c r="IS33" s="1"/>
      <c r="IT33" s="450"/>
      <c r="IU33" s="1"/>
      <c r="IV33" s="450">
        <v>2.5</v>
      </c>
      <c r="IW33" s="1">
        <v>0.58333333333333337</v>
      </c>
      <c r="IX33" s="450"/>
      <c r="IY33" s="1"/>
      <c r="IZ33" s="450"/>
      <c r="JA33" s="1"/>
      <c r="JB33" s="450"/>
      <c r="JC33" s="1"/>
      <c r="JD33" s="450"/>
      <c r="JE33" s="1"/>
      <c r="JF33" s="450">
        <v>-1.9900000000000002</v>
      </c>
      <c r="JG33" s="1">
        <v>0.41666666666666669</v>
      </c>
      <c r="JH33" s="450">
        <v>-3.2999999999999994</v>
      </c>
      <c r="JI33" s="1">
        <v>0.33333333333333331</v>
      </c>
      <c r="JJ33" s="450">
        <v>-1.99</v>
      </c>
      <c r="JK33" s="1">
        <v>0.5</v>
      </c>
      <c r="JL33" s="450">
        <v>-2.35</v>
      </c>
      <c r="JM33" s="1">
        <v>0.25</v>
      </c>
      <c r="JN33" s="450">
        <v>-0.61000000000000032</v>
      </c>
      <c r="JO33" s="1">
        <v>0.33333333333333331</v>
      </c>
      <c r="JP33" s="450">
        <v>1.5899999999999999</v>
      </c>
      <c r="JQ33" s="1">
        <v>0.75</v>
      </c>
      <c r="JR33" s="450"/>
      <c r="JS33" s="1"/>
      <c r="JT33" s="450"/>
      <c r="JU33" s="1"/>
      <c r="JV33" s="450"/>
      <c r="JW33" s="1"/>
      <c r="JX33" s="450">
        <v>-2.12</v>
      </c>
      <c r="JY33" s="1">
        <v>0.41666666666666669</v>
      </c>
      <c r="JZ33" s="450">
        <v>-1.8599999999999994</v>
      </c>
      <c r="KA33" s="1">
        <v>0.41666666666666669</v>
      </c>
      <c r="KB33" s="450">
        <v>-8.9999999999999858E-2</v>
      </c>
      <c r="KC33" s="1">
        <v>0.5</v>
      </c>
      <c r="KD33" s="450">
        <v>1.9499999999999997</v>
      </c>
      <c r="KE33" s="1">
        <v>0.5</v>
      </c>
      <c r="KF33" s="450">
        <v>-1.7499999999999998</v>
      </c>
      <c r="KG33" s="1">
        <v>0.41666666666666669</v>
      </c>
      <c r="KH33" s="450">
        <v>-2.9499999999999997</v>
      </c>
      <c r="KI33" s="1">
        <v>0.33333333333333331</v>
      </c>
      <c r="KJ33" s="450">
        <v>-0.66000000000000036</v>
      </c>
      <c r="KK33" s="1">
        <v>0.58333333333333337</v>
      </c>
      <c r="KL33" s="450">
        <v>-4.7599999999999989</v>
      </c>
      <c r="KM33" s="1">
        <v>0.25</v>
      </c>
      <c r="KN33" s="450">
        <v>-3.4399999999999995</v>
      </c>
      <c r="KO33" s="1">
        <v>0.33333333333333331</v>
      </c>
      <c r="KP33" s="450">
        <v>-1.0600000000000003</v>
      </c>
      <c r="KQ33" s="1">
        <v>0.33333333333333331</v>
      </c>
      <c r="KR33" s="450">
        <v>-7.6099999999999994</v>
      </c>
      <c r="KS33" s="1">
        <v>0.33333333333333331</v>
      </c>
      <c r="KT33" s="450">
        <v>-2.67</v>
      </c>
      <c r="KU33" s="1">
        <v>0.33333333333333331</v>
      </c>
      <c r="KV33" s="450">
        <v>0.42000000000000048</v>
      </c>
      <c r="KW33" s="1">
        <v>0.58333333333333337</v>
      </c>
      <c r="KX33" s="450">
        <v>-6.080000000000001</v>
      </c>
      <c r="KY33" s="1">
        <v>0.33333333333333331</v>
      </c>
      <c r="KZ33" s="450">
        <v>1.7699999999999996</v>
      </c>
      <c r="LA33" s="1">
        <v>0.5</v>
      </c>
      <c r="LB33" s="450">
        <v>-10.220000000000001</v>
      </c>
      <c r="LC33" s="1">
        <v>8.3333333333333329E-2</v>
      </c>
      <c r="LD33" s="450">
        <v>-0.31999999999999967</v>
      </c>
      <c r="LE33" s="1">
        <v>0.41666666666666669</v>
      </c>
      <c r="LF33" s="450">
        <v>-1.4300000000000002</v>
      </c>
      <c r="LG33" s="1">
        <v>0.18181818181818182</v>
      </c>
      <c r="LH33" s="450">
        <v>1.0699999999999998</v>
      </c>
      <c r="LI33" s="1">
        <v>0.41666666666666669</v>
      </c>
      <c r="LJ33" s="450">
        <v>1.1300000000000003</v>
      </c>
      <c r="LK33" s="1">
        <v>0.41666666666666669</v>
      </c>
      <c r="LL33" s="450"/>
      <c r="LM33" s="1"/>
      <c r="LN33" s="450">
        <v>-5.93</v>
      </c>
      <c r="LO33" s="1">
        <v>0.25</v>
      </c>
      <c r="LP33" s="450">
        <v>-0.86000000000000032</v>
      </c>
      <c r="LQ33" s="1">
        <v>0.41666666666666669</v>
      </c>
      <c r="LR33" s="450">
        <v>9.51</v>
      </c>
      <c r="LS33" s="1">
        <v>0.7</v>
      </c>
      <c r="LT33" s="450">
        <v>10.4</v>
      </c>
      <c r="LU33" s="1">
        <v>0.7</v>
      </c>
      <c r="LV33" s="450">
        <v>-3.8099999999999992</v>
      </c>
      <c r="LW33" s="1">
        <v>0.66666666666666663</v>
      </c>
      <c r="LX33" s="450">
        <v>-5.2899999999999991</v>
      </c>
      <c r="LY33" s="1">
        <v>0.4</v>
      </c>
      <c r="LZ33" s="450">
        <v>-6.2899999999999991</v>
      </c>
      <c r="MA33" s="1">
        <v>0.41666666666666669</v>
      </c>
      <c r="MB33" s="450">
        <v>-22.34</v>
      </c>
      <c r="MC33" s="1">
        <v>8.3333333333333329E-2</v>
      </c>
      <c r="MD33" s="450">
        <v>-23.049999999999997</v>
      </c>
      <c r="ME33" s="1">
        <v>7.6923076923076927E-2</v>
      </c>
      <c r="MF33" s="450">
        <v>-5.07</v>
      </c>
      <c r="MG33" s="1">
        <v>0.54545454545454541</v>
      </c>
      <c r="MH33" s="450">
        <v>-3.2600000000000002</v>
      </c>
      <c r="MI33" s="1">
        <v>0.54545454545454541</v>
      </c>
      <c r="MJ33" s="450">
        <v>-12.45</v>
      </c>
      <c r="MK33" s="1">
        <v>0.16666666666666666</v>
      </c>
      <c r="ML33" s="450">
        <v>8.5300000000000011</v>
      </c>
      <c r="MM33" s="1">
        <v>0.8</v>
      </c>
      <c r="MN33" s="450">
        <v>10.15</v>
      </c>
      <c r="MO33" s="1">
        <v>0.76923076923076927</v>
      </c>
      <c r="MP33" s="450">
        <v>7.06</v>
      </c>
      <c r="MQ33" s="1">
        <v>0.66666666666666663</v>
      </c>
      <c r="MR33" s="450">
        <v>8.1199999999999974</v>
      </c>
      <c r="MS33" s="1">
        <v>0.5</v>
      </c>
      <c r="MT33" s="450">
        <v>-6.1</v>
      </c>
      <c r="MU33" s="1">
        <v>0.45454545454545453</v>
      </c>
      <c r="MV33" s="450">
        <v>8.1500000000000021</v>
      </c>
      <c r="MW33" s="1">
        <v>0.75</v>
      </c>
      <c r="MX33" s="450">
        <v>-11.71</v>
      </c>
      <c r="MY33" s="1">
        <v>0.22222222222222221</v>
      </c>
      <c r="MZ33" s="450">
        <v>-12.61</v>
      </c>
      <c r="NA33" s="1">
        <v>0.16666666666666666</v>
      </c>
      <c r="NB33" s="450">
        <v>-6.2200000000000006</v>
      </c>
      <c r="NC33" s="1">
        <v>0.27272727272727271</v>
      </c>
      <c r="ND33" s="450">
        <v>-12.5</v>
      </c>
      <c r="NE33" s="1">
        <v>0.41666666666666669</v>
      </c>
      <c r="NF33" s="450">
        <v>-9.740000000000002</v>
      </c>
      <c r="NG33" s="1">
        <v>0.16666666666666666</v>
      </c>
      <c r="NH33" s="450">
        <v>-9.740000000000002</v>
      </c>
      <c r="NI33" s="1">
        <v>0.16666666666666666</v>
      </c>
      <c r="NJ33" s="450">
        <v>0.87000000000000011</v>
      </c>
      <c r="NK33" s="1">
        <v>0.41666666666666669</v>
      </c>
      <c r="NL33" s="450"/>
      <c r="NM33" s="1"/>
      <c r="NN33" s="450">
        <v>-2.3000000000000003</v>
      </c>
      <c r="NO33" s="1">
        <v>0.58333333333333337</v>
      </c>
      <c r="NP33" s="450">
        <v>0.64000000000000035</v>
      </c>
      <c r="NQ33" s="1">
        <v>0.375</v>
      </c>
      <c r="NR33" s="450">
        <v>0.67999999999999994</v>
      </c>
      <c r="NS33" s="1">
        <v>0.42857142857142855</v>
      </c>
      <c r="NT33" s="450">
        <v>-10.08</v>
      </c>
      <c r="NU33" s="1">
        <v>0.1111111111111111</v>
      </c>
      <c r="NV33" s="450">
        <v>-6.370000000000001</v>
      </c>
      <c r="NW33" s="1">
        <v>0.3</v>
      </c>
      <c r="NX33" s="450">
        <v>-4.09</v>
      </c>
      <c r="NY33" s="1">
        <v>0.33333333333333331</v>
      </c>
      <c r="NZ33" s="450">
        <v>-0.27999999999999992</v>
      </c>
      <c r="OA33" s="1">
        <v>0.2857142857142857</v>
      </c>
      <c r="OB33" s="450">
        <v>-1.8499999999999999</v>
      </c>
      <c r="OC33" s="1">
        <v>0.125</v>
      </c>
      <c r="OD33" s="450">
        <v>-3.999999999999998E-2</v>
      </c>
      <c r="OE33" s="1">
        <v>0.4</v>
      </c>
      <c r="OF33" s="450">
        <v>2.0600000000000005</v>
      </c>
      <c r="OG33" s="1">
        <v>0.44444444444444442</v>
      </c>
      <c r="OH33" s="450">
        <v>-4.83</v>
      </c>
      <c r="OI33" s="1">
        <v>0.2</v>
      </c>
      <c r="OJ33" s="450">
        <v>-8.129999999999999</v>
      </c>
      <c r="OK33" s="1">
        <v>0.23076923076923078</v>
      </c>
      <c r="OL33" s="450">
        <v>-2.1399999999999997</v>
      </c>
      <c r="OM33" s="1">
        <v>0.25</v>
      </c>
      <c r="ON33" s="450">
        <v>-2.6799999999999997</v>
      </c>
      <c r="OO33" s="1">
        <v>0.5</v>
      </c>
      <c r="OP33" s="450">
        <v>-0.3000000000000001</v>
      </c>
      <c r="OQ33" s="1">
        <v>0.41666666666666669</v>
      </c>
      <c r="OR33" s="450">
        <v>0.57000000000000028</v>
      </c>
      <c r="OS33" s="1">
        <v>0.33333333333333331</v>
      </c>
      <c r="OT33" s="450">
        <v>-2.0000000000000129E-2</v>
      </c>
      <c r="OU33" s="1">
        <v>0.33333333333333331</v>
      </c>
      <c r="OV33" s="450">
        <v>7.1800000000000024</v>
      </c>
      <c r="OW33" s="1">
        <v>0.66666666666666663</v>
      </c>
      <c r="OX33" s="450">
        <v>-4.1500000000000004</v>
      </c>
      <c r="OY33" s="1">
        <v>0.33333333333333331</v>
      </c>
      <c r="OZ33" s="450">
        <v>2.0000000000000004</v>
      </c>
      <c r="PA33" s="1">
        <v>0.66666666666666663</v>
      </c>
      <c r="PB33" s="450">
        <v>-7.02</v>
      </c>
      <c r="PC33" s="1">
        <v>0.33333333333333331</v>
      </c>
      <c r="PD33" s="450">
        <v>-1.88</v>
      </c>
      <c r="PE33" s="1">
        <v>0.41666666666666669</v>
      </c>
      <c r="PF33" s="450">
        <v>2.25</v>
      </c>
      <c r="PG33" s="1">
        <v>0.58333333333333337</v>
      </c>
      <c r="PH33" s="450">
        <v>-2.2299999999999995</v>
      </c>
      <c r="PI33" s="1">
        <v>0.5</v>
      </c>
      <c r="PJ33" s="450">
        <v>5.8599999999999994</v>
      </c>
      <c r="PK33" s="1">
        <v>0.53846153846153844</v>
      </c>
      <c r="PL33" s="450"/>
      <c r="PM33" s="1"/>
      <c r="PN33" s="450"/>
      <c r="PO33" s="1"/>
      <c r="PP33" s="450">
        <v>0.28000000000000069</v>
      </c>
      <c r="PQ33" s="1">
        <v>0.5</v>
      </c>
      <c r="PR33" s="450">
        <v>-0.79999999999999993</v>
      </c>
      <c r="PS33" s="1">
        <v>0.46153846153846156</v>
      </c>
      <c r="PT33" s="450">
        <v>-3.9000000000000004</v>
      </c>
      <c r="PU33" s="1">
        <v>0.25</v>
      </c>
      <c r="PV33" s="450">
        <v>0.17999999999999949</v>
      </c>
      <c r="PW33" s="1">
        <v>0.41666666666666669</v>
      </c>
      <c r="PX33" s="450">
        <v>-7.9799999999999995</v>
      </c>
      <c r="PY33" s="1">
        <v>8.3333333333333329E-2</v>
      </c>
      <c r="PZ33" s="450"/>
      <c r="QA33" s="1"/>
      <c r="QB33" s="450">
        <v>-1.63</v>
      </c>
      <c r="QC33" s="1">
        <v>0.5</v>
      </c>
      <c r="QD33" s="450">
        <v>-0.14000000000000001</v>
      </c>
      <c r="QE33" s="1">
        <v>0.5</v>
      </c>
      <c r="QF33" s="450">
        <v>-2.1199999999999997</v>
      </c>
      <c r="QG33" s="1">
        <v>0.58333333333333337</v>
      </c>
      <c r="QH33" s="450">
        <v>-11.389999999999999</v>
      </c>
      <c r="QI33" s="1">
        <v>0.23076923076923078</v>
      </c>
      <c r="QJ33" s="450">
        <v>-0.45000000000000034</v>
      </c>
      <c r="QK33" s="1">
        <v>0.33333333333333331</v>
      </c>
      <c r="QL33" s="450">
        <v>1.3599999999999999</v>
      </c>
      <c r="QM33" s="1">
        <v>0.53846153846153844</v>
      </c>
      <c r="QN33" s="450">
        <v>1.19</v>
      </c>
      <c r="QO33" s="1">
        <v>0.5</v>
      </c>
      <c r="QP33" s="450">
        <v>0.56999999999999995</v>
      </c>
      <c r="QQ33" s="1">
        <v>0.58333333333333337</v>
      </c>
      <c r="QR33" s="450">
        <v>-1.2699999999999991</v>
      </c>
      <c r="QS33" s="1">
        <v>0.41666666666666669</v>
      </c>
      <c r="QT33" s="450">
        <v>-2.16</v>
      </c>
      <c r="QU33" s="1">
        <v>0.36363636363636365</v>
      </c>
      <c r="QV33" s="450">
        <v>-0.89999999999999991</v>
      </c>
      <c r="QW33" s="1">
        <v>0.58333333333333337</v>
      </c>
      <c r="QX33" s="450">
        <v>-1.7799999999999998</v>
      </c>
      <c r="QY33" s="1">
        <v>0.25</v>
      </c>
      <c r="QZ33" s="450">
        <v>-2.79</v>
      </c>
      <c r="RA33" s="1">
        <v>0.33333333333333331</v>
      </c>
      <c r="RB33" s="450">
        <v>3.0000000000000027E-2</v>
      </c>
      <c r="RC33" s="1">
        <v>0.41666666666666669</v>
      </c>
      <c r="RD33" s="450">
        <v>-2.9199999999999995</v>
      </c>
      <c r="RE33" s="1">
        <v>0.41666666666666669</v>
      </c>
      <c r="RF33" s="450">
        <v>-4.3600000000000003</v>
      </c>
      <c r="RG33" s="1">
        <v>0.25</v>
      </c>
      <c r="RH33" s="450">
        <v>0.12</v>
      </c>
      <c r="RI33" s="1">
        <v>0.5</v>
      </c>
      <c r="RJ33" s="450">
        <v>-1.66</v>
      </c>
      <c r="RK33" s="1">
        <v>0.46153846153846156</v>
      </c>
      <c r="RL33" s="450"/>
      <c r="RM33" s="1"/>
      <c r="RN33" s="450">
        <v>-1.3</v>
      </c>
      <c r="RO33" s="1">
        <v>0.41666666666666669</v>
      </c>
      <c r="RP33" s="450">
        <v>-1.1999999999999995</v>
      </c>
      <c r="RQ33" s="1">
        <v>0.5</v>
      </c>
      <c r="RR33" s="450"/>
      <c r="RS33" s="1"/>
      <c r="RT33" s="450">
        <v>4.33</v>
      </c>
      <c r="RU33" s="1">
        <v>0.91666666666666663</v>
      </c>
      <c r="RV33" s="450">
        <v>4.5</v>
      </c>
      <c r="RW33" s="1">
        <v>0.69230769230769229</v>
      </c>
      <c r="RX33" s="450">
        <v>2.3199999999999998</v>
      </c>
      <c r="RY33" s="1">
        <v>0.5</v>
      </c>
      <c r="RZ33" s="450">
        <v>-5.96</v>
      </c>
      <c r="SA33" s="1">
        <v>0.38461538461538464</v>
      </c>
      <c r="SB33" s="450">
        <v>0.10999999999999988</v>
      </c>
      <c r="SC33" s="1">
        <v>0.45454545454545453</v>
      </c>
      <c r="SD33" s="450">
        <v>-4.0100000000000007</v>
      </c>
      <c r="SE33" s="1">
        <v>0.25</v>
      </c>
      <c r="SF33" s="450">
        <v>-0.15000000000000058</v>
      </c>
      <c r="SG33" s="1">
        <v>0.58333333333333337</v>
      </c>
      <c r="SH33" s="450">
        <v>-1.9899999999999993</v>
      </c>
      <c r="SI33" s="1">
        <v>0.5</v>
      </c>
      <c r="SJ33" s="452">
        <v>-2.56</v>
      </c>
      <c r="SK33" s="1">
        <v>0.25</v>
      </c>
      <c r="SL33" s="457">
        <v>0.7300000000000002</v>
      </c>
      <c r="SM33" s="1">
        <v>0.5</v>
      </c>
      <c r="SN33" s="459">
        <v>-0.34999999999999976</v>
      </c>
      <c r="SO33" s="1">
        <v>0.41666666666666669</v>
      </c>
      <c r="SP33" s="461">
        <v>-1.2799999999999998</v>
      </c>
      <c r="SQ33" s="1">
        <v>0.46153846153846156</v>
      </c>
      <c r="SR33" s="463">
        <v>-2.92</v>
      </c>
      <c r="SS33" s="1">
        <v>0.5</v>
      </c>
      <c r="ST33" s="464">
        <v>-0.1700000000000001</v>
      </c>
      <c r="SU33" s="1">
        <v>0.46153846153846156</v>
      </c>
      <c r="SV33" s="466">
        <v>-2.870000000000001</v>
      </c>
      <c r="SW33" s="1">
        <v>0.33333333333333331</v>
      </c>
      <c r="SX33" s="467">
        <v>-2.8200000000000003</v>
      </c>
      <c r="SY33" s="1">
        <v>0.33333333333333331</v>
      </c>
      <c r="SZ33" s="469">
        <v>-1.9100000000000001</v>
      </c>
      <c r="TA33" s="1">
        <v>0.41666666666666669</v>
      </c>
      <c r="TB33" s="471">
        <v>-0.13999999999999935</v>
      </c>
      <c r="TC33" s="1">
        <v>0.58333333333333337</v>
      </c>
      <c r="TD33" s="472">
        <v>-0.56999999999999995</v>
      </c>
      <c r="TE33" s="1">
        <v>0.41666666666666669</v>
      </c>
      <c r="TF33" s="474">
        <v>-4.24</v>
      </c>
      <c r="TG33" s="1">
        <v>0.25</v>
      </c>
      <c r="TH33" s="488">
        <v>1.7200000000000009</v>
      </c>
      <c r="TI33" s="1">
        <v>0.38461538461538464</v>
      </c>
      <c r="TJ33" s="489">
        <v>-2.4500000000000002</v>
      </c>
      <c r="TK33" s="1">
        <v>0.30769230769230771</v>
      </c>
      <c r="TL33" s="490">
        <v>1.0399999999999998</v>
      </c>
      <c r="TM33" s="1">
        <v>0.61538461538461542</v>
      </c>
      <c r="TN33" s="495">
        <v>-0.53000000000000025</v>
      </c>
      <c r="TO33" s="1">
        <v>0.41666666666666669</v>
      </c>
      <c r="TP33" s="500">
        <v>-1.8100000000000003</v>
      </c>
      <c r="TQ33" s="1">
        <v>0.33333333333333331</v>
      </c>
      <c r="TR33" s="511">
        <v>-8.0000000000000404E-2</v>
      </c>
      <c r="TS33" s="1">
        <v>0.58333333333333337</v>
      </c>
      <c r="TT33" s="515">
        <v>-7.17</v>
      </c>
      <c r="TU33" s="1">
        <v>0.30769230769230771</v>
      </c>
      <c r="TV33" s="518">
        <v>-7.89</v>
      </c>
      <c r="TW33" s="1">
        <v>0.38461538461538464</v>
      </c>
      <c r="TX33" s="521"/>
      <c r="TY33" s="1"/>
      <c r="TZ33" s="524">
        <v>-3.08</v>
      </c>
      <c r="UA33" s="1">
        <v>0.18181818181818182</v>
      </c>
      <c r="UB33" s="527">
        <v>-5.0000000000000017E-2</v>
      </c>
      <c r="UC33" s="1">
        <v>0.46153846153846156</v>
      </c>
      <c r="UD33" s="530">
        <v>-5.6799999999999988</v>
      </c>
      <c r="UE33" s="1">
        <v>0.30769230769230771</v>
      </c>
      <c r="UF33" s="533">
        <v>-2.6700000000000004</v>
      </c>
      <c r="UG33" s="1">
        <v>0.38461538461538464</v>
      </c>
      <c r="UH33" s="536">
        <v>-0.16000000000000003</v>
      </c>
      <c r="UI33" s="1">
        <v>0.53846153846153844</v>
      </c>
      <c r="UJ33" s="539">
        <v>-5.77</v>
      </c>
      <c r="UK33" s="1">
        <v>0.38461538461538464</v>
      </c>
      <c r="UL33" s="540">
        <v>1.08</v>
      </c>
      <c r="UM33" s="1">
        <v>0.53846153846153844</v>
      </c>
      <c r="UN33" s="543">
        <v>-4.1099999999999994</v>
      </c>
      <c r="UO33" s="1">
        <v>0.23076923076923078</v>
      </c>
      <c r="UP33" s="544">
        <v>-6.52</v>
      </c>
      <c r="UQ33" s="1">
        <v>0.15384615384615385</v>
      </c>
      <c r="UR33" s="551">
        <v>-2.5900000000000003</v>
      </c>
      <c r="US33" s="1">
        <v>0.30769230769230771</v>
      </c>
      <c r="UT33" s="551">
        <v>-0.23000000000000009</v>
      </c>
      <c r="UU33" s="1">
        <v>0.38461538461538464</v>
      </c>
      <c r="UV33" s="562">
        <v>-4.2099999999999991</v>
      </c>
      <c r="UW33" s="1">
        <v>0.46153846153846156</v>
      </c>
      <c r="UX33" s="566">
        <v>-3.08</v>
      </c>
      <c r="UY33" s="1">
        <v>0.23076923076923078</v>
      </c>
      <c r="UZ33" s="568">
        <v>0.40999999999999992</v>
      </c>
      <c r="VA33" s="1">
        <v>0.46153846153846156</v>
      </c>
      <c r="VB33" s="572">
        <v>0.1600000000000005</v>
      </c>
      <c r="VC33" s="1">
        <v>0.30769230769230771</v>
      </c>
      <c r="VD33" s="576">
        <v>2.02</v>
      </c>
      <c r="VE33" s="1">
        <v>0.46153846153846156</v>
      </c>
      <c r="VF33" s="580">
        <v>1.07</v>
      </c>
      <c r="VG33" s="1">
        <v>0.38461538461538464</v>
      </c>
      <c r="VH33" s="584">
        <v>-1.5100000000000002</v>
      </c>
      <c r="VI33" s="1">
        <v>0.46153846153846156</v>
      </c>
      <c r="VJ33" s="589">
        <v>0.1499999999999998</v>
      </c>
      <c r="VK33" s="1">
        <v>0.53846153846153844</v>
      </c>
      <c r="VL33" s="593">
        <v>-4.07</v>
      </c>
      <c r="VM33" s="1">
        <v>0.30769230769230771</v>
      </c>
      <c r="VN33" s="597">
        <v>0.89999999999999991</v>
      </c>
      <c r="VO33" s="1">
        <v>0.53846153846153844</v>
      </c>
      <c r="VP33" s="601">
        <v>-6.3</v>
      </c>
      <c r="VQ33" s="1">
        <v>0.23076923076923078</v>
      </c>
      <c r="VR33" s="603">
        <v>-0.27000000000000046</v>
      </c>
      <c r="VS33" s="1">
        <v>0.38461538461538464</v>
      </c>
      <c r="VT33" s="607">
        <v>-6.56</v>
      </c>
      <c r="VU33" s="1">
        <v>0.30769230769230771</v>
      </c>
      <c r="VV33" s="609">
        <v>4.5600000000000005</v>
      </c>
      <c r="VW33" s="1">
        <v>0.61538461538461542</v>
      </c>
      <c r="VX33" s="613">
        <v>1.5899999999999999</v>
      </c>
      <c r="VY33" s="1">
        <v>0.53846153846153844</v>
      </c>
      <c r="VZ33" s="617">
        <v>-2.999999999999986E-2</v>
      </c>
      <c r="WA33" s="1">
        <v>0.46153846153846156</v>
      </c>
      <c r="WB33" s="619"/>
      <c r="WC33" s="1"/>
      <c r="WD33" s="624">
        <v>-0.59999999999999964</v>
      </c>
      <c r="WE33" s="1">
        <v>0.53846153846153844</v>
      </c>
      <c r="WF33" s="626">
        <v>-4.7199999999999989</v>
      </c>
      <c r="WG33" s="1">
        <v>0.41666666666666669</v>
      </c>
      <c r="WH33" s="630">
        <v>-3.2099999999999995</v>
      </c>
      <c r="WI33" s="1">
        <v>0.53846153846153844</v>
      </c>
      <c r="WJ33" s="636">
        <v>-3.03</v>
      </c>
      <c r="WK33" s="1">
        <v>0.30769230769230771</v>
      </c>
      <c r="WL33" s="638">
        <v>0.61999999999999955</v>
      </c>
      <c r="WM33" s="1">
        <v>0.30769230769230771</v>
      </c>
      <c r="WN33" s="642">
        <v>-0.18999999999999989</v>
      </c>
      <c r="WO33" s="1">
        <v>0.38461538461538464</v>
      </c>
      <c r="WP33" s="646">
        <v>-0.1099999999999999</v>
      </c>
      <c r="WQ33" s="1">
        <v>0.41666666666666669</v>
      </c>
      <c r="WR33" s="652">
        <v>-4.68</v>
      </c>
      <c r="WS33" s="1">
        <v>0.30769230769230771</v>
      </c>
      <c r="WT33" s="659">
        <v>-0.13</v>
      </c>
      <c r="WU33" s="1">
        <v>0.53846153846153844</v>
      </c>
      <c r="WV33" s="659">
        <v>1.29</v>
      </c>
      <c r="WW33" s="1">
        <v>0.53846153846153844</v>
      </c>
      <c r="WX33" s="672">
        <v>-1.1300000000000001</v>
      </c>
      <c r="WY33" s="1">
        <v>0.5</v>
      </c>
      <c r="WZ33" s="677"/>
      <c r="XA33" s="1"/>
      <c r="XB33" s="681">
        <v>-2.7699999999999991</v>
      </c>
      <c r="XC33" s="1">
        <v>0.38461538461538464</v>
      </c>
      <c r="XD33" s="683">
        <v>-0.91</v>
      </c>
      <c r="XE33" s="1">
        <v>0.46153846153846156</v>
      </c>
      <c r="XF33" s="687">
        <v>0.12999999999999992</v>
      </c>
      <c r="XG33" s="1">
        <v>0.38461538461538464</v>
      </c>
      <c r="XH33" s="689">
        <v>-0.48000000000000004</v>
      </c>
      <c r="XI33" s="1">
        <v>0.38461538461538464</v>
      </c>
      <c r="XJ33" s="696">
        <v>-7.92</v>
      </c>
      <c r="XK33" s="1">
        <v>0.23076923076923078</v>
      </c>
      <c r="XL33" s="696">
        <v>-0.34999999999999987</v>
      </c>
      <c r="XM33" s="1">
        <v>0.46153846153846156</v>
      </c>
      <c r="XN33" s="696">
        <v>-0.57999999999999963</v>
      </c>
      <c r="XO33" s="1">
        <v>0.5</v>
      </c>
      <c r="XP33" s="700">
        <v>0.66999999999999982</v>
      </c>
      <c r="XQ33" s="1">
        <v>0.46153846153846156</v>
      </c>
      <c r="XR33" s="705">
        <v>-11.49</v>
      </c>
      <c r="XS33" s="1">
        <v>0.26923076923076922</v>
      </c>
      <c r="XT33" s="709">
        <v>-2.2999999999999998</v>
      </c>
      <c r="XU33" s="1">
        <v>0.46153846153846156</v>
      </c>
      <c r="XV33" s="715"/>
      <c r="XW33" s="1"/>
    </row>
    <row r="34" spans="2:647" x14ac:dyDescent="0.25">
      <c r="B34" s="755"/>
      <c r="C34" s="763"/>
      <c r="D34" s="757" t="s">
        <v>15</v>
      </c>
      <c r="E34" s="757"/>
      <c r="F34" s="448">
        <v>0.2</v>
      </c>
      <c r="G34" s="768"/>
      <c r="H34" s="450">
        <v>4.0269999999999992</v>
      </c>
      <c r="I34" s="1">
        <v>0.81818181818181823</v>
      </c>
      <c r="J34" s="450">
        <v>-0.17099999999999982</v>
      </c>
      <c r="K34" s="1">
        <v>0.5</v>
      </c>
      <c r="L34" s="450">
        <v>-4.6769999999999996</v>
      </c>
      <c r="M34" s="1">
        <v>0.2857142857142857</v>
      </c>
      <c r="N34" s="450">
        <v>0.91299999999999992</v>
      </c>
      <c r="O34" s="1">
        <v>0.66666666666666663</v>
      </c>
      <c r="P34" s="450">
        <v>-0.37399999999999994</v>
      </c>
      <c r="Q34" s="1">
        <v>0.4</v>
      </c>
      <c r="R34" s="450">
        <v>0.71299999999999997</v>
      </c>
      <c r="S34" s="1">
        <v>1</v>
      </c>
      <c r="T34" s="450"/>
      <c r="U34" s="1"/>
      <c r="V34" s="450">
        <v>-0.91400000000000003</v>
      </c>
      <c r="W34" s="1">
        <v>0.33333333333333331</v>
      </c>
      <c r="X34" s="450"/>
      <c r="Y34" s="1"/>
      <c r="Z34" s="450">
        <v>1.9799999999999998</v>
      </c>
      <c r="AA34" s="1">
        <v>0.77777777777777779</v>
      </c>
      <c r="AB34" s="450">
        <v>-3.7999999999999902E-2</v>
      </c>
      <c r="AC34" s="1">
        <v>0.33333333333333331</v>
      </c>
      <c r="AD34" s="450">
        <v>2.0289999999999999</v>
      </c>
      <c r="AE34" s="1">
        <v>0.83333333333333337</v>
      </c>
      <c r="AF34" s="450"/>
      <c r="AG34" s="1"/>
      <c r="AH34" s="450">
        <v>0.59899999999999998</v>
      </c>
      <c r="AI34" s="1">
        <v>0.5714285714285714</v>
      </c>
      <c r="AJ34" s="450">
        <v>1.1880000000000002</v>
      </c>
      <c r="AK34" s="1">
        <v>0.6</v>
      </c>
      <c r="AL34" s="450">
        <v>0.23900000000000005</v>
      </c>
      <c r="AM34" s="1">
        <v>0.66666666666666663</v>
      </c>
      <c r="AN34" s="450">
        <v>-1.44</v>
      </c>
      <c r="AO34" s="1">
        <v>0.16666666666666666</v>
      </c>
      <c r="AP34" s="450">
        <v>0.90600000000000003</v>
      </c>
      <c r="AQ34" s="1">
        <v>1</v>
      </c>
      <c r="AR34" s="450">
        <v>-3.2700000000000005</v>
      </c>
      <c r="AS34" s="1">
        <v>0.2</v>
      </c>
      <c r="AT34" s="450">
        <v>-5.8239999999999998</v>
      </c>
      <c r="AU34" s="1">
        <v>0.25</v>
      </c>
      <c r="AV34" s="450">
        <v>-0.35400000000000009</v>
      </c>
      <c r="AW34" s="1">
        <v>0.4</v>
      </c>
      <c r="AX34" s="450">
        <v>3.5509999999999997</v>
      </c>
      <c r="AY34" s="1">
        <v>1</v>
      </c>
      <c r="AZ34" s="450">
        <v>-3.5649999999999999</v>
      </c>
      <c r="BA34" s="1">
        <v>0.33333333333333331</v>
      </c>
      <c r="BB34" s="450">
        <v>-0.501</v>
      </c>
      <c r="BC34" s="1">
        <v>0.33333333333333331</v>
      </c>
      <c r="BD34" s="450">
        <v>1.9681818181818185</v>
      </c>
      <c r="BE34" s="1">
        <v>0.6</v>
      </c>
      <c r="BF34" s="450">
        <v>-2.4545454545454346E-2</v>
      </c>
      <c r="BG34" s="1">
        <v>0.5</v>
      </c>
      <c r="BH34" s="450">
        <v>1.0845454545454545</v>
      </c>
      <c r="BI34" s="1">
        <v>0.625</v>
      </c>
      <c r="BJ34" s="450">
        <v>-4.4336363636363636</v>
      </c>
      <c r="BK34" s="1">
        <v>0.5</v>
      </c>
      <c r="BL34" s="450">
        <v>-0.53909090909090918</v>
      </c>
      <c r="BM34" s="1">
        <v>0.5</v>
      </c>
      <c r="BN34" s="450"/>
      <c r="BO34" s="1"/>
      <c r="BP34" s="450">
        <v>0.78727272727272746</v>
      </c>
      <c r="BQ34" s="1">
        <v>0.66666666666666663</v>
      </c>
      <c r="BR34" s="450">
        <v>-0.74454545454545451</v>
      </c>
      <c r="BS34" s="1">
        <v>0.4</v>
      </c>
      <c r="BT34" s="450"/>
      <c r="BU34" s="1"/>
      <c r="BV34" s="450">
        <v>5.3254545454545452</v>
      </c>
      <c r="BW34" s="1">
        <v>0.88888888888888884</v>
      </c>
      <c r="BX34" s="450">
        <v>-3.6363636363635587E-3</v>
      </c>
      <c r="BY34" s="1">
        <v>0.5714285714285714</v>
      </c>
      <c r="BZ34" s="450">
        <v>-2.5090909090909088</v>
      </c>
      <c r="CA34" s="1">
        <v>0.14285714285714285</v>
      </c>
      <c r="CB34" s="450">
        <v>-0.5181818181818183</v>
      </c>
      <c r="CC34" s="1">
        <v>0.45454545454545453</v>
      </c>
      <c r="CD34" s="450">
        <v>3.5781818181818181</v>
      </c>
      <c r="CE34" s="1">
        <v>1</v>
      </c>
      <c r="CF34" s="450">
        <v>0.8263636363636363</v>
      </c>
      <c r="CG34" s="1">
        <v>1</v>
      </c>
      <c r="CH34" s="450"/>
      <c r="CI34" s="1"/>
      <c r="CJ34" s="450">
        <v>-1.6863636363636365</v>
      </c>
      <c r="CK34" s="1">
        <v>0.4</v>
      </c>
      <c r="CL34" s="450">
        <v>-0.98909090909090935</v>
      </c>
      <c r="CM34" s="1">
        <v>0.625</v>
      </c>
      <c r="CN34" s="450">
        <v>-0.30545454545454548</v>
      </c>
      <c r="CO34" s="1">
        <v>0.5</v>
      </c>
      <c r="CP34" s="450">
        <v>-1.7218181818181819</v>
      </c>
      <c r="CQ34" s="1">
        <v>0.4</v>
      </c>
      <c r="CR34" s="450">
        <v>-1.7863636363636368</v>
      </c>
      <c r="CS34" s="1">
        <v>0.2857142857142857</v>
      </c>
      <c r="CT34" s="450">
        <v>-1.9618181818181819</v>
      </c>
      <c r="CU34" s="1">
        <v>0.4</v>
      </c>
      <c r="CV34" s="450">
        <v>-6.05</v>
      </c>
      <c r="CW34" s="1">
        <v>0.33333333333333331</v>
      </c>
      <c r="CX34" s="450">
        <v>-4.0827272727272721</v>
      </c>
      <c r="CY34" s="1">
        <v>0.45454545454545453</v>
      </c>
      <c r="CZ34" s="450">
        <v>2.0009090909090905</v>
      </c>
      <c r="DA34" s="1">
        <v>0.66666666666666663</v>
      </c>
      <c r="DB34" s="450">
        <v>-3.6336363636363633</v>
      </c>
      <c r="DC34" s="1">
        <v>0.44444444444444442</v>
      </c>
      <c r="DD34" s="450">
        <v>-0.74181818181818182</v>
      </c>
      <c r="DE34" s="1">
        <v>0.66666666666666663</v>
      </c>
      <c r="DF34" s="450">
        <v>-0.45454545454545436</v>
      </c>
      <c r="DG34" s="1">
        <v>0.6</v>
      </c>
      <c r="DH34" s="450">
        <v>-5.3409090909090908</v>
      </c>
      <c r="DI34" s="1">
        <v>0.2</v>
      </c>
      <c r="DJ34" s="450">
        <v>-2.4018181818181819</v>
      </c>
      <c r="DK34" s="1">
        <v>0.5</v>
      </c>
      <c r="DL34" s="450">
        <v>1.9845454545454544</v>
      </c>
      <c r="DM34" s="1">
        <v>0.7142857142857143</v>
      </c>
      <c r="DN34" s="450">
        <v>-1.6309090909090911</v>
      </c>
      <c r="DO34" s="1">
        <v>0.33333333333333331</v>
      </c>
      <c r="DP34" s="450">
        <v>0.64727272727272722</v>
      </c>
      <c r="DQ34" s="1">
        <v>0.75</v>
      </c>
      <c r="DR34" s="450"/>
      <c r="DS34" s="1"/>
      <c r="DT34" s="450">
        <v>-5.9090909090908965E-2</v>
      </c>
      <c r="DU34" s="1">
        <v>0.66666666666666663</v>
      </c>
      <c r="DV34" s="450">
        <v>0.48000000000000009</v>
      </c>
      <c r="DW34" s="1">
        <v>0.5</v>
      </c>
      <c r="DX34" s="450">
        <v>0.48000000000000009</v>
      </c>
      <c r="DY34" s="1">
        <v>0.5</v>
      </c>
      <c r="DZ34" s="450">
        <v>0.80363636363636326</v>
      </c>
      <c r="EA34" s="1">
        <v>0.8</v>
      </c>
      <c r="EB34" s="450">
        <v>0.5099999999999999</v>
      </c>
      <c r="EC34" s="1">
        <v>0.5</v>
      </c>
      <c r="ED34" s="450">
        <v>-0.12454545454545456</v>
      </c>
      <c r="EE34" s="1">
        <v>0.66666666666666663</v>
      </c>
      <c r="EF34" s="450">
        <v>0.94181818181818144</v>
      </c>
      <c r="EG34" s="1">
        <v>0.66666666666666663</v>
      </c>
      <c r="EH34" s="450">
        <v>2.7072727272727275</v>
      </c>
      <c r="EI34" s="1">
        <v>0.8</v>
      </c>
      <c r="EJ34" s="450">
        <v>0.99090909090909107</v>
      </c>
      <c r="EK34" s="1">
        <v>0.66666666666666663</v>
      </c>
      <c r="EL34" s="450"/>
      <c r="EM34" s="1"/>
      <c r="EN34" s="450">
        <v>2.0381818181818181</v>
      </c>
      <c r="EO34" s="1">
        <v>0.83333333333333337</v>
      </c>
      <c r="EP34" s="450"/>
      <c r="EQ34" s="1"/>
      <c r="ER34" s="450">
        <v>-0.40454545454545426</v>
      </c>
      <c r="ES34" s="1">
        <v>0.5</v>
      </c>
      <c r="ET34" s="450">
        <v>8.2727272727272982E-2</v>
      </c>
      <c r="EU34" s="1">
        <v>0.7</v>
      </c>
      <c r="EV34" s="450">
        <v>-2.8036363636363633</v>
      </c>
      <c r="EW34" s="1">
        <v>0.33333333333333331</v>
      </c>
      <c r="EX34" s="450">
        <v>-1.3045454545454545</v>
      </c>
      <c r="EY34" s="1">
        <v>0.2857142857142857</v>
      </c>
      <c r="EZ34" s="450">
        <v>-1.820909090909091</v>
      </c>
      <c r="FA34" s="1">
        <v>0.2</v>
      </c>
      <c r="FB34" s="450">
        <v>1.57</v>
      </c>
      <c r="FC34" s="1">
        <v>0.75</v>
      </c>
      <c r="FD34" s="450">
        <v>6.7899999999999991</v>
      </c>
      <c r="FE34" s="1">
        <v>0.81818181818181823</v>
      </c>
      <c r="FF34" s="450">
        <v>-6.5299999999999994</v>
      </c>
      <c r="FG34" s="1">
        <v>0.42857142857142855</v>
      </c>
      <c r="FH34" s="450">
        <v>-3.83</v>
      </c>
      <c r="FI34" s="1">
        <v>0.25</v>
      </c>
      <c r="FJ34" s="450">
        <v>1.79</v>
      </c>
      <c r="FK34" s="1">
        <v>0.66666666666666663</v>
      </c>
      <c r="FL34" s="450">
        <v>-2.3099999999999996</v>
      </c>
      <c r="FM34" s="1">
        <v>0.5</v>
      </c>
      <c r="FN34" s="450">
        <v>-5.57</v>
      </c>
      <c r="FO34" s="1">
        <v>0.2857142857142857</v>
      </c>
      <c r="FP34" s="450">
        <v>-9.5200000000000014</v>
      </c>
      <c r="FQ34" s="1">
        <v>0.25</v>
      </c>
      <c r="FR34" s="450">
        <v>-0.6499999999999998</v>
      </c>
      <c r="FS34" s="1">
        <v>0.66666666666666663</v>
      </c>
      <c r="FT34" s="450">
        <v>-0.32000000000000028</v>
      </c>
      <c r="FU34" s="1">
        <v>0.6</v>
      </c>
      <c r="FV34" s="450">
        <v>-1.3800000000000003</v>
      </c>
      <c r="FW34" s="1">
        <v>0.4</v>
      </c>
      <c r="FX34" s="450">
        <v>-0.2300000000000002</v>
      </c>
      <c r="FY34" s="1">
        <v>0.5</v>
      </c>
      <c r="FZ34" s="450">
        <v>4.63</v>
      </c>
      <c r="GA34" s="1">
        <v>0.83333333333333337</v>
      </c>
      <c r="GB34" s="450">
        <v>1.92</v>
      </c>
      <c r="GC34" s="1">
        <v>0.8</v>
      </c>
      <c r="GD34" s="450">
        <v>2.0199999999999996</v>
      </c>
      <c r="GE34" s="1">
        <v>0.8</v>
      </c>
      <c r="GF34" s="450">
        <v>-7.09</v>
      </c>
      <c r="GG34" s="1">
        <v>0.16666666666666666</v>
      </c>
      <c r="GH34" s="450">
        <v>-0.27000000000000007</v>
      </c>
      <c r="GI34" s="1">
        <v>0.66666666666666663</v>
      </c>
      <c r="GJ34" s="450">
        <v>-4.45</v>
      </c>
      <c r="GK34" s="1">
        <v>0.5</v>
      </c>
      <c r="GL34" s="450">
        <v>-1.5100000000000002</v>
      </c>
      <c r="GM34" s="1">
        <v>0.42857142857142855</v>
      </c>
      <c r="GN34" s="450">
        <v>-5.73</v>
      </c>
      <c r="GO34" s="1">
        <v>0.2857142857142857</v>
      </c>
      <c r="GP34" s="450">
        <v>-3.87</v>
      </c>
      <c r="GQ34" s="1">
        <v>0.25</v>
      </c>
      <c r="GR34" s="450">
        <v>2.0499999999999998</v>
      </c>
      <c r="GS34" s="1">
        <v>0.7142857142857143</v>
      </c>
      <c r="GT34" s="450">
        <v>-9.9699999999999989</v>
      </c>
      <c r="GU34" s="1">
        <v>0.2</v>
      </c>
      <c r="GV34" s="450">
        <v>0.87000000000000011</v>
      </c>
      <c r="GW34" s="1">
        <v>0.5714285714285714</v>
      </c>
      <c r="GX34" s="450">
        <v>5.74</v>
      </c>
      <c r="GY34" s="1">
        <v>0.8571428571428571</v>
      </c>
      <c r="GZ34" s="450">
        <v>-6.8199999999999994</v>
      </c>
      <c r="HA34" s="1">
        <v>0.16666666666666666</v>
      </c>
      <c r="HB34" s="450">
        <v>2.1599999999999993</v>
      </c>
      <c r="HC34" s="1">
        <v>0.625</v>
      </c>
      <c r="HD34" s="450">
        <v>3.25</v>
      </c>
      <c r="HE34" s="1">
        <v>1</v>
      </c>
      <c r="HF34" s="450">
        <v>-4.8499999999999996</v>
      </c>
      <c r="HG34" s="1">
        <v>0.33333333333333331</v>
      </c>
      <c r="HH34" s="450">
        <v>-1.8000000000000003</v>
      </c>
      <c r="HI34" s="1">
        <v>0.6</v>
      </c>
      <c r="HJ34" s="450">
        <v>-1.2800000000000002</v>
      </c>
      <c r="HK34" s="1">
        <v>0.42857142857142855</v>
      </c>
      <c r="HL34" s="450">
        <v>-1.4400000000000002</v>
      </c>
      <c r="HM34" s="1">
        <v>0.2</v>
      </c>
      <c r="HN34" s="450">
        <v>-2.5899999999999994</v>
      </c>
      <c r="HO34" s="1">
        <v>0.42857142857142855</v>
      </c>
      <c r="HP34" s="450">
        <v>-2.23</v>
      </c>
      <c r="HQ34" s="1">
        <v>0.375</v>
      </c>
      <c r="HR34" s="450">
        <v>-3.73</v>
      </c>
      <c r="HS34" s="1">
        <v>0.2857142857142857</v>
      </c>
      <c r="HT34" s="450">
        <v>-0.67000000000000015</v>
      </c>
      <c r="HU34" s="1">
        <v>0.4</v>
      </c>
      <c r="HV34" s="450">
        <v>-1.5899999999999999</v>
      </c>
      <c r="HW34" s="1">
        <v>0.5</v>
      </c>
      <c r="HX34" s="450">
        <v>-0.36999999999999988</v>
      </c>
      <c r="HY34" s="1">
        <v>0.66666666666666663</v>
      </c>
      <c r="HZ34" s="450"/>
      <c r="IA34" s="1"/>
      <c r="IB34" s="450">
        <v>1.51</v>
      </c>
      <c r="IC34" s="1">
        <v>0.75</v>
      </c>
      <c r="ID34" s="450">
        <v>-4.2600000000000007</v>
      </c>
      <c r="IE34" s="1">
        <v>0.25</v>
      </c>
      <c r="IF34" s="450">
        <v>-5.7700000000000005</v>
      </c>
      <c r="IG34" s="1">
        <v>0.375</v>
      </c>
      <c r="IH34" s="450">
        <v>-0.55000000000000016</v>
      </c>
      <c r="II34" s="1">
        <v>0.5714285714285714</v>
      </c>
      <c r="IJ34" s="450">
        <v>-6.01</v>
      </c>
      <c r="IK34" s="1">
        <v>0</v>
      </c>
      <c r="IL34" s="450">
        <v>0.90999999999999992</v>
      </c>
      <c r="IM34" s="1">
        <v>0.5</v>
      </c>
      <c r="IN34" s="450">
        <v>-2.04</v>
      </c>
      <c r="IO34" s="1">
        <v>0.33333333333333331</v>
      </c>
      <c r="IP34" s="450">
        <v>0.75</v>
      </c>
      <c r="IQ34" s="1">
        <v>1</v>
      </c>
      <c r="IR34" s="450"/>
      <c r="IS34" s="1"/>
      <c r="IT34" s="450"/>
      <c r="IU34" s="1"/>
      <c r="IV34" s="450">
        <v>1.4</v>
      </c>
      <c r="IW34" s="1">
        <v>1</v>
      </c>
      <c r="IX34" s="450"/>
      <c r="IY34" s="1"/>
      <c r="IZ34" s="450"/>
      <c r="JA34" s="1"/>
      <c r="JB34" s="450"/>
      <c r="JC34" s="1"/>
      <c r="JD34" s="450"/>
      <c r="JE34" s="1"/>
      <c r="JF34" s="450">
        <v>0.17999999999999977</v>
      </c>
      <c r="JG34" s="1">
        <v>0.5714285714285714</v>
      </c>
      <c r="JH34" s="450">
        <v>1.71</v>
      </c>
      <c r="JI34" s="1">
        <v>1</v>
      </c>
      <c r="JJ34" s="450">
        <v>1.92</v>
      </c>
      <c r="JK34" s="1">
        <v>0.75</v>
      </c>
      <c r="JL34" s="450">
        <v>-1.67</v>
      </c>
      <c r="JM34" s="1">
        <v>0.25</v>
      </c>
      <c r="JN34" s="450">
        <v>-1.51</v>
      </c>
      <c r="JO34" s="1">
        <v>0</v>
      </c>
      <c r="JP34" s="450">
        <v>0.98999999999999966</v>
      </c>
      <c r="JQ34" s="1">
        <v>0.42857142857142855</v>
      </c>
      <c r="JR34" s="450"/>
      <c r="JS34" s="1"/>
      <c r="JT34" s="450"/>
      <c r="JU34" s="1"/>
      <c r="JV34" s="450"/>
      <c r="JW34" s="1"/>
      <c r="JX34" s="450">
        <v>-1.7999999999999998</v>
      </c>
      <c r="JY34" s="1">
        <v>0.5</v>
      </c>
      <c r="JZ34" s="450">
        <v>2.2799999999999994</v>
      </c>
      <c r="KA34" s="1">
        <v>0.7142857142857143</v>
      </c>
      <c r="KB34" s="450">
        <v>-3.91</v>
      </c>
      <c r="KC34" s="1">
        <v>0.5</v>
      </c>
      <c r="KD34" s="450">
        <v>2.9</v>
      </c>
      <c r="KE34" s="1">
        <v>1</v>
      </c>
      <c r="KF34" s="450">
        <v>0.26</v>
      </c>
      <c r="KG34" s="1">
        <v>0.5</v>
      </c>
      <c r="KH34" s="450">
        <v>0.62</v>
      </c>
      <c r="KI34" s="1">
        <v>0.66666666666666663</v>
      </c>
      <c r="KJ34" s="450">
        <v>-2.75</v>
      </c>
      <c r="KK34" s="1">
        <v>0.33333333333333331</v>
      </c>
      <c r="KL34" s="450">
        <v>-6.0600000000000005</v>
      </c>
      <c r="KM34" s="1">
        <v>0.33333333333333331</v>
      </c>
      <c r="KN34" s="450">
        <v>-2.25</v>
      </c>
      <c r="KO34" s="1">
        <v>0.33333333333333331</v>
      </c>
      <c r="KP34" s="450">
        <v>1.53</v>
      </c>
      <c r="KQ34" s="1">
        <v>1</v>
      </c>
      <c r="KR34" s="450">
        <v>9.9999999999995648E-3</v>
      </c>
      <c r="KS34" s="1">
        <v>0.6</v>
      </c>
      <c r="KT34" s="450">
        <v>0.8499999999999992</v>
      </c>
      <c r="KU34" s="1">
        <v>0.7</v>
      </c>
      <c r="KV34" s="450">
        <v>1.41</v>
      </c>
      <c r="KW34" s="1">
        <v>1</v>
      </c>
      <c r="KX34" s="450">
        <v>-4</v>
      </c>
      <c r="KY34" s="1">
        <v>0.4</v>
      </c>
      <c r="KZ34" s="450">
        <v>2.79</v>
      </c>
      <c r="LA34" s="1">
        <v>1</v>
      </c>
      <c r="LB34" s="450">
        <v>-1.57</v>
      </c>
      <c r="LC34" s="1">
        <v>0.5</v>
      </c>
      <c r="LD34" s="450">
        <v>-0.16999999999999993</v>
      </c>
      <c r="LE34" s="1">
        <v>0.66666666666666663</v>
      </c>
      <c r="LF34" s="450">
        <v>1.21</v>
      </c>
      <c r="LG34" s="1">
        <v>0.7142857142857143</v>
      </c>
      <c r="LH34" s="450">
        <v>-3.11</v>
      </c>
      <c r="LI34" s="1">
        <v>0.5</v>
      </c>
      <c r="LJ34" s="450"/>
      <c r="LK34" s="1"/>
      <c r="LL34" s="450"/>
      <c r="LM34" s="1"/>
      <c r="LN34" s="450">
        <v>0.37999999999999989</v>
      </c>
      <c r="LO34" s="1">
        <v>0.66666666666666663</v>
      </c>
      <c r="LP34" s="450">
        <v>1.3699999999999999</v>
      </c>
      <c r="LQ34" s="1">
        <v>0.75</v>
      </c>
      <c r="LR34" s="450">
        <v>3.0199999999999996</v>
      </c>
      <c r="LS34" s="1">
        <v>0.83333333333333337</v>
      </c>
      <c r="LT34" s="450">
        <v>-7.28</v>
      </c>
      <c r="LU34" s="1">
        <v>0.4</v>
      </c>
      <c r="LV34" s="450">
        <v>-6.589999999999999</v>
      </c>
      <c r="LW34" s="1">
        <v>0.55555555555555558</v>
      </c>
      <c r="LX34" s="450">
        <v>1.64</v>
      </c>
      <c r="LY34" s="1">
        <v>0.66666666666666663</v>
      </c>
      <c r="LZ34" s="450">
        <v>5.6000000000000005</v>
      </c>
      <c r="MA34" s="1">
        <v>0.7142857142857143</v>
      </c>
      <c r="MB34" s="450">
        <v>-2.96</v>
      </c>
      <c r="MC34" s="1">
        <v>0</v>
      </c>
      <c r="MD34" s="450">
        <v>-0.55000000000000004</v>
      </c>
      <c r="ME34" s="1">
        <v>0.66666666666666663</v>
      </c>
      <c r="MF34" s="450">
        <v>0.14999999999999969</v>
      </c>
      <c r="MG34" s="1">
        <v>0.66666666666666663</v>
      </c>
      <c r="MH34" s="450">
        <v>-4.6199999999999992</v>
      </c>
      <c r="MI34" s="1">
        <v>0.33333333333333331</v>
      </c>
      <c r="MJ34" s="450">
        <v>-1.5900000000000003</v>
      </c>
      <c r="MK34" s="1">
        <v>0.5</v>
      </c>
      <c r="ML34" s="450">
        <v>4.37</v>
      </c>
      <c r="MM34" s="1">
        <v>1</v>
      </c>
      <c r="MN34" s="450">
        <v>-9.9999999999999867E-2</v>
      </c>
      <c r="MO34" s="1">
        <v>0.66666666666666663</v>
      </c>
      <c r="MP34" s="450">
        <v>2.91</v>
      </c>
      <c r="MQ34" s="1">
        <v>1</v>
      </c>
      <c r="MR34" s="450">
        <v>0.19999999999999996</v>
      </c>
      <c r="MS34" s="1">
        <v>0.5</v>
      </c>
      <c r="MT34" s="450">
        <v>1.41</v>
      </c>
      <c r="MU34" s="1">
        <v>1</v>
      </c>
      <c r="MV34" s="450">
        <v>1.51</v>
      </c>
      <c r="MW34" s="1">
        <v>0.75</v>
      </c>
      <c r="MX34" s="450">
        <v>-6.08</v>
      </c>
      <c r="MY34" s="1">
        <v>0</v>
      </c>
      <c r="MZ34" s="450">
        <v>-0.14999999999999991</v>
      </c>
      <c r="NA34" s="1">
        <v>0.66666666666666663</v>
      </c>
      <c r="NB34" s="450">
        <v>-3.6900000000000004</v>
      </c>
      <c r="NC34" s="1">
        <v>0.33333333333333331</v>
      </c>
      <c r="ND34" s="450">
        <v>-0.14000000000000012</v>
      </c>
      <c r="NE34" s="1">
        <v>0.66666666666666663</v>
      </c>
      <c r="NF34" s="450">
        <v>-6.12</v>
      </c>
      <c r="NG34" s="1">
        <v>0</v>
      </c>
      <c r="NH34" s="450">
        <v>-6.12</v>
      </c>
      <c r="NI34" s="1">
        <v>0</v>
      </c>
      <c r="NJ34" s="450">
        <v>1.87</v>
      </c>
      <c r="NK34" s="1">
        <v>0.66666666666666663</v>
      </c>
      <c r="NL34" s="450"/>
      <c r="NM34" s="1"/>
      <c r="NN34" s="450">
        <v>1.7999999999999998</v>
      </c>
      <c r="NO34" s="1">
        <v>0.66666666666666663</v>
      </c>
      <c r="NP34" s="450">
        <v>-7.6099999999999994</v>
      </c>
      <c r="NQ34" s="1">
        <v>0.25</v>
      </c>
      <c r="NR34" s="450"/>
      <c r="NS34" s="1"/>
      <c r="NT34" s="450">
        <v>-6.01</v>
      </c>
      <c r="NU34" s="1">
        <v>0</v>
      </c>
      <c r="NV34" s="450">
        <v>2.82</v>
      </c>
      <c r="NW34" s="1">
        <v>1</v>
      </c>
      <c r="NX34" s="450">
        <v>1.48</v>
      </c>
      <c r="NY34" s="1">
        <v>1</v>
      </c>
      <c r="NZ34" s="450"/>
      <c r="OA34" s="1"/>
      <c r="OB34" s="450">
        <v>3.5500000000000003</v>
      </c>
      <c r="OC34" s="1">
        <v>0.7142857142857143</v>
      </c>
      <c r="OD34" s="450">
        <v>0.92999999999999994</v>
      </c>
      <c r="OE34" s="1">
        <v>0.66666666666666663</v>
      </c>
      <c r="OF34" s="450"/>
      <c r="OG34" s="1"/>
      <c r="OH34" s="450">
        <v>4.9999999999999906E-2</v>
      </c>
      <c r="OI34" s="1">
        <v>0.5714285714285714</v>
      </c>
      <c r="OJ34" s="450">
        <v>-3.07</v>
      </c>
      <c r="OK34" s="1">
        <v>0.42857142857142855</v>
      </c>
      <c r="OL34" s="450">
        <v>-4.63</v>
      </c>
      <c r="OM34" s="1">
        <v>0.33333333333333331</v>
      </c>
      <c r="ON34" s="450">
        <v>-3.22</v>
      </c>
      <c r="OO34" s="1">
        <v>0.5</v>
      </c>
      <c r="OP34" s="450">
        <v>0.53</v>
      </c>
      <c r="OQ34" s="1">
        <v>0.6</v>
      </c>
      <c r="OR34" s="450">
        <v>-2.63</v>
      </c>
      <c r="OS34" s="1">
        <v>0.4</v>
      </c>
      <c r="OT34" s="450">
        <v>7.2299999999999995</v>
      </c>
      <c r="OU34" s="1">
        <v>1</v>
      </c>
      <c r="OV34" s="450">
        <v>-6.05</v>
      </c>
      <c r="OW34" s="1">
        <v>0</v>
      </c>
      <c r="OX34" s="450">
        <v>-6.67</v>
      </c>
      <c r="OY34" s="1">
        <v>0</v>
      </c>
      <c r="OZ34" s="450">
        <v>-0.51</v>
      </c>
      <c r="PA34" s="1">
        <v>0.5</v>
      </c>
      <c r="PB34" s="450">
        <v>2.6399999999999997</v>
      </c>
      <c r="PC34" s="1">
        <v>0.8</v>
      </c>
      <c r="PD34" s="450">
        <v>1.2199999999999998</v>
      </c>
      <c r="PE34" s="1">
        <v>0.66666666666666663</v>
      </c>
      <c r="PF34" s="450">
        <v>5.64</v>
      </c>
      <c r="PG34" s="1">
        <v>1</v>
      </c>
      <c r="PH34" s="450">
        <v>-0.60000000000000031</v>
      </c>
      <c r="PI34" s="1">
        <v>0.6</v>
      </c>
      <c r="PJ34" s="450">
        <v>-3.99</v>
      </c>
      <c r="PK34" s="1">
        <v>0.4</v>
      </c>
      <c r="PL34" s="450"/>
      <c r="PM34" s="1"/>
      <c r="PN34" s="450"/>
      <c r="PO34" s="1"/>
      <c r="PP34" s="450">
        <v>-4.05</v>
      </c>
      <c r="PQ34" s="1">
        <v>0.25</v>
      </c>
      <c r="PR34" s="450">
        <v>3.0699999999999994</v>
      </c>
      <c r="PS34" s="1">
        <v>0.83333333333333337</v>
      </c>
      <c r="PT34" s="450">
        <v>4.3699999999999992</v>
      </c>
      <c r="PU34" s="1">
        <v>1</v>
      </c>
      <c r="PV34" s="450">
        <v>-4.62</v>
      </c>
      <c r="PW34" s="1">
        <v>0.33333333333333331</v>
      </c>
      <c r="PX34" s="450">
        <v>-6.2899999999999991</v>
      </c>
      <c r="PY34" s="1">
        <v>0.4</v>
      </c>
      <c r="PZ34" s="450"/>
      <c r="QA34" s="1"/>
      <c r="QB34" s="450">
        <v>-0.38000000000000034</v>
      </c>
      <c r="QC34" s="1">
        <v>0.66666666666666663</v>
      </c>
      <c r="QD34" s="450">
        <v>-3.29</v>
      </c>
      <c r="QE34" s="1">
        <v>0.33333333333333331</v>
      </c>
      <c r="QF34" s="450">
        <v>0.39</v>
      </c>
      <c r="QG34" s="1">
        <v>1</v>
      </c>
      <c r="QH34" s="450">
        <v>-13.16</v>
      </c>
      <c r="QI34" s="1">
        <v>0.14285714285714285</v>
      </c>
      <c r="QJ34" s="450">
        <v>1.38</v>
      </c>
      <c r="QK34" s="1">
        <v>0.66666666666666663</v>
      </c>
      <c r="QL34" s="450">
        <v>1.45</v>
      </c>
      <c r="QM34" s="1">
        <v>1</v>
      </c>
      <c r="QN34" s="450">
        <v>-7.68</v>
      </c>
      <c r="QO34" s="1">
        <v>0.16666666666666666</v>
      </c>
      <c r="QP34" s="450">
        <v>1.1399999999999999</v>
      </c>
      <c r="QQ34" s="1">
        <v>0.5</v>
      </c>
      <c r="QR34" s="450">
        <v>-3.6799999999999997</v>
      </c>
      <c r="QS34" s="1">
        <v>0.4</v>
      </c>
      <c r="QT34" s="450">
        <v>-1.6900000000000002</v>
      </c>
      <c r="QU34" s="1">
        <v>0.5</v>
      </c>
      <c r="QV34" s="450">
        <v>0.21999999999999997</v>
      </c>
      <c r="QW34" s="1">
        <v>0.5</v>
      </c>
      <c r="QX34" s="450">
        <v>1.1000000000000001</v>
      </c>
      <c r="QY34" s="1">
        <v>0.66666666666666663</v>
      </c>
      <c r="QZ34" s="450">
        <v>-8.59</v>
      </c>
      <c r="RA34" s="1">
        <v>0</v>
      </c>
      <c r="RB34" s="450">
        <v>2.34</v>
      </c>
      <c r="RC34" s="1">
        <v>0.6</v>
      </c>
      <c r="RD34" s="450">
        <v>-2.8899999999999997</v>
      </c>
      <c r="RE34" s="1">
        <v>0.5</v>
      </c>
      <c r="RF34" s="450">
        <v>2.67</v>
      </c>
      <c r="RG34" s="1">
        <v>0.66666666666666663</v>
      </c>
      <c r="RH34" s="450">
        <v>-3.96</v>
      </c>
      <c r="RI34" s="1">
        <v>0</v>
      </c>
      <c r="RJ34" s="450">
        <v>-4.9999999999999822E-2</v>
      </c>
      <c r="RK34" s="1">
        <v>0.33333333333333331</v>
      </c>
      <c r="RL34" s="450"/>
      <c r="RM34" s="1"/>
      <c r="RN34" s="450">
        <v>-3.09</v>
      </c>
      <c r="RO34" s="1">
        <v>0.33333333333333331</v>
      </c>
      <c r="RP34" s="450">
        <v>-0.59000000000000008</v>
      </c>
      <c r="RQ34" s="1">
        <v>0.5</v>
      </c>
      <c r="RR34" s="450"/>
      <c r="RS34" s="1"/>
      <c r="RT34" s="450">
        <v>0.85999999999999988</v>
      </c>
      <c r="RU34" s="1">
        <v>0.5</v>
      </c>
      <c r="RV34" s="450">
        <v>-1.3800000000000003</v>
      </c>
      <c r="RW34" s="1">
        <v>0.5714285714285714</v>
      </c>
      <c r="RX34" s="450">
        <v>5.66</v>
      </c>
      <c r="RY34" s="1">
        <v>1</v>
      </c>
      <c r="RZ34" s="450">
        <v>-4.79</v>
      </c>
      <c r="SA34" s="1">
        <v>0.5</v>
      </c>
      <c r="SB34" s="450">
        <v>3.25</v>
      </c>
      <c r="SC34" s="1">
        <v>1</v>
      </c>
      <c r="SD34" s="450">
        <v>2.6500000000000004</v>
      </c>
      <c r="SE34" s="1">
        <v>0.8</v>
      </c>
      <c r="SF34" s="450">
        <v>-3.84</v>
      </c>
      <c r="SG34" s="1">
        <v>0.33333333333333331</v>
      </c>
      <c r="SH34" s="450">
        <v>4.32</v>
      </c>
      <c r="SI34" s="1">
        <v>1</v>
      </c>
      <c r="SJ34" s="452">
        <v>-0.39999999999999991</v>
      </c>
      <c r="SK34" s="1">
        <v>0.5</v>
      </c>
      <c r="SL34" s="457">
        <v>0.75</v>
      </c>
      <c r="SM34" s="1">
        <v>0.8</v>
      </c>
      <c r="SN34" s="459">
        <v>5.1099999999999994</v>
      </c>
      <c r="SO34" s="1">
        <v>0.83333333333333337</v>
      </c>
      <c r="SP34" s="461">
        <v>-7.7899999999999991</v>
      </c>
      <c r="SQ34" s="1">
        <v>0</v>
      </c>
      <c r="SR34" s="463">
        <v>1.01</v>
      </c>
      <c r="SS34" s="1">
        <v>1</v>
      </c>
      <c r="ST34" s="464">
        <v>-0.49</v>
      </c>
      <c r="SU34" s="1">
        <v>0</v>
      </c>
      <c r="SV34" s="466">
        <v>-1.75</v>
      </c>
      <c r="SW34" s="1">
        <v>0.33333333333333331</v>
      </c>
      <c r="SX34" s="467">
        <v>-3.3899999999999997</v>
      </c>
      <c r="SY34" s="1">
        <v>0.33333333333333331</v>
      </c>
      <c r="SZ34" s="469">
        <v>1.9300000000000002</v>
      </c>
      <c r="TA34" s="1">
        <v>0.8</v>
      </c>
      <c r="TB34" s="471">
        <v>1.3699999999999999</v>
      </c>
      <c r="TC34" s="1">
        <v>0.66666666666666663</v>
      </c>
      <c r="TD34" s="472">
        <v>0.34999999999999987</v>
      </c>
      <c r="TE34" s="1">
        <v>0.5</v>
      </c>
      <c r="TF34" s="474">
        <v>-4.95</v>
      </c>
      <c r="TG34" s="1">
        <v>0.33333333333333331</v>
      </c>
      <c r="TH34" s="488">
        <v>-3.09</v>
      </c>
      <c r="TI34" s="1">
        <v>0</v>
      </c>
      <c r="TJ34" s="489">
        <v>-2.7600000000000002</v>
      </c>
      <c r="TK34" s="1">
        <v>0.33333333333333331</v>
      </c>
      <c r="TL34" s="490">
        <v>2.9699999999999998</v>
      </c>
      <c r="TM34" s="1">
        <v>1</v>
      </c>
      <c r="TN34" s="495">
        <v>2</v>
      </c>
      <c r="TO34" s="1">
        <v>0.66666666666666663</v>
      </c>
      <c r="TP34" s="500">
        <v>2.9899999999999998</v>
      </c>
      <c r="TQ34" s="1">
        <v>0.8</v>
      </c>
      <c r="TR34" s="511">
        <v>0.10999999999999988</v>
      </c>
      <c r="TS34" s="1">
        <v>0.5</v>
      </c>
      <c r="TT34" s="515">
        <v>1.26</v>
      </c>
      <c r="TU34" s="1">
        <v>0.75</v>
      </c>
      <c r="TV34" s="518">
        <v>-7.3900000000000006</v>
      </c>
      <c r="TW34" s="1">
        <v>0</v>
      </c>
      <c r="TX34" s="521"/>
      <c r="TY34" s="1"/>
      <c r="TZ34" s="524">
        <v>-1.44</v>
      </c>
      <c r="UA34" s="1">
        <v>0.66666666666666663</v>
      </c>
      <c r="UB34" s="527">
        <v>-9.0000000000000108E-2</v>
      </c>
      <c r="UC34" s="1">
        <v>0.6</v>
      </c>
      <c r="UD34" s="530">
        <v>0.18999999999999995</v>
      </c>
      <c r="UE34" s="1">
        <v>0.5</v>
      </c>
      <c r="UF34" s="533">
        <v>-5.17</v>
      </c>
      <c r="UG34" s="1">
        <v>0.25</v>
      </c>
      <c r="UH34" s="536">
        <v>-3.63</v>
      </c>
      <c r="UI34" s="1">
        <v>0.25</v>
      </c>
      <c r="UJ34" s="539">
        <v>-0.21000000000000019</v>
      </c>
      <c r="UK34" s="1">
        <v>0.66666666666666663</v>
      </c>
      <c r="UL34" s="540">
        <v>0.96999999999999975</v>
      </c>
      <c r="UM34" s="1">
        <v>0.6</v>
      </c>
      <c r="UN34" s="543">
        <v>-1.1900000000000002</v>
      </c>
      <c r="UO34" s="1">
        <v>0.66666666666666663</v>
      </c>
      <c r="UP34" s="544">
        <v>-0.25000000000000011</v>
      </c>
      <c r="UQ34" s="1">
        <v>0.33333333333333331</v>
      </c>
      <c r="UR34" s="551">
        <v>7.0000000000000007E-2</v>
      </c>
      <c r="US34" s="1">
        <v>1</v>
      </c>
      <c r="UT34" s="551">
        <v>-0.14999999999999991</v>
      </c>
      <c r="UU34" s="1">
        <v>0.5</v>
      </c>
      <c r="UV34" s="562">
        <v>4.25</v>
      </c>
      <c r="UW34" s="1">
        <v>1</v>
      </c>
      <c r="UX34" s="566">
        <v>2.67</v>
      </c>
      <c r="UY34" s="1">
        <v>0.83333333333333337</v>
      </c>
      <c r="UZ34" s="568">
        <v>-9.0599999999999987</v>
      </c>
      <c r="VA34" s="1">
        <v>0</v>
      </c>
      <c r="VB34" s="572">
        <v>-2.8899999999999997</v>
      </c>
      <c r="VC34" s="1">
        <v>0</v>
      </c>
      <c r="VD34" s="576">
        <v>-0.84999999999999987</v>
      </c>
      <c r="VE34" s="1">
        <v>0.5</v>
      </c>
      <c r="VF34" s="580">
        <v>2.76</v>
      </c>
      <c r="VG34" s="1">
        <v>0.66666666666666663</v>
      </c>
      <c r="VH34" s="584">
        <v>1.46</v>
      </c>
      <c r="VI34" s="1">
        <v>1</v>
      </c>
      <c r="VJ34" s="589">
        <v>-5.5699999999999994</v>
      </c>
      <c r="VK34" s="1">
        <v>0.16666666666666666</v>
      </c>
      <c r="VL34" s="593">
        <v>1.5999999999999999</v>
      </c>
      <c r="VM34" s="1">
        <v>1</v>
      </c>
      <c r="VN34" s="597">
        <v>-0.92999999999999972</v>
      </c>
      <c r="VO34" s="1">
        <v>0.6</v>
      </c>
      <c r="VP34" s="601">
        <v>-3.22</v>
      </c>
      <c r="VQ34" s="1">
        <v>0</v>
      </c>
      <c r="VR34" s="603">
        <v>-1.4999999999999998</v>
      </c>
      <c r="VS34" s="1">
        <v>0.5</v>
      </c>
      <c r="VT34" s="607">
        <v>-4.4600000000000009</v>
      </c>
      <c r="VU34" s="1">
        <v>0.4</v>
      </c>
      <c r="VV34" s="609">
        <v>1.44</v>
      </c>
      <c r="VW34" s="1">
        <v>1</v>
      </c>
      <c r="VX34" s="613">
        <v>2.23</v>
      </c>
      <c r="VY34" s="1">
        <v>0.66666666666666663</v>
      </c>
      <c r="VZ34" s="617">
        <v>-2.25</v>
      </c>
      <c r="WA34" s="1">
        <v>0</v>
      </c>
      <c r="WB34" s="619"/>
      <c r="WC34" s="1"/>
      <c r="WD34" s="624">
        <v>2.7199999999999998</v>
      </c>
      <c r="WE34" s="1">
        <v>0.8</v>
      </c>
      <c r="WF34" s="626">
        <v>-1.6</v>
      </c>
      <c r="WG34" s="1">
        <v>0.5</v>
      </c>
      <c r="WH34" s="630">
        <v>-2.4300000000000002</v>
      </c>
      <c r="WI34" s="1">
        <v>0.5</v>
      </c>
      <c r="WJ34" s="636">
        <v>2.9</v>
      </c>
      <c r="WK34" s="1">
        <v>0.83333333333333337</v>
      </c>
      <c r="WL34" s="638">
        <v>-0.25</v>
      </c>
      <c r="WM34" s="1">
        <v>0</v>
      </c>
      <c r="WN34" s="642">
        <v>-0.41000000000000003</v>
      </c>
      <c r="WO34" s="1">
        <v>0.5</v>
      </c>
      <c r="WP34" s="646">
        <v>5.6</v>
      </c>
      <c r="WQ34" s="1">
        <v>0.83333333333333337</v>
      </c>
      <c r="WR34" s="652">
        <v>-1.1299999999999999</v>
      </c>
      <c r="WS34" s="1">
        <v>0.5</v>
      </c>
      <c r="WT34" s="659">
        <v>2.4900000000000002</v>
      </c>
      <c r="WU34" s="1">
        <v>0.8</v>
      </c>
      <c r="WV34" s="659">
        <v>-1.0000000000000009E-2</v>
      </c>
      <c r="WW34" s="1">
        <v>0.5714285714285714</v>
      </c>
      <c r="WX34" s="672"/>
      <c r="WY34" s="1"/>
      <c r="WZ34" s="677"/>
      <c r="XA34" s="1"/>
      <c r="XB34" s="681">
        <v>-7.27</v>
      </c>
      <c r="XC34" s="1">
        <v>0.2</v>
      </c>
      <c r="XD34" s="683">
        <v>-2.42</v>
      </c>
      <c r="XE34" s="1">
        <v>0.33333333333333331</v>
      </c>
      <c r="XF34" s="687">
        <v>2.36</v>
      </c>
      <c r="XG34" s="1">
        <v>0.8</v>
      </c>
      <c r="XH34" s="689">
        <v>-0.52</v>
      </c>
      <c r="XI34" s="1">
        <v>0.5</v>
      </c>
      <c r="XJ34" s="696">
        <v>4.1899999999999995</v>
      </c>
      <c r="XK34" s="1">
        <v>0.83333333333333337</v>
      </c>
      <c r="XL34" s="696">
        <v>-4.1500000000000004</v>
      </c>
      <c r="XM34" s="1">
        <v>0.42857142857142855</v>
      </c>
      <c r="XN34" s="696">
        <v>-3.6899999999999995</v>
      </c>
      <c r="XO34" s="1">
        <v>0.2</v>
      </c>
      <c r="XP34" s="700">
        <v>2.84</v>
      </c>
      <c r="XQ34" s="1">
        <v>1</v>
      </c>
      <c r="XR34" s="705">
        <v>-6.7700000000000005</v>
      </c>
      <c r="XS34" s="1">
        <v>0.30769230769230771</v>
      </c>
      <c r="XT34" s="709">
        <v>0.85000000000000009</v>
      </c>
      <c r="XU34" s="1">
        <v>0.66666666666666663</v>
      </c>
      <c r="XV34" s="715"/>
      <c r="XW34" s="1"/>
    </row>
    <row r="35" spans="2:647" x14ac:dyDescent="0.25">
      <c r="B35" s="755"/>
      <c r="C35" s="763"/>
      <c r="D35" s="757" t="s">
        <v>13</v>
      </c>
      <c r="E35" s="757"/>
      <c r="F35" s="448">
        <v>0.3</v>
      </c>
      <c r="G35" s="768"/>
      <c r="H35" s="450">
        <v>3.0175000000000001</v>
      </c>
      <c r="I35" s="1">
        <v>0.75</v>
      </c>
      <c r="J35" s="450">
        <v>-3.4162499999999998</v>
      </c>
      <c r="K35" s="1">
        <v>0.41666666666666669</v>
      </c>
      <c r="L35" s="450">
        <v>-1.80375</v>
      </c>
      <c r="M35" s="1">
        <v>0.58333333333333337</v>
      </c>
      <c r="N35" s="450">
        <v>-0.26375000000000004</v>
      </c>
      <c r="O35" s="1">
        <v>0.58333333333333337</v>
      </c>
      <c r="P35" s="450">
        <v>-1.7649999999999999</v>
      </c>
      <c r="Q35" s="1">
        <v>0.33333333333333331</v>
      </c>
      <c r="R35" s="450">
        <v>2.8587500000000001</v>
      </c>
      <c r="S35" s="1">
        <v>0.66666666666666663</v>
      </c>
      <c r="T35" s="450"/>
      <c r="U35" s="1"/>
      <c r="V35" s="450">
        <v>-5.3237500000000004</v>
      </c>
      <c r="W35" s="1">
        <v>0.36363636363636365</v>
      </c>
      <c r="X35" s="450"/>
      <c r="Y35" s="1"/>
      <c r="Z35" s="450">
        <v>4.0725000000000007</v>
      </c>
      <c r="AA35" s="1">
        <v>0.81818181818181823</v>
      </c>
      <c r="AB35" s="450">
        <v>3.7537500000000001</v>
      </c>
      <c r="AC35" s="1">
        <v>0.66666666666666663</v>
      </c>
      <c r="AD35" s="450">
        <v>1.9849999999999999</v>
      </c>
      <c r="AE35" s="1">
        <v>0.75</v>
      </c>
      <c r="AF35" s="450"/>
      <c r="AG35" s="1"/>
      <c r="AH35" s="450">
        <v>1.7962499999999999</v>
      </c>
      <c r="AI35" s="1">
        <v>0.58333333333333337</v>
      </c>
      <c r="AJ35" s="450">
        <v>-5.7499999999999996E-2</v>
      </c>
      <c r="AK35" s="1">
        <v>0.58333333333333337</v>
      </c>
      <c r="AL35" s="450">
        <v>0.25375000000000081</v>
      </c>
      <c r="AM35" s="1">
        <v>0.66666666666666663</v>
      </c>
      <c r="AN35" s="450">
        <v>-7.598749999999999</v>
      </c>
      <c r="AO35" s="1">
        <v>8.3333333333333329E-2</v>
      </c>
      <c r="AP35" s="450">
        <v>-1.5387499999999998</v>
      </c>
      <c r="AQ35" s="1">
        <v>0.58333333333333337</v>
      </c>
      <c r="AR35" s="450">
        <v>-5.6449999999999996</v>
      </c>
      <c r="AS35" s="1">
        <v>0.25</v>
      </c>
      <c r="AT35" s="450">
        <v>-4.8887500000000008</v>
      </c>
      <c r="AU35" s="1">
        <v>0.41666666666666669</v>
      </c>
      <c r="AV35" s="450">
        <v>-0.87249999999999994</v>
      </c>
      <c r="AW35" s="1">
        <v>0.41666666666666669</v>
      </c>
      <c r="AX35" s="450">
        <v>3.0562499999999999</v>
      </c>
      <c r="AY35" s="1">
        <v>0.66666666666666663</v>
      </c>
      <c r="AZ35" s="450">
        <v>-3.1187499999999995</v>
      </c>
      <c r="BA35" s="1">
        <v>0.41666666666666669</v>
      </c>
      <c r="BB35" s="450">
        <v>-1.2712500000000007</v>
      </c>
      <c r="BC35" s="1">
        <v>0.5</v>
      </c>
      <c r="BD35" s="450">
        <v>2.3777777777777778</v>
      </c>
      <c r="BE35" s="1">
        <v>0.58333333333333337</v>
      </c>
      <c r="BF35" s="450">
        <v>-1.1533333333333331</v>
      </c>
      <c r="BG35" s="1">
        <v>0.54545454545454541</v>
      </c>
      <c r="BH35" s="450">
        <v>0.56777777777777816</v>
      </c>
      <c r="BI35" s="1">
        <v>0.58333333333333337</v>
      </c>
      <c r="BJ35" s="450">
        <v>-6.2255555555555553</v>
      </c>
      <c r="BK35" s="1">
        <v>0.41666666666666669</v>
      </c>
      <c r="BL35" s="450">
        <v>-2.3755555555555556</v>
      </c>
      <c r="BM35" s="1">
        <v>0.5</v>
      </c>
      <c r="BN35" s="450"/>
      <c r="BO35" s="1"/>
      <c r="BP35" s="450">
        <v>2.3455555555555563</v>
      </c>
      <c r="BQ35" s="1">
        <v>0.66666666666666663</v>
      </c>
      <c r="BR35" s="450">
        <v>1.5444444444444447</v>
      </c>
      <c r="BS35" s="1">
        <v>0.58333333333333337</v>
      </c>
      <c r="BT35" s="450"/>
      <c r="BU35" s="1"/>
      <c r="BV35" s="450">
        <v>6.2777777777777777</v>
      </c>
      <c r="BW35" s="1">
        <v>0.83333333333333337</v>
      </c>
      <c r="BX35" s="450">
        <v>-0.51111111111111085</v>
      </c>
      <c r="BY35" s="1">
        <v>0.5</v>
      </c>
      <c r="BZ35" s="450">
        <v>-1.8888888888888888</v>
      </c>
      <c r="CA35" s="1">
        <v>0.33333333333333331</v>
      </c>
      <c r="CB35" s="450">
        <v>-2.9033333333333333</v>
      </c>
      <c r="CC35" s="1">
        <v>0.41666666666666669</v>
      </c>
      <c r="CD35" s="450">
        <v>4.9555555555555557</v>
      </c>
      <c r="CE35" s="1">
        <v>0.91666666666666663</v>
      </c>
      <c r="CF35" s="450">
        <v>1.3800000000000001</v>
      </c>
      <c r="CG35" s="1">
        <v>0.58333333333333337</v>
      </c>
      <c r="CH35" s="450"/>
      <c r="CI35" s="1"/>
      <c r="CJ35" s="450">
        <v>-4.1244444444444435</v>
      </c>
      <c r="CK35" s="1">
        <v>0.41666666666666669</v>
      </c>
      <c r="CL35" s="450">
        <v>-1.6844444444444442</v>
      </c>
      <c r="CM35" s="1">
        <v>0.58333333333333337</v>
      </c>
      <c r="CN35" s="450">
        <v>-0.2411111111111113</v>
      </c>
      <c r="CO35" s="1">
        <v>0.41666666666666669</v>
      </c>
      <c r="CP35" s="450">
        <v>-1.3599999999999999</v>
      </c>
      <c r="CQ35" s="1">
        <v>0.5</v>
      </c>
      <c r="CR35" s="450">
        <v>-3.9188888888888891</v>
      </c>
      <c r="CS35" s="1">
        <v>0.18181818181818182</v>
      </c>
      <c r="CT35" s="450">
        <v>-6.37</v>
      </c>
      <c r="CU35" s="1">
        <v>0.54545454545454541</v>
      </c>
      <c r="CV35" s="450">
        <v>-5.9955555555555557</v>
      </c>
      <c r="CW35" s="1">
        <v>0.33333333333333331</v>
      </c>
      <c r="CX35" s="450">
        <v>-0.46333333333333321</v>
      </c>
      <c r="CY35" s="1">
        <v>0.58333333333333337</v>
      </c>
      <c r="CZ35" s="450">
        <v>2.1799999999999997</v>
      </c>
      <c r="DA35" s="1">
        <v>0.66666666666666663</v>
      </c>
      <c r="DB35" s="450">
        <v>-6.3766666666666669</v>
      </c>
      <c r="DC35" s="1">
        <v>0.41666666666666669</v>
      </c>
      <c r="DD35" s="450">
        <v>-2.8888888888888884</v>
      </c>
      <c r="DE35" s="1">
        <v>0.66666666666666663</v>
      </c>
      <c r="DF35" s="450">
        <v>-0.88444444444444392</v>
      </c>
      <c r="DG35" s="1">
        <v>0.58333333333333337</v>
      </c>
      <c r="DH35" s="450">
        <v>-4.5455555555555556</v>
      </c>
      <c r="DI35" s="1">
        <v>0.4</v>
      </c>
      <c r="DJ35" s="450">
        <v>-4.0288888888888899</v>
      </c>
      <c r="DK35" s="1">
        <v>0.54545454545454541</v>
      </c>
      <c r="DL35" s="450">
        <v>-5.3322222222222218</v>
      </c>
      <c r="DM35" s="1">
        <v>0.5</v>
      </c>
      <c r="DN35" s="450">
        <v>-8.3388888888888886</v>
      </c>
      <c r="DO35" s="1">
        <v>0.33333333333333331</v>
      </c>
      <c r="DP35" s="450">
        <v>-3.1999999999999997</v>
      </c>
      <c r="DQ35" s="1">
        <v>0.5</v>
      </c>
      <c r="DR35" s="450"/>
      <c r="DS35" s="1"/>
      <c r="DT35" s="450">
        <v>-3.0755555555555554</v>
      </c>
      <c r="DU35" s="1">
        <v>0.5</v>
      </c>
      <c r="DV35" s="450">
        <v>1.1399999999999997</v>
      </c>
      <c r="DW35" s="1">
        <v>0.5</v>
      </c>
      <c r="DX35" s="450">
        <v>1.1399999999999997</v>
      </c>
      <c r="DY35" s="1">
        <v>0.5</v>
      </c>
      <c r="DZ35" s="450">
        <v>-0.41666666666666652</v>
      </c>
      <c r="EA35" s="1">
        <v>0.45454545454545453</v>
      </c>
      <c r="EB35" s="450">
        <v>-1.834444444444445</v>
      </c>
      <c r="EC35" s="1">
        <v>0.41666666666666669</v>
      </c>
      <c r="ED35" s="450">
        <v>3.0666666666666669</v>
      </c>
      <c r="EE35" s="1">
        <v>0.83333333333333337</v>
      </c>
      <c r="EF35" s="450">
        <v>-2.3033333333333332</v>
      </c>
      <c r="EG35" s="1">
        <v>0.5</v>
      </c>
      <c r="EH35" s="450">
        <v>0.82222222222222219</v>
      </c>
      <c r="EI35" s="1">
        <v>0.5</v>
      </c>
      <c r="EJ35" s="450">
        <v>2.0588888888888892</v>
      </c>
      <c r="EK35" s="1">
        <v>0.63636363636363635</v>
      </c>
      <c r="EL35" s="450"/>
      <c r="EM35" s="1"/>
      <c r="EN35" s="450">
        <v>2.5244444444444443</v>
      </c>
      <c r="EO35" s="1">
        <v>0.83333333333333337</v>
      </c>
      <c r="EP35" s="450"/>
      <c r="EQ35" s="1"/>
      <c r="ER35" s="450">
        <v>0.37888888888888861</v>
      </c>
      <c r="ES35" s="1">
        <v>0.58333333333333337</v>
      </c>
      <c r="ET35" s="450">
        <v>-0.65333333333333354</v>
      </c>
      <c r="EU35" s="1">
        <v>0.66666666666666663</v>
      </c>
      <c r="EV35" s="450">
        <v>-7.6466666666666656</v>
      </c>
      <c r="EW35" s="1">
        <v>8.3333333333333329E-2</v>
      </c>
      <c r="EX35" s="450">
        <v>-0.47222222222222204</v>
      </c>
      <c r="EY35" s="1">
        <v>0.5</v>
      </c>
      <c r="EZ35" s="450">
        <v>-3.2288888888888887</v>
      </c>
      <c r="FA35" s="1">
        <v>0.25</v>
      </c>
      <c r="FB35" s="450">
        <v>-5.870000000000001</v>
      </c>
      <c r="FC35" s="1">
        <v>0.58333333333333337</v>
      </c>
      <c r="FD35" s="450">
        <v>12.869999999999997</v>
      </c>
      <c r="FE35" s="1">
        <v>0.81818181818181823</v>
      </c>
      <c r="FF35" s="450">
        <v>-6.3100000000000005</v>
      </c>
      <c r="FG35" s="1">
        <v>0.58333333333333337</v>
      </c>
      <c r="FH35" s="450">
        <v>-7.6499999999999995</v>
      </c>
      <c r="FI35" s="1">
        <v>0.5</v>
      </c>
      <c r="FJ35" s="450">
        <v>-10.32</v>
      </c>
      <c r="FK35" s="1">
        <v>0.5</v>
      </c>
      <c r="FL35" s="450">
        <v>-9.8099999999999987</v>
      </c>
      <c r="FM35" s="1">
        <v>0.5</v>
      </c>
      <c r="FN35" s="450">
        <v>-11.2</v>
      </c>
      <c r="FO35" s="1">
        <v>0.41666666666666669</v>
      </c>
      <c r="FP35" s="450">
        <v>-14.380000000000003</v>
      </c>
      <c r="FQ35" s="1">
        <v>0.33333333333333331</v>
      </c>
      <c r="FR35" s="450">
        <v>-12.41</v>
      </c>
      <c r="FS35" s="1">
        <v>0.5</v>
      </c>
      <c r="FT35" s="450">
        <v>-3.72</v>
      </c>
      <c r="FU35" s="1">
        <v>0.58333333333333337</v>
      </c>
      <c r="FV35" s="450">
        <v>-5.5</v>
      </c>
      <c r="FW35" s="1">
        <v>0.33333333333333331</v>
      </c>
      <c r="FX35" s="450">
        <v>-9.3299999999999983</v>
      </c>
      <c r="FY35" s="1">
        <v>0.5</v>
      </c>
      <c r="FZ35" s="450">
        <v>-2.3200000000000007</v>
      </c>
      <c r="GA35" s="1">
        <v>0.58333333333333337</v>
      </c>
      <c r="GB35" s="450">
        <v>-1.5899999999999987</v>
      </c>
      <c r="GC35" s="1">
        <v>0.58333333333333337</v>
      </c>
      <c r="GD35" s="450">
        <v>0.64000000000000035</v>
      </c>
      <c r="GE35" s="1">
        <v>0.41666666666666669</v>
      </c>
      <c r="GF35" s="450">
        <v>-1.7200000000000006</v>
      </c>
      <c r="GG35" s="1">
        <v>0.41666666666666669</v>
      </c>
      <c r="GH35" s="450">
        <v>-23.259999999999998</v>
      </c>
      <c r="GI35" s="1">
        <v>0.25</v>
      </c>
      <c r="GJ35" s="450">
        <v>-6.1199999999999992</v>
      </c>
      <c r="GK35" s="1">
        <v>0.45454545454545453</v>
      </c>
      <c r="GL35" s="450">
        <v>-10.34</v>
      </c>
      <c r="GM35" s="1">
        <v>0.27272727272727271</v>
      </c>
      <c r="GN35" s="450">
        <v>-14.599999999999998</v>
      </c>
      <c r="GO35" s="1">
        <v>0.33333333333333331</v>
      </c>
      <c r="GP35" s="450">
        <v>-19.05</v>
      </c>
      <c r="GQ35" s="1">
        <v>0.16666666666666666</v>
      </c>
      <c r="GR35" s="450">
        <v>2.8</v>
      </c>
      <c r="GS35" s="1">
        <v>0.66666666666666663</v>
      </c>
      <c r="GT35" s="450">
        <v>-17.84</v>
      </c>
      <c r="GU35" s="1">
        <v>0.16666666666666666</v>
      </c>
      <c r="GV35" s="450">
        <v>3.7699999999999996</v>
      </c>
      <c r="GW35" s="1">
        <v>0.58333333333333337</v>
      </c>
      <c r="GX35" s="450">
        <v>0.14999999999999991</v>
      </c>
      <c r="GY35" s="1">
        <v>0.66666666666666663</v>
      </c>
      <c r="GZ35" s="450">
        <v>-16.61</v>
      </c>
      <c r="HA35" s="1">
        <v>0.25</v>
      </c>
      <c r="HB35" s="450">
        <v>6</v>
      </c>
      <c r="HC35" s="1">
        <v>0.66666666666666663</v>
      </c>
      <c r="HD35" s="450">
        <v>7.9799999999999995</v>
      </c>
      <c r="HE35" s="1">
        <v>0.75</v>
      </c>
      <c r="HF35" s="450">
        <v>-10.750000000000002</v>
      </c>
      <c r="HG35" s="1">
        <v>0.41666666666666669</v>
      </c>
      <c r="HH35" s="450">
        <v>5.990000000000002</v>
      </c>
      <c r="HI35" s="1">
        <v>0.66666666666666663</v>
      </c>
      <c r="HJ35" s="450">
        <v>-1.6300000000000001</v>
      </c>
      <c r="HK35" s="1">
        <v>0.5</v>
      </c>
      <c r="HL35" s="450">
        <v>-6.0400000000000009</v>
      </c>
      <c r="HM35" s="1">
        <v>0.16666666666666666</v>
      </c>
      <c r="HN35" s="450">
        <v>-13.159999999999998</v>
      </c>
      <c r="HO35" s="1">
        <v>0.41666666666666669</v>
      </c>
      <c r="HP35" s="450">
        <v>-6.42</v>
      </c>
      <c r="HQ35" s="1">
        <v>0.41666666666666669</v>
      </c>
      <c r="HR35" s="450">
        <v>-10.880000000000003</v>
      </c>
      <c r="HS35" s="1">
        <v>0.25</v>
      </c>
      <c r="HT35" s="450">
        <v>-0.48</v>
      </c>
      <c r="HU35" s="1">
        <v>0.5</v>
      </c>
      <c r="HV35" s="450">
        <v>-14.530000000000001</v>
      </c>
      <c r="HW35" s="1">
        <v>0.45454545454545453</v>
      </c>
      <c r="HX35" s="450">
        <v>-9.3999999999999986</v>
      </c>
      <c r="HY35" s="1">
        <v>0.5</v>
      </c>
      <c r="HZ35" s="450"/>
      <c r="IA35" s="1"/>
      <c r="IB35" s="450">
        <v>-5.15</v>
      </c>
      <c r="IC35" s="1">
        <v>0.41666666666666669</v>
      </c>
      <c r="ID35" s="450">
        <v>-14.35</v>
      </c>
      <c r="IE35" s="1">
        <v>0.27272727272727271</v>
      </c>
      <c r="IF35" s="450">
        <v>-8.2799999999999994</v>
      </c>
      <c r="IG35" s="1">
        <v>0.41666666666666669</v>
      </c>
      <c r="IH35" s="450">
        <v>-6.93</v>
      </c>
      <c r="II35" s="1">
        <v>0.45454545454545453</v>
      </c>
      <c r="IJ35" s="450">
        <v>-16.779999999999998</v>
      </c>
      <c r="IK35" s="1">
        <v>0.33333333333333331</v>
      </c>
      <c r="IL35" s="450">
        <v>-12.01</v>
      </c>
      <c r="IM35" s="1">
        <v>0.33333333333333331</v>
      </c>
      <c r="IN35" s="450">
        <v>9.8800000000000008</v>
      </c>
      <c r="IO35" s="1">
        <v>0.83333333333333337</v>
      </c>
      <c r="IP35" s="450">
        <v>5.85</v>
      </c>
      <c r="IQ35" s="1">
        <v>0.58333333333333337</v>
      </c>
      <c r="IR35" s="450"/>
      <c r="IS35" s="1"/>
      <c r="IT35" s="450"/>
      <c r="IU35" s="1"/>
      <c r="IV35" s="450">
        <v>13.709999999999999</v>
      </c>
      <c r="IW35" s="1">
        <v>0.75</v>
      </c>
      <c r="IX35" s="450"/>
      <c r="IY35" s="1"/>
      <c r="IZ35" s="450"/>
      <c r="JA35" s="1"/>
      <c r="JB35" s="450"/>
      <c r="JC35" s="1"/>
      <c r="JD35" s="450"/>
      <c r="JE35" s="1"/>
      <c r="JF35" s="450">
        <v>4.18</v>
      </c>
      <c r="JG35" s="1">
        <v>0.58333333333333337</v>
      </c>
      <c r="JH35" s="450">
        <v>-0.79999999999999938</v>
      </c>
      <c r="JI35" s="1">
        <v>0.58333333333333337</v>
      </c>
      <c r="JJ35" s="450">
        <v>0.46999999999999931</v>
      </c>
      <c r="JK35" s="1">
        <v>0.58333333333333337</v>
      </c>
      <c r="JL35" s="450">
        <v>-2.2300000000000004</v>
      </c>
      <c r="JM35" s="1">
        <v>0.5</v>
      </c>
      <c r="JN35" s="450">
        <v>-3.9899999999999989</v>
      </c>
      <c r="JO35" s="1">
        <v>0.41666666666666669</v>
      </c>
      <c r="JP35" s="450">
        <v>-2.16</v>
      </c>
      <c r="JQ35" s="1">
        <v>0.33333333333333331</v>
      </c>
      <c r="JR35" s="450"/>
      <c r="JS35" s="1"/>
      <c r="JT35" s="450"/>
      <c r="JU35" s="1"/>
      <c r="JV35" s="450"/>
      <c r="JW35" s="1"/>
      <c r="JX35" s="450">
        <v>-12.64</v>
      </c>
      <c r="JY35" s="1">
        <v>0.58333333333333337</v>
      </c>
      <c r="JZ35" s="450">
        <v>8.2899999999999974</v>
      </c>
      <c r="KA35" s="1">
        <v>0.66666666666666663</v>
      </c>
      <c r="KB35" s="450">
        <v>2.3499999999999996</v>
      </c>
      <c r="KC35" s="1">
        <v>0.66666666666666663</v>
      </c>
      <c r="KD35" s="450">
        <v>-5.07</v>
      </c>
      <c r="KE35" s="1">
        <v>0.5</v>
      </c>
      <c r="KF35" s="450">
        <v>7.6</v>
      </c>
      <c r="KG35" s="1">
        <v>0.58333333333333337</v>
      </c>
      <c r="KH35" s="450">
        <v>-1.0999999999999999</v>
      </c>
      <c r="KI35" s="1">
        <v>0.5</v>
      </c>
      <c r="KJ35" s="450">
        <v>-1.2599999999999998</v>
      </c>
      <c r="KK35" s="1">
        <v>0.5</v>
      </c>
      <c r="KL35" s="450">
        <v>-7.3900000000000006</v>
      </c>
      <c r="KM35" s="1">
        <v>0.41666666666666669</v>
      </c>
      <c r="KN35" s="450">
        <v>1.7200000000000002</v>
      </c>
      <c r="KO35" s="1">
        <v>0.41666666666666669</v>
      </c>
      <c r="KP35" s="450">
        <v>2.7600000000000007</v>
      </c>
      <c r="KQ35" s="1">
        <v>0.5</v>
      </c>
      <c r="KR35" s="450">
        <v>-0.87000000000000011</v>
      </c>
      <c r="KS35" s="1">
        <v>0.66666666666666663</v>
      </c>
      <c r="KT35" s="450">
        <v>1.1299999999999999</v>
      </c>
      <c r="KU35" s="1">
        <v>0.75</v>
      </c>
      <c r="KV35" s="450">
        <v>-10.130000000000001</v>
      </c>
      <c r="KW35" s="1">
        <v>0.58333333333333337</v>
      </c>
      <c r="KX35" s="450">
        <v>-7.27</v>
      </c>
      <c r="KY35" s="1">
        <v>0.58333333333333337</v>
      </c>
      <c r="KZ35" s="450">
        <v>-22.400000000000002</v>
      </c>
      <c r="LA35" s="1">
        <v>0.5</v>
      </c>
      <c r="LB35" s="450">
        <v>-7.13</v>
      </c>
      <c r="LC35" s="1">
        <v>0.66666666666666663</v>
      </c>
      <c r="LD35" s="450">
        <v>0.85000000000000009</v>
      </c>
      <c r="LE35" s="1">
        <v>0.75</v>
      </c>
      <c r="LF35" s="450">
        <v>15.52</v>
      </c>
      <c r="LG35" s="1">
        <v>0.90909090909090906</v>
      </c>
      <c r="LH35" s="450">
        <v>-7.76</v>
      </c>
      <c r="LI35" s="1">
        <v>0.66666666666666663</v>
      </c>
      <c r="LJ35" s="450">
        <v>1.330000000000001</v>
      </c>
      <c r="LK35" s="1">
        <v>0.75</v>
      </c>
      <c r="LL35" s="450"/>
      <c r="LM35" s="1"/>
      <c r="LN35" s="450">
        <v>1.3099999999999996</v>
      </c>
      <c r="LO35" s="1">
        <v>0.66666666666666663</v>
      </c>
      <c r="LP35" s="450">
        <v>-11.32</v>
      </c>
      <c r="LQ35" s="1">
        <v>0.58333333333333337</v>
      </c>
      <c r="LR35" s="450">
        <v>4.92</v>
      </c>
      <c r="LS35" s="1">
        <v>0.77777777777777779</v>
      </c>
      <c r="LT35" s="450">
        <v>-3.1199999999999983</v>
      </c>
      <c r="LU35" s="1">
        <v>0.7</v>
      </c>
      <c r="LV35" s="450">
        <v>-18.66</v>
      </c>
      <c r="LW35" s="1">
        <v>0.66666666666666663</v>
      </c>
      <c r="LX35" s="450">
        <v>20.96</v>
      </c>
      <c r="LY35" s="1">
        <v>0.90909090909090906</v>
      </c>
      <c r="LZ35" s="450">
        <v>0.99999999999999778</v>
      </c>
      <c r="MA35" s="1">
        <v>0.66666666666666663</v>
      </c>
      <c r="MB35" s="450">
        <v>-3.76</v>
      </c>
      <c r="MC35" s="1">
        <v>0.66666666666666663</v>
      </c>
      <c r="MD35" s="450">
        <v>7.26</v>
      </c>
      <c r="ME35" s="1">
        <v>0.81818181818181823</v>
      </c>
      <c r="MF35" s="450">
        <v>3.8700000000000014</v>
      </c>
      <c r="MG35" s="1">
        <v>0.66666666666666663</v>
      </c>
      <c r="MH35" s="450">
        <v>-28.599999999999998</v>
      </c>
      <c r="MI35" s="1">
        <v>0.36363636363636365</v>
      </c>
      <c r="MJ35" s="450">
        <v>-14.439999999999998</v>
      </c>
      <c r="MK35" s="1">
        <v>0.58333333333333337</v>
      </c>
      <c r="ML35" s="450">
        <v>7.7100000000000017</v>
      </c>
      <c r="MM35" s="1">
        <v>0.72727272727272729</v>
      </c>
      <c r="MN35" s="450">
        <v>12.100000000000001</v>
      </c>
      <c r="MO35" s="1">
        <v>0.84615384615384615</v>
      </c>
      <c r="MP35" s="450">
        <v>-8.83</v>
      </c>
      <c r="MQ35" s="1">
        <v>0.58333333333333337</v>
      </c>
      <c r="MR35" s="450">
        <v>1.4500000000000008</v>
      </c>
      <c r="MS35" s="1">
        <v>0.66666666666666663</v>
      </c>
      <c r="MT35" s="450">
        <v>-8.66</v>
      </c>
      <c r="MU35" s="1">
        <v>0.58333333333333337</v>
      </c>
      <c r="MV35" s="450">
        <v>2.8200000000000012</v>
      </c>
      <c r="MW35" s="1">
        <v>0.72727272727272729</v>
      </c>
      <c r="MX35" s="450">
        <v>-15.099999999999998</v>
      </c>
      <c r="MY35" s="1">
        <v>0.5</v>
      </c>
      <c r="MZ35" s="450">
        <v>-9.9899999999999984</v>
      </c>
      <c r="NA35" s="1">
        <v>0.58333333333333337</v>
      </c>
      <c r="NB35" s="450">
        <v>2.9000000000000004</v>
      </c>
      <c r="NC35" s="1">
        <v>0.75</v>
      </c>
      <c r="ND35" s="450">
        <v>-14.049999999999999</v>
      </c>
      <c r="NE35" s="1">
        <v>0.58333333333333337</v>
      </c>
      <c r="NF35" s="450">
        <v>-7.280000000000002</v>
      </c>
      <c r="NG35" s="1">
        <v>0.66666666666666663</v>
      </c>
      <c r="NH35" s="450">
        <v>-7.280000000000002</v>
      </c>
      <c r="NI35" s="1">
        <v>0.66666666666666663</v>
      </c>
      <c r="NJ35" s="450">
        <v>-2.6700000000000004</v>
      </c>
      <c r="NK35" s="1">
        <v>0.58333333333333337</v>
      </c>
      <c r="NL35" s="450"/>
      <c r="NM35" s="1"/>
      <c r="NN35" s="450">
        <v>-0.14000000000000012</v>
      </c>
      <c r="NO35" s="1">
        <v>0.5</v>
      </c>
      <c r="NP35" s="450">
        <v>-13.530000000000001</v>
      </c>
      <c r="NQ35" s="1">
        <v>0.5</v>
      </c>
      <c r="NR35" s="450">
        <v>5.2100000000000009</v>
      </c>
      <c r="NS35" s="1">
        <v>0.8</v>
      </c>
      <c r="NT35" s="450">
        <v>-22.68</v>
      </c>
      <c r="NU35" s="1">
        <v>0.2857142857142857</v>
      </c>
      <c r="NV35" s="450">
        <v>0.4300000000000006</v>
      </c>
      <c r="NW35" s="1">
        <v>0.75</v>
      </c>
      <c r="NX35" s="450">
        <v>-3.0600000000000005</v>
      </c>
      <c r="NY35" s="1">
        <v>0.66666666666666663</v>
      </c>
      <c r="NZ35" s="450">
        <v>-0.61999999999999966</v>
      </c>
      <c r="OA35" s="1">
        <v>0.5714285714285714</v>
      </c>
      <c r="OB35" s="450">
        <v>5.1400000000000006</v>
      </c>
      <c r="OC35" s="1">
        <v>0.63636363636363635</v>
      </c>
      <c r="OD35" s="450">
        <v>9.2799999999999994</v>
      </c>
      <c r="OE35" s="1">
        <v>0.77777777777777779</v>
      </c>
      <c r="OF35" s="450">
        <v>-0.56999999999999984</v>
      </c>
      <c r="OG35" s="1">
        <v>0.5</v>
      </c>
      <c r="OH35" s="450">
        <v>-15.780000000000001</v>
      </c>
      <c r="OI35" s="1">
        <v>0.41666666666666669</v>
      </c>
      <c r="OJ35" s="450">
        <v>-8.8099999999999987</v>
      </c>
      <c r="OK35" s="1">
        <v>0.53846153846153844</v>
      </c>
      <c r="OL35" s="450">
        <v>-21.609999999999996</v>
      </c>
      <c r="OM35" s="1">
        <v>0.41666666666666669</v>
      </c>
      <c r="ON35" s="450">
        <v>-19.539999999999996</v>
      </c>
      <c r="OO35" s="1">
        <v>0.41666666666666669</v>
      </c>
      <c r="OP35" s="450">
        <v>-5.030000000000002</v>
      </c>
      <c r="OQ35" s="1">
        <v>0.58333333333333337</v>
      </c>
      <c r="OR35" s="450">
        <v>-4.7099999999999991</v>
      </c>
      <c r="OS35" s="1">
        <v>0.5</v>
      </c>
      <c r="OT35" s="450">
        <v>6.7000000000000011</v>
      </c>
      <c r="OU35" s="1">
        <v>0.75</v>
      </c>
      <c r="OV35" s="450">
        <v>-10.699999999999998</v>
      </c>
      <c r="OW35" s="1">
        <v>0.58333333333333337</v>
      </c>
      <c r="OX35" s="450">
        <v>-10.54</v>
      </c>
      <c r="OY35" s="1">
        <v>0.41666666666666669</v>
      </c>
      <c r="OZ35" s="450">
        <v>-9.7799999999999976</v>
      </c>
      <c r="PA35" s="1">
        <v>0.5</v>
      </c>
      <c r="PB35" s="450">
        <v>6.3800000000000017</v>
      </c>
      <c r="PC35" s="1">
        <v>0.75</v>
      </c>
      <c r="PD35" s="450">
        <v>0.97999999999999909</v>
      </c>
      <c r="PE35" s="1">
        <v>0.5</v>
      </c>
      <c r="PF35" s="450">
        <v>17.32</v>
      </c>
      <c r="PG35" s="1">
        <v>0.91666666666666663</v>
      </c>
      <c r="PH35" s="450">
        <v>12.630000000000003</v>
      </c>
      <c r="PI35" s="1">
        <v>0.83333333333333337</v>
      </c>
      <c r="PJ35" s="450">
        <v>6.6700000000000035</v>
      </c>
      <c r="PK35" s="1">
        <v>0.69230769230769229</v>
      </c>
      <c r="PL35" s="450"/>
      <c r="PM35" s="1"/>
      <c r="PN35" s="450"/>
      <c r="PO35" s="1"/>
      <c r="PP35" s="450">
        <v>-25.450000000000003</v>
      </c>
      <c r="PQ35" s="1">
        <v>0.33333333333333331</v>
      </c>
      <c r="PR35" s="450">
        <v>-1.3900000000000001</v>
      </c>
      <c r="PS35" s="1">
        <v>0.69230769230769229</v>
      </c>
      <c r="PT35" s="450">
        <v>-8.319999999999995</v>
      </c>
      <c r="PU35" s="1">
        <v>0.58333333333333337</v>
      </c>
      <c r="PV35" s="450">
        <v>-23.220000000000002</v>
      </c>
      <c r="PW35" s="1">
        <v>0.5</v>
      </c>
      <c r="PX35" s="450">
        <v>0.77999999999999936</v>
      </c>
      <c r="PY35" s="1">
        <v>0.75</v>
      </c>
      <c r="PZ35" s="450"/>
      <c r="QA35" s="1"/>
      <c r="QB35" s="450">
        <v>-5.45</v>
      </c>
      <c r="QC35" s="1">
        <v>0.66666666666666663</v>
      </c>
      <c r="QD35" s="450">
        <v>-2.9900000000000007</v>
      </c>
      <c r="QE35" s="1">
        <v>0.5</v>
      </c>
      <c r="QF35" s="450">
        <v>14.169999999999998</v>
      </c>
      <c r="QG35" s="1">
        <v>0.83333333333333337</v>
      </c>
      <c r="QH35" s="450">
        <v>-11.790000000000001</v>
      </c>
      <c r="QI35" s="1">
        <v>0.46153846153846156</v>
      </c>
      <c r="QJ35" s="450">
        <v>-26.019999999999996</v>
      </c>
      <c r="QK35" s="1">
        <v>0.33333333333333331</v>
      </c>
      <c r="QL35" s="450">
        <v>-0.1599999999999997</v>
      </c>
      <c r="QM35" s="1">
        <v>0.53846153846153844</v>
      </c>
      <c r="QN35" s="450">
        <v>-13.490000000000002</v>
      </c>
      <c r="QO35" s="1">
        <v>0.41666666666666669</v>
      </c>
      <c r="QP35" s="450">
        <v>0.95000000000000084</v>
      </c>
      <c r="QQ35" s="1">
        <v>0.58333333333333337</v>
      </c>
      <c r="QR35" s="450">
        <v>-10.23</v>
      </c>
      <c r="QS35" s="1">
        <v>0.5</v>
      </c>
      <c r="QT35" s="450">
        <v>5.1800000000000015</v>
      </c>
      <c r="QU35" s="1">
        <v>0.72727272727272729</v>
      </c>
      <c r="QV35" s="450">
        <v>3.2700000000000014</v>
      </c>
      <c r="QW35" s="1">
        <v>0.66666666666666663</v>
      </c>
      <c r="QX35" s="450">
        <v>0.92999999999999972</v>
      </c>
      <c r="QY35" s="1">
        <v>0.5</v>
      </c>
      <c r="QZ35" s="450">
        <v>-22.48</v>
      </c>
      <c r="RA35" s="1">
        <v>0.25</v>
      </c>
      <c r="RB35" s="450">
        <v>10.09</v>
      </c>
      <c r="RC35" s="1">
        <v>0.75</v>
      </c>
      <c r="RD35" s="450">
        <v>-7.67</v>
      </c>
      <c r="RE35" s="1">
        <v>0.58333333333333337</v>
      </c>
      <c r="RF35" s="450">
        <v>1.2399999999999993</v>
      </c>
      <c r="RG35" s="1">
        <v>0.5</v>
      </c>
      <c r="RH35" s="450">
        <v>-9.11</v>
      </c>
      <c r="RI35" s="1">
        <v>0.41666666666666669</v>
      </c>
      <c r="RJ35" s="450">
        <v>-10.740000000000002</v>
      </c>
      <c r="RK35" s="1">
        <v>0.30769230769230771</v>
      </c>
      <c r="RL35" s="450"/>
      <c r="RM35" s="1"/>
      <c r="RN35" s="450">
        <v>-3.46</v>
      </c>
      <c r="RO35" s="1">
        <v>0.41666666666666669</v>
      </c>
      <c r="RP35" s="450">
        <v>-20.6</v>
      </c>
      <c r="RQ35" s="1">
        <v>0.16666666666666666</v>
      </c>
      <c r="RR35" s="450"/>
      <c r="RS35" s="1"/>
      <c r="RT35" s="450">
        <v>14.22</v>
      </c>
      <c r="RU35" s="1">
        <v>0.83333333333333337</v>
      </c>
      <c r="RV35" s="450">
        <v>7.51</v>
      </c>
      <c r="RW35" s="1">
        <v>0.76923076923076927</v>
      </c>
      <c r="RX35" s="450">
        <v>13.839999999999998</v>
      </c>
      <c r="RY35" s="1">
        <v>0.83333333333333337</v>
      </c>
      <c r="RZ35" s="450">
        <v>-14.939999999999998</v>
      </c>
      <c r="SA35" s="1">
        <v>0.61538461538461542</v>
      </c>
      <c r="SB35" s="450">
        <v>-0.96999999999999975</v>
      </c>
      <c r="SC35" s="1">
        <v>0.75</v>
      </c>
      <c r="SD35" s="450">
        <v>18.380000000000003</v>
      </c>
      <c r="SE35" s="1">
        <v>0.91666666666666663</v>
      </c>
      <c r="SF35" s="450">
        <v>-10.080000000000002</v>
      </c>
      <c r="SG35" s="1">
        <v>0.41666666666666669</v>
      </c>
      <c r="SH35" s="450">
        <v>3.61</v>
      </c>
      <c r="SI35" s="1">
        <v>0.75</v>
      </c>
      <c r="SJ35" s="452">
        <v>-21.92</v>
      </c>
      <c r="SK35" s="1">
        <v>0.41666666666666669</v>
      </c>
      <c r="SL35" s="457">
        <v>13.21</v>
      </c>
      <c r="SM35" s="1">
        <v>0.91666666666666663</v>
      </c>
      <c r="SN35" s="459">
        <v>1.7099999999999993</v>
      </c>
      <c r="SO35" s="1">
        <v>0.66666666666666663</v>
      </c>
      <c r="SP35" s="461">
        <v>-23.96</v>
      </c>
      <c r="SQ35" s="1">
        <v>0.30769230769230771</v>
      </c>
      <c r="SR35" s="463">
        <v>-4.2000000000000011</v>
      </c>
      <c r="SS35" s="1">
        <v>0.58333333333333337</v>
      </c>
      <c r="ST35" s="464">
        <v>-6.1999999999999993</v>
      </c>
      <c r="SU35" s="1">
        <v>0.38461538461538464</v>
      </c>
      <c r="SV35" s="466">
        <v>-15.459999999999999</v>
      </c>
      <c r="SW35" s="1">
        <v>8.3333333333333329E-2</v>
      </c>
      <c r="SX35" s="467">
        <v>-4.2300000000000004</v>
      </c>
      <c r="SY35" s="1">
        <v>0.66666666666666663</v>
      </c>
      <c r="SZ35" s="469">
        <v>6.9</v>
      </c>
      <c r="TA35" s="1">
        <v>0.66666666666666663</v>
      </c>
      <c r="TB35" s="471">
        <v>15.51</v>
      </c>
      <c r="TC35" s="1">
        <v>0.83333333333333337</v>
      </c>
      <c r="TD35" s="472">
        <v>-6.55</v>
      </c>
      <c r="TE35" s="1">
        <v>0.5</v>
      </c>
      <c r="TF35" s="474">
        <v>1.9899999999999998</v>
      </c>
      <c r="TG35" s="1">
        <v>0.5</v>
      </c>
      <c r="TH35" s="488">
        <v>-7.2499999999999973</v>
      </c>
      <c r="TI35" s="1">
        <v>0.53846153846153844</v>
      </c>
      <c r="TJ35" s="489">
        <v>-8.3099999999999987</v>
      </c>
      <c r="TK35" s="1">
        <v>0.53846153846153844</v>
      </c>
      <c r="TL35" s="490">
        <v>-19.509999999999998</v>
      </c>
      <c r="TM35" s="1">
        <v>0.46153846153846156</v>
      </c>
      <c r="TN35" s="495">
        <v>-7.68</v>
      </c>
      <c r="TO35" s="1">
        <v>0.5</v>
      </c>
      <c r="TP35" s="500">
        <v>-3.0799999999999987</v>
      </c>
      <c r="TQ35" s="1">
        <v>0.5</v>
      </c>
      <c r="TR35" s="511">
        <v>0.23999999999999955</v>
      </c>
      <c r="TS35" s="1">
        <v>0.58333333333333337</v>
      </c>
      <c r="TT35" s="515">
        <v>1.3599999999999999</v>
      </c>
      <c r="TU35" s="1">
        <v>0.76923076923076927</v>
      </c>
      <c r="TV35" s="518">
        <v>-15.789999999999996</v>
      </c>
      <c r="TW35" s="1">
        <v>0.53846153846153844</v>
      </c>
      <c r="TX35" s="521"/>
      <c r="TY35" s="1"/>
      <c r="TZ35" s="524">
        <v>-21.040000000000003</v>
      </c>
      <c r="UA35" s="1">
        <v>0.27272727272727271</v>
      </c>
      <c r="UB35" s="527">
        <v>-2.87</v>
      </c>
      <c r="UC35" s="1">
        <v>0.61538461538461542</v>
      </c>
      <c r="UD35" s="530">
        <v>-5.1499999999999995</v>
      </c>
      <c r="UE35" s="1">
        <v>0.53846153846153844</v>
      </c>
      <c r="UF35" s="533">
        <v>-1.3000000000000003</v>
      </c>
      <c r="UG35" s="1">
        <v>0.53846153846153844</v>
      </c>
      <c r="UH35" s="536">
        <v>-1.1200000000000006</v>
      </c>
      <c r="UI35" s="1">
        <v>0.46153846153846156</v>
      </c>
      <c r="UJ35" s="539">
        <v>1.6300000000000012</v>
      </c>
      <c r="UK35" s="1">
        <v>0.61538461538461542</v>
      </c>
      <c r="UL35" s="540">
        <v>5.42</v>
      </c>
      <c r="UM35" s="1">
        <v>0.53846153846153844</v>
      </c>
      <c r="UN35" s="543">
        <v>6.2800000000000011</v>
      </c>
      <c r="UO35" s="1">
        <v>0.61538461538461542</v>
      </c>
      <c r="UP35" s="544">
        <v>-2.8100000000000005</v>
      </c>
      <c r="UQ35" s="1">
        <v>0.53846153846153844</v>
      </c>
      <c r="UR35" s="551">
        <v>-10.93</v>
      </c>
      <c r="US35" s="1">
        <v>0.46153846153846156</v>
      </c>
      <c r="UT35" s="551">
        <v>-10.959999999999997</v>
      </c>
      <c r="UU35" s="1">
        <v>0.30769230769230771</v>
      </c>
      <c r="UV35" s="562">
        <v>6.51</v>
      </c>
      <c r="UW35" s="1">
        <v>0.69230769230769229</v>
      </c>
      <c r="UX35" s="566">
        <v>-5.0600000000000005</v>
      </c>
      <c r="UY35" s="1">
        <v>0.46153846153846156</v>
      </c>
      <c r="UZ35" s="568">
        <v>8.36</v>
      </c>
      <c r="VA35" s="1">
        <v>0.61538461538461542</v>
      </c>
      <c r="VB35" s="572">
        <v>-11.09</v>
      </c>
      <c r="VC35" s="1">
        <v>0.23076923076923078</v>
      </c>
      <c r="VD35" s="576">
        <v>-13.200000000000001</v>
      </c>
      <c r="VE35" s="1">
        <v>0.30769230769230771</v>
      </c>
      <c r="VF35" s="580">
        <v>-13.510000000000002</v>
      </c>
      <c r="VG35" s="1">
        <v>0.38461538461538464</v>
      </c>
      <c r="VH35" s="584">
        <v>-14.52</v>
      </c>
      <c r="VI35" s="1">
        <v>0.23076923076923078</v>
      </c>
      <c r="VJ35" s="589">
        <v>-15.02</v>
      </c>
      <c r="VK35" s="1">
        <v>0.30769230769230771</v>
      </c>
      <c r="VL35" s="593">
        <v>-37.08</v>
      </c>
      <c r="VM35" s="1">
        <v>0.23076923076923078</v>
      </c>
      <c r="VN35" s="597">
        <v>2.0800000000000005</v>
      </c>
      <c r="VO35" s="1">
        <v>0.61538461538461542</v>
      </c>
      <c r="VP35" s="601">
        <v>-12.610000000000001</v>
      </c>
      <c r="VQ35" s="1">
        <v>0.38461538461538464</v>
      </c>
      <c r="VR35" s="603">
        <v>-4.1199999999999992</v>
      </c>
      <c r="VS35" s="1">
        <v>0.46153846153846156</v>
      </c>
      <c r="VT35" s="607">
        <v>-20.299999999999997</v>
      </c>
      <c r="VU35" s="1">
        <v>0.38461538461538464</v>
      </c>
      <c r="VV35" s="609">
        <v>10.34</v>
      </c>
      <c r="VW35" s="1">
        <v>0.69230769230769229</v>
      </c>
      <c r="VX35" s="613">
        <v>-0.49000000000000021</v>
      </c>
      <c r="VY35" s="1">
        <v>0.61538461538461542</v>
      </c>
      <c r="VZ35" s="617">
        <v>-25.09</v>
      </c>
      <c r="WA35" s="1">
        <v>0.23076923076923078</v>
      </c>
      <c r="WB35" s="619"/>
      <c r="WC35" s="1"/>
      <c r="WD35" s="624">
        <v>-1.9599999999999986</v>
      </c>
      <c r="WE35" s="1">
        <v>0.69230769230769229</v>
      </c>
      <c r="WF35" s="626">
        <v>-16.47</v>
      </c>
      <c r="WG35" s="1">
        <v>0.41666666666666669</v>
      </c>
      <c r="WH35" s="630">
        <v>-10.080000000000002</v>
      </c>
      <c r="WI35" s="1">
        <v>0.53846153846153844</v>
      </c>
      <c r="WJ35" s="636">
        <v>19.329999999999998</v>
      </c>
      <c r="WK35" s="1">
        <v>0.92307692307692313</v>
      </c>
      <c r="WL35" s="638">
        <v>3.87</v>
      </c>
      <c r="WM35" s="1">
        <v>0.46153846153846156</v>
      </c>
      <c r="WN35" s="642">
        <v>-4.32</v>
      </c>
      <c r="WO35" s="1">
        <v>0.46153846153846156</v>
      </c>
      <c r="WP35" s="646">
        <v>15.48</v>
      </c>
      <c r="WQ35" s="1">
        <v>0.83333333333333337</v>
      </c>
      <c r="WR35" s="652">
        <v>-6.1999999999999993</v>
      </c>
      <c r="WS35" s="1">
        <v>0.46153846153846156</v>
      </c>
      <c r="WT35" s="659">
        <v>-12.65</v>
      </c>
      <c r="WU35" s="1">
        <v>0.46153846153846156</v>
      </c>
      <c r="WV35" s="659">
        <v>-3.8200000000000007</v>
      </c>
      <c r="WW35" s="1">
        <v>0.53846153846153844</v>
      </c>
      <c r="WX35" s="672">
        <v>9.65</v>
      </c>
      <c r="WY35" s="1">
        <v>0.66666666666666663</v>
      </c>
      <c r="WZ35" s="677"/>
      <c r="XA35" s="1"/>
      <c r="XB35" s="681">
        <v>-19.03</v>
      </c>
      <c r="XC35" s="1">
        <v>0.38461538461538464</v>
      </c>
      <c r="XD35" s="683">
        <v>-7.1399999999999988</v>
      </c>
      <c r="XE35" s="1">
        <v>0.38461538461538464</v>
      </c>
      <c r="XF35" s="687">
        <v>9.73</v>
      </c>
      <c r="XG35" s="1">
        <v>0.69230769230769229</v>
      </c>
      <c r="XH35" s="689">
        <v>-10.18</v>
      </c>
      <c r="XI35" s="1">
        <v>0.38461538461538464</v>
      </c>
      <c r="XJ35" s="696">
        <v>-24.069999999999997</v>
      </c>
      <c r="XK35" s="1">
        <v>0.46153846153846156</v>
      </c>
      <c r="XL35" s="696">
        <v>-10.86</v>
      </c>
      <c r="XM35" s="1">
        <v>0.46153846153846156</v>
      </c>
      <c r="XN35" s="696">
        <v>-17.230000000000008</v>
      </c>
      <c r="XO35" s="1">
        <v>0.42307692307692307</v>
      </c>
      <c r="XP35" s="700">
        <v>11.019999999999998</v>
      </c>
      <c r="XQ35" s="1">
        <v>0.76923076923076927</v>
      </c>
      <c r="XR35" s="705">
        <v>-35.04</v>
      </c>
      <c r="XS35" s="1">
        <v>0.30769230769230771</v>
      </c>
      <c r="XT35" s="709">
        <v>-10.260000000000002</v>
      </c>
      <c r="XU35" s="1">
        <v>0.38461538461538464</v>
      </c>
      <c r="XV35" s="715"/>
      <c r="XW35" s="1"/>
    </row>
    <row r="36" spans="2:647" x14ac:dyDescent="0.25">
      <c r="B36" s="755"/>
      <c r="C36" s="763"/>
      <c r="D36" s="757" t="s">
        <v>12</v>
      </c>
      <c r="E36" s="757"/>
      <c r="F36" s="448">
        <v>0.4</v>
      </c>
      <c r="G36" s="768"/>
      <c r="H36" s="450">
        <v>2.9977777777777788</v>
      </c>
      <c r="I36" s="1">
        <v>0.58333333333333337</v>
      </c>
      <c r="J36" s="450">
        <v>3.6699999999999995</v>
      </c>
      <c r="K36" s="1">
        <v>0.66666666666666663</v>
      </c>
      <c r="L36" s="450">
        <v>-1.6233333333333337</v>
      </c>
      <c r="M36" s="1">
        <v>0.66666666666666663</v>
      </c>
      <c r="N36" s="450">
        <v>1.8222222222222224</v>
      </c>
      <c r="O36" s="1">
        <v>0.75</v>
      </c>
      <c r="P36" s="450">
        <v>1.5533333333333335</v>
      </c>
      <c r="Q36" s="1">
        <v>0.5</v>
      </c>
      <c r="R36" s="450">
        <v>-4.2266666666666657</v>
      </c>
      <c r="S36" s="1">
        <v>0.5</v>
      </c>
      <c r="T36" s="450"/>
      <c r="U36" s="1"/>
      <c r="V36" s="450">
        <v>-0.94777777777777727</v>
      </c>
      <c r="W36" s="1">
        <v>0.63636363636363635</v>
      </c>
      <c r="X36" s="450"/>
      <c r="Y36" s="1"/>
      <c r="Z36" s="450">
        <v>6.0911111111111111</v>
      </c>
      <c r="AA36" s="1">
        <v>0.90909090909090906</v>
      </c>
      <c r="AB36" s="450">
        <v>3.9411111111111108</v>
      </c>
      <c r="AC36" s="1">
        <v>0.83333333333333337</v>
      </c>
      <c r="AD36" s="450">
        <v>0.85999999999999988</v>
      </c>
      <c r="AE36" s="1">
        <v>0.75</v>
      </c>
      <c r="AF36" s="450"/>
      <c r="AG36" s="1"/>
      <c r="AH36" s="450">
        <v>0.30555555555555558</v>
      </c>
      <c r="AI36" s="1">
        <v>0.41666666666666669</v>
      </c>
      <c r="AJ36" s="450">
        <v>3.98</v>
      </c>
      <c r="AK36" s="1">
        <v>0.83333333333333337</v>
      </c>
      <c r="AL36" s="450">
        <v>2.5844444444444443</v>
      </c>
      <c r="AM36" s="1">
        <v>0.75</v>
      </c>
      <c r="AN36" s="450">
        <v>-5.5233333333333317</v>
      </c>
      <c r="AO36" s="1">
        <v>0.33333333333333331</v>
      </c>
      <c r="AP36" s="450">
        <v>-0.33999999999999958</v>
      </c>
      <c r="AQ36" s="1">
        <v>0.66666666666666663</v>
      </c>
      <c r="AR36" s="450">
        <v>1.4366666666666665</v>
      </c>
      <c r="AS36" s="1">
        <v>0.58333333333333337</v>
      </c>
      <c r="AT36" s="450">
        <v>-3.6544444444444446</v>
      </c>
      <c r="AU36" s="1">
        <v>0.5</v>
      </c>
      <c r="AV36" s="450">
        <v>4.1344444444444441</v>
      </c>
      <c r="AW36" s="1">
        <v>0.75</v>
      </c>
      <c r="AX36" s="450">
        <v>4.2066666666666661</v>
      </c>
      <c r="AY36" s="1">
        <v>0.75</v>
      </c>
      <c r="AZ36" s="450">
        <v>-5.2133333333333338</v>
      </c>
      <c r="BA36" s="1">
        <v>0.58333333333333337</v>
      </c>
      <c r="BB36" s="450">
        <v>1.3233333333333333</v>
      </c>
      <c r="BC36" s="1">
        <v>0.66666666666666663</v>
      </c>
      <c r="BD36" s="450">
        <v>1.0409999999999999</v>
      </c>
      <c r="BE36" s="1">
        <v>0.66666666666666663</v>
      </c>
      <c r="BF36" s="450">
        <v>-2.2120000000000006</v>
      </c>
      <c r="BG36" s="1">
        <v>0.45454545454545453</v>
      </c>
      <c r="BH36" s="450">
        <v>2.5180000000000007</v>
      </c>
      <c r="BI36" s="1">
        <v>0.66666666666666663</v>
      </c>
      <c r="BJ36" s="450">
        <v>-3.9889999999999999</v>
      </c>
      <c r="BK36" s="1">
        <v>0.58333333333333337</v>
      </c>
      <c r="BL36" s="450">
        <v>1.9759999999999998</v>
      </c>
      <c r="BM36" s="1">
        <v>0.66666666666666663</v>
      </c>
      <c r="BN36" s="450"/>
      <c r="BO36" s="1"/>
      <c r="BP36" s="450">
        <v>6.3460000000000001</v>
      </c>
      <c r="BQ36" s="1">
        <v>0.91666666666666663</v>
      </c>
      <c r="BR36" s="450">
        <v>5.1659999999999995</v>
      </c>
      <c r="BS36" s="1">
        <v>0.91666666666666663</v>
      </c>
      <c r="BT36" s="450"/>
      <c r="BU36" s="1"/>
      <c r="BV36" s="450">
        <v>5.4819999999999993</v>
      </c>
      <c r="BW36" s="1">
        <v>0.83333333333333337</v>
      </c>
      <c r="BX36" s="450">
        <v>-1.3089999999999999</v>
      </c>
      <c r="BY36" s="1">
        <v>0.5</v>
      </c>
      <c r="BZ36" s="450">
        <v>-0.36699999999999988</v>
      </c>
      <c r="CA36" s="1">
        <v>0.5</v>
      </c>
      <c r="CB36" s="450">
        <v>-5.8519999999999994</v>
      </c>
      <c r="CC36" s="1">
        <v>0.41666666666666669</v>
      </c>
      <c r="CD36" s="450">
        <v>1.3319999999999996</v>
      </c>
      <c r="CE36" s="1">
        <v>0.58333333333333337</v>
      </c>
      <c r="CF36" s="450">
        <v>-3.2400000000000007</v>
      </c>
      <c r="CG36" s="1">
        <v>0.41666666666666669</v>
      </c>
      <c r="CH36" s="450"/>
      <c r="CI36" s="1"/>
      <c r="CJ36" s="450">
        <v>-7.2769999999999984</v>
      </c>
      <c r="CK36" s="1">
        <v>0.33333333333333331</v>
      </c>
      <c r="CL36" s="450">
        <v>0.8620000000000001</v>
      </c>
      <c r="CM36" s="1">
        <v>0.5</v>
      </c>
      <c r="CN36" s="450">
        <v>3.6869999999999998</v>
      </c>
      <c r="CO36" s="1">
        <v>0.75</v>
      </c>
      <c r="CP36" s="450">
        <v>-2.5110000000000001</v>
      </c>
      <c r="CQ36" s="1">
        <v>0.41666666666666669</v>
      </c>
      <c r="CR36" s="450">
        <v>-7.3820000000000006</v>
      </c>
      <c r="CS36" s="1">
        <v>0.27272727272727271</v>
      </c>
      <c r="CT36" s="450">
        <v>-2.5780000000000003</v>
      </c>
      <c r="CU36" s="1">
        <v>0.72727272727272729</v>
      </c>
      <c r="CV36" s="450">
        <v>-10.457999999999998</v>
      </c>
      <c r="CW36" s="1">
        <v>0.33333333333333331</v>
      </c>
      <c r="CX36" s="450">
        <v>-1.8830000000000005</v>
      </c>
      <c r="CY36" s="1">
        <v>0.66666666666666663</v>
      </c>
      <c r="CZ36" s="450">
        <v>0.32199999999999929</v>
      </c>
      <c r="DA36" s="1">
        <v>0.75</v>
      </c>
      <c r="DB36" s="450">
        <v>-8.67</v>
      </c>
      <c r="DC36" s="1">
        <v>0.41666666666666669</v>
      </c>
      <c r="DD36" s="450">
        <v>-2.9569999999999999</v>
      </c>
      <c r="DE36" s="1">
        <v>0.58333333333333337</v>
      </c>
      <c r="DF36" s="450">
        <v>3.91</v>
      </c>
      <c r="DG36" s="1">
        <v>0.83333333333333337</v>
      </c>
      <c r="DH36" s="450">
        <v>-0.67499999999999993</v>
      </c>
      <c r="DI36" s="1">
        <v>0.72727272727272729</v>
      </c>
      <c r="DJ36" s="450">
        <v>-10.547000000000001</v>
      </c>
      <c r="DK36" s="1">
        <v>0.41666666666666669</v>
      </c>
      <c r="DL36" s="450">
        <v>-2.859</v>
      </c>
      <c r="DM36" s="1">
        <v>0.66666666666666663</v>
      </c>
      <c r="DN36" s="450">
        <v>-6.335</v>
      </c>
      <c r="DO36" s="1">
        <v>0.5</v>
      </c>
      <c r="DP36" s="450">
        <v>2.556</v>
      </c>
      <c r="DQ36" s="1">
        <v>0.58333333333333337</v>
      </c>
      <c r="DR36" s="450"/>
      <c r="DS36" s="1"/>
      <c r="DT36" s="450">
        <v>-0.40599999999999981</v>
      </c>
      <c r="DU36" s="1">
        <v>0.5</v>
      </c>
      <c r="DV36" s="450">
        <v>-1.5130000000000003</v>
      </c>
      <c r="DW36" s="1">
        <v>0.6</v>
      </c>
      <c r="DX36" s="450">
        <v>-1.5130000000000003</v>
      </c>
      <c r="DY36" s="1">
        <v>0.6</v>
      </c>
      <c r="DZ36" s="450">
        <v>4.7100000000000017</v>
      </c>
      <c r="EA36" s="1">
        <v>0.90909090909090906</v>
      </c>
      <c r="EB36" s="450">
        <v>4.9440000000000008</v>
      </c>
      <c r="EC36" s="1">
        <v>0.83333333333333337</v>
      </c>
      <c r="ED36" s="450">
        <v>2.0369999999999999</v>
      </c>
      <c r="EE36" s="1">
        <v>0.75</v>
      </c>
      <c r="EF36" s="450">
        <v>-1.2470000000000006</v>
      </c>
      <c r="EG36" s="1">
        <v>0.58333333333333337</v>
      </c>
      <c r="EH36" s="450">
        <v>3.3160000000000003</v>
      </c>
      <c r="EI36" s="1">
        <v>0.75</v>
      </c>
      <c r="EJ36" s="450">
        <v>-2.694</v>
      </c>
      <c r="EK36" s="1">
        <v>0.54545454545454541</v>
      </c>
      <c r="EL36" s="450"/>
      <c r="EM36" s="1"/>
      <c r="EN36" s="450">
        <v>4.7999999999999689E-2</v>
      </c>
      <c r="EO36" s="1">
        <v>0.66666666666666663</v>
      </c>
      <c r="EP36" s="450"/>
      <c r="EQ36" s="1"/>
      <c r="ER36" s="450">
        <v>-4.3340000000000005</v>
      </c>
      <c r="ES36" s="1">
        <v>0.33333333333333331</v>
      </c>
      <c r="ET36" s="450">
        <v>2.8770000000000002</v>
      </c>
      <c r="EU36" s="1">
        <v>0.75</v>
      </c>
      <c r="EV36" s="450">
        <v>-1.409</v>
      </c>
      <c r="EW36" s="1">
        <v>0.41666666666666669</v>
      </c>
      <c r="EX36" s="450">
        <v>-7.0870000000000006</v>
      </c>
      <c r="EY36" s="1">
        <v>0.16666666666666666</v>
      </c>
      <c r="EZ36" s="450">
        <v>-3.7549999999999999</v>
      </c>
      <c r="FA36" s="1">
        <v>0.33333333333333331</v>
      </c>
      <c r="FB36" s="450">
        <v>4.5299999999999994</v>
      </c>
      <c r="FC36" s="1">
        <v>0.66666666666666663</v>
      </c>
      <c r="FD36" s="450">
        <v>-10.700000000000001</v>
      </c>
      <c r="FE36" s="1">
        <v>0.54545454545454541</v>
      </c>
      <c r="FF36" s="450">
        <v>-8.39</v>
      </c>
      <c r="FG36" s="1">
        <v>0.66666666666666663</v>
      </c>
      <c r="FH36" s="450">
        <v>-34.940000000000005</v>
      </c>
      <c r="FI36" s="1">
        <v>0.25</v>
      </c>
      <c r="FJ36" s="450">
        <v>-21.07</v>
      </c>
      <c r="FK36" s="1">
        <v>0.5</v>
      </c>
      <c r="FL36" s="450">
        <v>-22.85</v>
      </c>
      <c r="FM36" s="1">
        <v>0.58333333333333337</v>
      </c>
      <c r="FN36" s="450">
        <v>2.12</v>
      </c>
      <c r="FO36" s="1">
        <v>0.5</v>
      </c>
      <c r="FP36" s="450">
        <v>3.8999999999999968</v>
      </c>
      <c r="FQ36" s="1">
        <v>0.66666666666666663</v>
      </c>
      <c r="FR36" s="450">
        <v>7.009999999999998</v>
      </c>
      <c r="FS36" s="1">
        <v>0.75</v>
      </c>
      <c r="FT36" s="450">
        <v>1.2299999999999982</v>
      </c>
      <c r="FU36" s="1">
        <v>0.66666666666666663</v>
      </c>
      <c r="FV36" s="450">
        <v>0.65999999999999959</v>
      </c>
      <c r="FW36" s="1">
        <v>0.58333333333333337</v>
      </c>
      <c r="FX36" s="450">
        <v>-13.059999999999995</v>
      </c>
      <c r="FY36" s="1">
        <v>0.5</v>
      </c>
      <c r="FZ36" s="450">
        <v>1.6500000000000004</v>
      </c>
      <c r="GA36" s="1">
        <v>0.66666666666666663</v>
      </c>
      <c r="GB36" s="450">
        <v>0.89999999999999947</v>
      </c>
      <c r="GC36" s="1">
        <v>0.58333333333333337</v>
      </c>
      <c r="GD36" s="450">
        <v>-9.57</v>
      </c>
      <c r="GE36" s="1">
        <v>0.41666666666666669</v>
      </c>
      <c r="GF36" s="450">
        <v>-4.0199999999999996</v>
      </c>
      <c r="GG36" s="1">
        <v>0.58333333333333337</v>
      </c>
      <c r="GH36" s="450">
        <v>-22.78</v>
      </c>
      <c r="GI36" s="1">
        <v>0.41666666666666669</v>
      </c>
      <c r="GJ36" s="450">
        <v>-18.77</v>
      </c>
      <c r="GK36" s="1">
        <v>0.45454545454545453</v>
      </c>
      <c r="GL36" s="450">
        <v>-7.0799999999999992</v>
      </c>
      <c r="GM36" s="1">
        <v>0.45454545454545453</v>
      </c>
      <c r="GN36" s="450">
        <v>-23.74</v>
      </c>
      <c r="GO36" s="1">
        <v>0.41666666666666669</v>
      </c>
      <c r="GP36" s="450">
        <v>-15.2</v>
      </c>
      <c r="GQ36" s="1">
        <v>0.33333333333333331</v>
      </c>
      <c r="GR36" s="450">
        <v>-9.9099999999999966</v>
      </c>
      <c r="GS36" s="1">
        <v>0.58333333333333337</v>
      </c>
      <c r="GT36" s="450">
        <v>-19.610000000000003</v>
      </c>
      <c r="GU36" s="1">
        <v>0.41666666666666669</v>
      </c>
      <c r="GV36" s="450">
        <v>-2.6900000000000004</v>
      </c>
      <c r="GW36" s="1">
        <v>0.5</v>
      </c>
      <c r="GX36" s="450">
        <v>-16.409999999999997</v>
      </c>
      <c r="GY36" s="1">
        <v>0.41666666666666669</v>
      </c>
      <c r="GZ36" s="450">
        <v>-20.869999999999997</v>
      </c>
      <c r="HA36" s="1">
        <v>0.41666666666666669</v>
      </c>
      <c r="HB36" s="450">
        <v>6.1400000000000015</v>
      </c>
      <c r="HC36" s="1">
        <v>0.5</v>
      </c>
      <c r="HD36" s="450">
        <v>14.199999999999998</v>
      </c>
      <c r="HE36" s="1">
        <v>0.66666666666666663</v>
      </c>
      <c r="HF36" s="450">
        <v>4.59</v>
      </c>
      <c r="HG36" s="1">
        <v>0.66666666666666663</v>
      </c>
      <c r="HH36" s="450">
        <v>15.139999999999999</v>
      </c>
      <c r="HI36" s="1">
        <v>0.83333333333333337</v>
      </c>
      <c r="HJ36" s="450">
        <v>6.51</v>
      </c>
      <c r="HK36" s="1">
        <v>0.75</v>
      </c>
      <c r="HL36" s="450">
        <v>-2.09</v>
      </c>
      <c r="HM36" s="1">
        <v>0.41666666666666669</v>
      </c>
      <c r="HN36" s="450">
        <v>-22.130000000000003</v>
      </c>
      <c r="HO36" s="1">
        <v>0.33333333333333331</v>
      </c>
      <c r="HP36" s="450">
        <v>-7.1899999999999995</v>
      </c>
      <c r="HQ36" s="1">
        <v>0.5</v>
      </c>
      <c r="HR36" s="450">
        <v>-5.7899999999999991</v>
      </c>
      <c r="HS36" s="1">
        <v>0.5</v>
      </c>
      <c r="HT36" s="450">
        <v>13.729999999999999</v>
      </c>
      <c r="HU36" s="1">
        <v>0.66666666666666663</v>
      </c>
      <c r="HV36" s="450">
        <v>-19.64</v>
      </c>
      <c r="HW36" s="1">
        <v>0.45454545454545453</v>
      </c>
      <c r="HX36" s="450">
        <v>-17.649999999999999</v>
      </c>
      <c r="HY36" s="1">
        <v>0.5</v>
      </c>
      <c r="HZ36" s="450"/>
      <c r="IA36" s="1"/>
      <c r="IB36" s="450">
        <v>19.170000000000002</v>
      </c>
      <c r="IC36" s="1">
        <v>0.75</v>
      </c>
      <c r="ID36" s="450">
        <v>-28.85</v>
      </c>
      <c r="IE36" s="1">
        <v>0.36363636363636365</v>
      </c>
      <c r="IF36" s="450">
        <v>-15.720000000000002</v>
      </c>
      <c r="IG36" s="1">
        <v>0.58333333333333337</v>
      </c>
      <c r="IH36" s="450">
        <v>-11.56</v>
      </c>
      <c r="II36" s="1">
        <v>0.36363636363636365</v>
      </c>
      <c r="IJ36" s="450">
        <v>-16.03</v>
      </c>
      <c r="IK36" s="1">
        <v>0.5</v>
      </c>
      <c r="IL36" s="450">
        <v>0.84999999999999964</v>
      </c>
      <c r="IM36" s="1">
        <v>0.5</v>
      </c>
      <c r="IN36" s="450">
        <v>9.9300000000000015</v>
      </c>
      <c r="IO36" s="1">
        <v>0.66666666666666663</v>
      </c>
      <c r="IP36" s="450">
        <v>9.68</v>
      </c>
      <c r="IQ36" s="1">
        <v>0.66666666666666663</v>
      </c>
      <c r="IR36" s="450"/>
      <c r="IS36" s="1"/>
      <c r="IT36" s="450"/>
      <c r="IU36" s="1"/>
      <c r="IV36" s="450">
        <v>0.69</v>
      </c>
      <c r="IW36" s="1">
        <v>0.58333333333333337</v>
      </c>
      <c r="IX36" s="450"/>
      <c r="IY36" s="1"/>
      <c r="IZ36" s="450"/>
      <c r="JA36" s="1"/>
      <c r="JB36" s="450"/>
      <c r="JC36" s="1"/>
      <c r="JD36" s="450"/>
      <c r="JE36" s="1"/>
      <c r="JF36" s="450">
        <v>23</v>
      </c>
      <c r="JG36" s="1">
        <v>0.83333333333333337</v>
      </c>
      <c r="JH36" s="450">
        <v>13.06</v>
      </c>
      <c r="JI36" s="1">
        <v>0.58333333333333337</v>
      </c>
      <c r="JJ36" s="450">
        <v>6.5499999999999989</v>
      </c>
      <c r="JK36" s="1">
        <v>0.75</v>
      </c>
      <c r="JL36" s="450">
        <v>-18.639999999999997</v>
      </c>
      <c r="JM36" s="1">
        <v>0.25</v>
      </c>
      <c r="JN36" s="450">
        <v>-15.010000000000003</v>
      </c>
      <c r="JO36" s="1">
        <v>0.25</v>
      </c>
      <c r="JP36" s="450">
        <v>0.39999999999999969</v>
      </c>
      <c r="JQ36" s="1">
        <v>0.58333333333333337</v>
      </c>
      <c r="JR36" s="450"/>
      <c r="JS36" s="1"/>
      <c r="JT36" s="450"/>
      <c r="JU36" s="1"/>
      <c r="JV36" s="450"/>
      <c r="JW36" s="1"/>
      <c r="JX36" s="450">
        <v>-5.8300000000000018</v>
      </c>
      <c r="JY36" s="1">
        <v>0.66666666666666663</v>
      </c>
      <c r="JZ36" s="450">
        <v>-14.270000000000003</v>
      </c>
      <c r="KA36" s="1">
        <v>0.58333333333333337</v>
      </c>
      <c r="KB36" s="450">
        <v>6.74</v>
      </c>
      <c r="KC36" s="1">
        <v>0.75</v>
      </c>
      <c r="KD36" s="450">
        <v>-0.76999999999999957</v>
      </c>
      <c r="KE36" s="1">
        <v>0.41666666666666669</v>
      </c>
      <c r="KF36" s="450">
        <v>9.3999999999999986</v>
      </c>
      <c r="KG36" s="1">
        <v>0.66666666666666663</v>
      </c>
      <c r="KH36" s="450">
        <v>-4.629999999999999</v>
      </c>
      <c r="KI36" s="1">
        <v>0.5</v>
      </c>
      <c r="KJ36" s="450">
        <v>8.24</v>
      </c>
      <c r="KK36" s="1">
        <v>0.5</v>
      </c>
      <c r="KL36" s="450">
        <v>-7.4299999999999971</v>
      </c>
      <c r="KM36" s="1">
        <v>0.5</v>
      </c>
      <c r="KN36" s="450">
        <v>14.689999999999998</v>
      </c>
      <c r="KO36" s="1">
        <v>0.66666666666666663</v>
      </c>
      <c r="KP36" s="450">
        <v>0.62000000000000055</v>
      </c>
      <c r="KQ36" s="1">
        <v>0.5</v>
      </c>
      <c r="KR36" s="450">
        <v>11.299999999999999</v>
      </c>
      <c r="KS36" s="1">
        <v>0.83333333333333337</v>
      </c>
      <c r="KT36" s="450">
        <v>4.6499999999999986</v>
      </c>
      <c r="KU36" s="1">
        <v>0.75</v>
      </c>
      <c r="KV36" s="450">
        <v>3.66</v>
      </c>
      <c r="KW36" s="1">
        <v>0.66666666666666663</v>
      </c>
      <c r="KX36" s="450">
        <v>-32.909999999999997</v>
      </c>
      <c r="KY36" s="1">
        <v>0.5</v>
      </c>
      <c r="KZ36" s="450">
        <v>-4.75</v>
      </c>
      <c r="LA36" s="1">
        <v>0.66666666666666663</v>
      </c>
      <c r="LB36" s="450">
        <v>-22.65</v>
      </c>
      <c r="LC36" s="1">
        <v>0.58333333333333337</v>
      </c>
      <c r="LD36" s="450">
        <v>34.619999999999997</v>
      </c>
      <c r="LE36" s="1">
        <v>1</v>
      </c>
      <c r="LF36" s="450">
        <v>18.659999999999993</v>
      </c>
      <c r="LG36" s="1">
        <v>0.90909090909090906</v>
      </c>
      <c r="LH36" s="450">
        <v>-4.3000000000000007</v>
      </c>
      <c r="LI36" s="1">
        <v>0.75</v>
      </c>
      <c r="LJ36" s="450">
        <v>12.620000000000001</v>
      </c>
      <c r="LK36" s="1">
        <v>0.75</v>
      </c>
      <c r="LL36" s="450"/>
      <c r="LM36" s="1"/>
      <c r="LN36" s="450">
        <v>-34.339999999999996</v>
      </c>
      <c r="LO36" s="1">
        <v>0.5</v>
      </c>
      <c r="LP36" s="450">
        <v>21.15</v>
      </c>
      <c r="LQ36" s="1">
        <v>0.91666666666666663</v>
      </c>
      <c r="LR36" s="450">
        <v>-8.33</v>
      </c>
      <c r="LS36" s="1">
        <v>0.7</v>
      </c>
      <c r="LT36" s="450">
        <v>-34.79</v>
      </c>
      <c r="LU36" s="1">
        <v>0.5</v>
      </c>
      <c r="LV36" s="450">
        <v>-49.489999999999995</v>
      </c>
      <c r="LW36" s="1">
        <v>0.5</v>
      </c>
      <c r="LX36" s="450">
        <v>15.790000000000003</v>
      </c>
      <c r="LY36" s="1">
        <v>0.81818181818181823</v>
      </c>
      <c r="LZ36" s="450">
        <v>1.5999999999999983</v>
      </c>
      <c r="MA36" s="1">
        <v>0.75</v>
      </c>
      <c r="MB36" s="450">
        <v>1.9699999999999993</v>
      </c>
      <c r="MC36" s="1">
        <v>0.75</v>
      </c>
      <c r="MD36" s="450">
        <v>-12.560000000000002</v>
      </c>
      <c r="ME36" s="1">
        <v>0.66666666666666663</v>
      </c>
      <c r="MF36" s="450">
        <v>-9.07</v>
      </c>
      <c r="MG36" s="1">
        <v>0.63636363636363635</v>
      </c>
      <c r="MH36" s="450">
        <v>-7.7100000000000009</v>
      </c>
      <c r="MI36" s="1">
        <v>0.72727272727272729</v>
      </c>
      <c r="MJ36" s="450">
        <v>-10.470000000000006</v>
      </c>
      <c r="MK36" s="1">
        <v>0.69230769230769229</v>
      </c>
      <c r="ML36" s="450">
        <v>0.41000000000000103</v>
      </c>
      <c r="MM36" s="1">
        <v>0.72727272727272729</v>
      </c>
      <c r="MN36" s="450">
        <v>-11.950000000000003</v>
      </c>
      <c r="MO36" s="1">
        <v>0.69230769230769229</v>
      </c>
      <c r="MP36" s="450">
        <v>-14.520000000000001</v>
      </c>
      <c r="MQ36" s="1">
        <v>0.58333333333333337</v>
      </c>
      <c r="MR36" s="450">
        <v>-15.14</v>
      </c>
      <c r="MS36" s="1">
        <v>0.58333333333333337</v>
      </c>
      <c r="MT36" s="450">
        <v>-19.600000000000001</v>
      </c>
      <c r="MU36" s="1">
        <v>0.58333333333333337</v>
      </c>
      <c r="MV36" s="450">
        <v>18.589999999999996</v>
      </c>
      <c r="MW36" s="1">
        <v>0.90909090909090906</v>
      </c>
      <c r="MX36" s="450">
        <v>-6.6499999999999995</v>
      </c>
      <c r="MY36" s="1">
        <v>0.7</v>
      </c>
      <c r="MZ36" s="450">
        <v>-17.220000000000002</v>
      </c>
      <c r="NA36" s="1">
        <v>0.66666666666666663</v>
      </c>
      <c r="NB36" s="450">
        <v>-7.0999999999999961</v>
      </c>
      <c r="NC36" s="1">
        <v>0.66666666666666663</v>
      </c>
      <c r="ND36" s="450">
        <v>-24.210000000000004</v>
      </c>
      <c r="NE36" s="1">
        <v>0.58333333333333337</v>
      </c>
      <c r="NF36" s="450">
        <v>21.560000000000002</v>
      </c>
      <c r="NG36" s="1">
        <v>0.91666666666666663</v>
      </c>
      <c r="NH36" s="450">
        <v>21.560000000000002</v>
      </c>
      <c r="NI36" s="1">
        <v>0.91666666666666663</v>
      </c>
      <c r="NJ36" s="450">
        <v>16.190000000000005</v>
      </c>
      <c r="NK36" s="1">
        <v>0.83333333333333337</v>
      </c>
      <c r="NL36" s="450"/>
      <c r="NM36" s="1"/>
      <c r="NN36" s="450">
        <v>16.850000000000001</v>
      </c>
      <c r="NO36" s="1">
        <v>0.83333333333333337</v>
      </c>
      <c r="NP36" s="450">
        <v>-11.46</v>
      </c>
      <c r="NQ36" s="1">
        <v>0.4</v>
      </c>
      <c r="NR36" s="450">
        <v>20.73</v>
      </c>
      <c r="NS36" s="1">
        <v>0.88888888888888884</v>
      </c>
      <c r="NT36" s="450">
        <v>-22.200000000000003</v>
      </c>
      <c r="NU36" s="1">
        <v>0.55555555555555558</v>
      </c>
      <c r="NV36" s="450">
        <v>-1.5100000000000002</v>
      </c>
      <c r="NW36" s="1">
        <v>0.75</v>
      </c>
      <c r="NX36" s="450">
        <v>-13.52</v>
      </c>
      <c r="NY36" s="1">
        <v>0.5714285714285714</v>
      </c>
      <c r="NZ36" s="450">
        <v>-2.2999999999999998</v>
      </c>
      <c r="OA36" s="1">
        <v>0.66666666666666663</v>
      </c>
      <c r="OB36" s="450">
        <v>17.8</v>
      </c>
      <c r="OC36" s="1">
        <v>0.88888888888888884</v>
      </c>
      <c r="OD36" s="450">
        <v>14.279999999999998</v>
      </c>
      <c r="OE36" s="1">
        <v>0.8571428571428571</v>
      </c>
      <c r="OF36" s="450">
        <v>-9.8000000000000007</v>
      </c>
      <c r="OG36" s="1">
        <v>0.5714285714285714</v>
      </c>
      <c r="OH36" s="450">
        <v>-14.930000000000001</v>
      </c>
      <c r="OI36" s="1">
        <v>0.5</v>
      </c>
      <c r="OJ36" s="450">
        <v>2.0500000000000016</v>
      </c>
      <c r="OK36" s="1">
        <v>0.61538461538461542</v>
      </c>
      <c r="OL36" s="450">
        <v>0.66999999999999948</v>
      </c>
      <c r="OM36" s="1">
        <v>0.75</v>
      </c>
      <c r="ON36" s="450">
        <v>-25.400000000000002</v>
      </c>
      <c r="OO36" s="1">
        <v>0.5</v>
      </c>
      <c r="OP36" s="450">
        <v>5.48</v>
      </c>
      <c r="OQ36" s="1">
        <v>0.83333333333333337</v>
      </c>
      <c r="OR36" s="450">
        <v>-7.4500000000000028</v>
      </c>
      <c r="OS36" s="1">
        <v>0.58333333333333337</v>
      </c>
      <c r="OT36" s="450">
        <v>-34.360000000000021</v>
      </c>
      <c r="OU36" s="1">
        <v>0.41666666666666669</v>
      </c>
      <c r="OV36" s="450">
        <v>-45.089999999999989</v>
      </c>
      <c r="OW36" s="1">
        <v>0.41666666666666669</v>
      </c>
      <c r="OX36" s="450">
        <v>-14.510000000000002</v>
      </c>
      <c r="OY36" s="1">
        <v>0.5</v>
      </c>
      <c r="OZ36" s="450">
        <v>9.9299999999999979</v>
      </c>
      <c r="PA36" s="1">
        <v>0.83333333333333337</v>
      </c>
      <c r="PB36" s="450">
        <v>5.76</v>
      </c>
      <c r="PC36" s="1">
        <v>0.75</v>
      </c>
      <c r="PD36" s="450">
        <v>-7.8699999999999957</v>
      </c>
      <c r="PE36" s="1">
        <v>0.5</v>
      </c>
      <c r="PF36" s="450">
        <v>-0.32000000000000028</v>
      </c>
      <c r="PG36" s="1">
        <v>0.66666666666666663</v>
      </c>
      <c r="PH36" s="450">
        <v>-13.429999999999998</v>
      </c>
      <c r="PI36" s="1">
        <v>0.58333333333333337</v>
      </c>
      <c r="PJ36" s="450">
        <v>3.7099999999999995</v>
      </c>
      <c r="PK36" s="1">
        <v>0.76923076923076927</v>
      </c>
      <c r="PL36" s="450"/>
      <c r="PM36" s="1"/>
      <c r="PN36" s="450"/>
      <c r="PO36" s="1"/>
      <c r="PP36" s="450">
        <v>-34.479999999999997</v>
      </c>
      <c r="PQ36" s="1">
        <v>0.5</v>
      </c>
      <c r="PR36" s="450">
        <v>-7.2200000000000006</v>
      </c>
      <c r="PS36" s="1">
        <v>0.69230769230769229</v>
      </c>
      <c r="PT36" s="450">
        <v>3.5400000000000009</v>
      </c>
      <c r="PU36" s="1">
        <v>0.75</v>
      </c>
      <c r="PV36" s="450">
        <v>-48.74</v>
      </c>
      <c r="PW36" s="1">
        <v>0.41666666666666669</v>
      </c>
      <c r="PX36" s="450">
        <v>-17.259999999999998</v>
      </c>
      <c r="PY36" s="1">
        <v>0.66666666666666663</v>
      </c>
      <c r="PZ36" s="450"/>
      <c r="QA36" s="1"/>
      <c r="QB36" s="450">
        <v>-1.0600000000000005</v>
      </c>
      <c r="QC36" s="1">
        <v>0.66666666666666663</v>
      </c>
      <c r="QD36" s="450">
        <v>-1.9499999999999984</v>
      </c>
      <c r="QE36" s="1">
        <v>0.58333333333333337</v>
      </c>
      <c r="QF36" s="450">
        <v>7.8699999999999992</v>
      </c>
      <c r="QG36" s="1">
        <v>0.66666666666666663</v>
      </c>
      <c r="QH36" s="450">
        <v>-25.64</v>
      </c>
      <c r="QI36" s="1">
        <v>0.38461538461538464</v>
      </c>
      <c r="QJ36" s="450">
        <v>-17.529999999999998</v>
      </c>
      <c r="QK36" s="1">
        <v>0.5</v>
      </c>
      <c r="QL36" s="450">
        <v>11.429999999999998</v>
      </c>
      <c r="QM36" s="1">
        <v>0.69230769230769229</v>
      </c>
      <c r="QN36" s="450">
        <v>-6.7100000000000009</v>
      </c>
      <c r="QO36" s="1">
        <v>0.41666666666666669</v>
      </c>
      <c r="QP36" s="450">
        <v>-9.9000000000000021</v>
      </c>
      <c r="QQ36" s="1">
        <v>0.58333333333333337</v>
      </c>
      <c r="QR36" s="450">
        <v>-4.9100000000000019</v>
      </c>
      <c r="QS36" s="1">
        <v>0.58333333333333337</v>
      </c>
      <c r="QT36" s="450">
        <v>5.8699999999999992</v>
      </c>
      <c r="QU36" s="1">
        <v>0.72727272727272729</v>
      </c>
      <c r="QV36" s="450">
        <v>9.6999999999999993</v>
      </c>
      <c r="QW36" s="1">
        <v>0.66666666666666663</v>
      </c>
      <c r="QX36" s="450">
        <v>-4.4000000000000004</v>
      </c>
      <c r="QY36" s="1">
        <v>0.5</v>
      </c>
      <c r="QZ36" s="450">
        <v>-20.36</v>
      </c>
      <c r="RA36" s="1">
        <v>0.33333333333333331</v>
      </c>
      <c r="RB36" s="450">
        <v>32.270000000000003</v>
      </c>
      <c r="RC36" s="1">
        <v>1</v>
      </c>
      <c r="RD36" s="450">
        <v>-20.099999999999998</v>
      </c>
      <c r="RE36" s="1">
        <v>0.41666666666666669</v>
      </c>
      <c r="RF36" s="450">
        <v>3.22</v>
      </c>
      <c r="RG36" s="1">
        <v>0.5</v>
      </c>
      <c r="RH36" s="450">
        <v>-4.7800000000000011</v>
      </c>
      <c r="RI36" s="1">
        <v>0.58333333333333337</v>
      </c>
      <c r="RJ36" s="450">
        <v>5.5600000000000005</v>
      </c>
      <c r="RK36" s="1">
        <v>0.69230769230769229</v>
      </c>
      <c r="RL36" s="450"/>
      <c r="RM36" s="1"/>
      <c r="RN36" s="450">
        <v>-3.49</v>
      </c>
      <c r="RO36" s="1">
        <v>0.5</v>
      </c>
      <c r="RP36" s="450">
        <v>2.7800000000000007</v>
      </c>
      <c r="RQ36" s="1">
        <v>0.58333333333333337</v>
      </c>
      <c r="RR36" s="450"/>
      <c r="RS36" s="1"/>
      <c r="RT36" s="450">
        <v>13.809999999999999</v>
      </c>
      <c r="RU36" s="1">
        <v>0.75</v>
      </c>
      <c r="RV36" s="450">
        <v>-11.26</v>
      </c>
      <c r="RW36" s="1">
        <v>0.53846153846153844</v>
      </c>
      <c r="RX36" s="450">
        <v>3.8400000000000016</v>
      </c>
      <c r="RY36" s="1">
        <v>0.75</v>
      </c>
      <c r="RZ36" s="450">
        <v>1.0900000000000039</v>
      </c>
      <c r="SA36" s="1">
        <v>0.76923076923076927</v>
      </c>
      <c r="SB36" s="450">
        <v>0.6899999999999995</v>
      </c>
      <c r="SC36" s="1">
        <v>0.66666666666666663</v>
      </c>
      <c r="SD36" s="450">
        <v>10.52</v>
      </c>
      <c r="SE36" s="1">
        <v>0.83333333333333337</v>
      </c>
      <c r="SF36" s="450">
        <v>1.7900000000000009</v>
      </c>
      <c r="SG36" s="1">
        <v>0.66666666666666663</v>
      </c>
      <c r="SH36" s="450">
        <v>-39.71</v>
      </c>
      <c r="SI36" s="1">
        <v>0.41666666666666669</v>
      </c>
      <c r="SJ36" s="452">
        <v>-32.06</v>
      </c>
      <c r="SK36" s="1">
        <v>0.41666666666666669</v>
      </c>
      <c r="SL36" s="457">
        <v>7.69</v>
      </c>
      <c r="SM36" s="1">
        <v>0.58333333333333337</v>
      </c>
      <c r="SN36" s="459">
        <v>-3.1800000000000037</v>
      </c>
      <c r="SO36" s="1">
        <v>0.66666666666666663</v>
      </c>
      <c r="SP36" s="461">
        <v>-6.0399999999999983</v>
      </c>
      <c r="SQ36" s="1">
        <v>0.61538461538461542</v>
      </c>
      <c r="SR36" s="463">
        <v>-5.9199999999999982</v>
      </c>
      <c r="SS36" s="1">
        <v>0.66666666666666663</v>
      </c>
      <c r="ST36" s="464">
        <v>2.1500000000000004</v>
      </c>
      <c r="SU36" s="1">
        <v>0.46153846153846156</v>
      </c>
      <c r="SV36" s="466">
        <v>0.43000000000000016</v>
      </c>
      <c r="SW36" s="1">
        <v>0.58333333333333337</v>
      </c>
      <c r="SX36" s="467">
        <v>1.6300000000000003</v>
      </c>
      <c r="SY36" s="1">
        <v>0.75</v>
      </c>
      <c r="SZ36" s="469">
        <v>-9.240000000000002</v>
      </c>
      <c r="TA36" s="1">
        <v>0.5</v>
      </c>
      <c r="TB36" s="471">
        <v>-15.569999999999999</v>
      </c>
      <c r="TC36" s="1">
        <v>0.41666666666666669</v>
      </c>
      <c r="TD36" s="472">
        <v>5.3099999999999987</v>
      </c>
      <c r="TE36" s="1">
        <v>0.66666666666666663</v>
      </c>
      <c r="TF36" s="474">
        <v>-3.0099999999999985</v>
      </c>
      <c r="TG36" s="1">
        <v>0.41666666666666669</v>
      </c>
      <c r="TH36" s="488">
        <v>19.330000000000002</v>
      </c>
      <c r="TI36" s="1">
        <v>0.69230769230769229</v>
      </c>
      <c r="TJ36" s="489">
        <v>-6.149999999999995</v>
      </c>
      <c r="TK36" s="1">
        <v>0.61538461538461542</v>
      </c>
      <c r="TL36" s="490">
        <v>-19.600000000000005</v>
      </c>
      <c r="TM36" s="1">
        <v>0.61538461538461542</v>
      </c>
      <c r="TN36" s="495">
        <v>-23.220000000000002</v>
      </c>
      <c r="TO36" s="1">
        <v>0.5</v>
      </c>
      <c r="TP36" s="500">
        <v>11.489999999999998</v>
      </c>
      <c r="TQ36" s="1">
        <v>0.66666666666666663</v>
      </c>
      <c r="TR36" s="511">
        <v>-5.610000000000003</v>
      </c>
      <c r="TS36" s="1">
        <v>0.58333333333333337</v>
      </c>
      <c r="TT36" s="515">
        <v>2.2899999999999996</v>
      </c>
      <c r="TU36" s="1">
        <v>0.76923076923076927</v>
      </c>
      <c r="TV36" s="518">
        <v>-44.64</v>
      </c>
      <c r="TW36" s="1">
        <v>0.38461538461538464</v>
      </c>
      <c r="TX36" s="521"/>
      <c r="TY36" s="1"/>
      <c r="TZ36" s="524">
        <v>-11.920000000000002</v>
      </c>
      <c r="UA36" s="1">
        <v>0.36363636363636365</v>
      </c>
      <c r="UB36" s="527">
        <v>-9.5400000000000027</v>
      </c>
      <c r="UC36" s="1">
        <v>0.61538461538461542</v>
      </c>
      <c r="UD36" s="530">
        <v>-23.13</v>
      </c>
      <c r="UE36" s="1">
        <v>0.46153846153846156</v>
      </c>
      <c r="UF36" s="533">
        <v>7.0999999999999988</v>
      </c>
      <c r="UG36" s="1">
        <v>0.61538461538461542</v>
      </c>
      <c r="UH36" s="536">
        <v>13.69</v>
      </c>
      <c r="UI36" s="1">
        <v>0.61538461538461542</v>
      </c>
      <c r="UJ36" s="539">
        <v>-20.8</v>
      </c>
      <c r="UK36" s="1">
        <v>0.53846153846153844</v>
      </c>
      <c r="UL36" s="540">
        <v>9.82</v>
      </c>
      <c r="UM36" s="1">
        <v>0.69230769230769229</v>
      </c>
      <c r="UN36" s="543">
        <v>0.71999999999999975</v>
      </c>
      <c r="UO36" s="1">
        <v>0.53846153846153844</v>
      </c>
      <c r="UP36" s="544">
        <v>-2.6900000000000013</v>
      </c>
      <c r="UQ36" s="1">
        <v>0.61538461538461542</v>
      </c>
      <c r="UR36" s="551">
        <v>-22.43</v>
      </c>
      <c r="US36" s="1">
        <v>0.38461538461538464</v>
      </c>
      <c r="UT36" s="551">
        <v>-13.14</v>
      </c>
      <c r="UU36" s="1">
        <v>0.30769230769230771</v>
      </c>
      <c r="UV36" s="562">
        <v>21.18</v>
      </c>
      <c r="UW36" s="1">
        <v>0.83333333333333337</v>
      </c>
      <c r="UX36" s="566">
        <v>-3.4900000000000011</v>
      </c>
      <c r="UY36" s="1">
        <v>0.53846153846153844</v>
      </c>
      <c r="UZ36" s="568">
        <v>24.14</v>
      </c>
      <c r="VA36" s="1">
        <v>0.69230769230769229</v>
      </c>
      <c r="VB36" s="572">
        <v>-13.51</v>
      </c>
      <c r="VC36" s="1">
        <v>0.53846153846153844</v>
      </c>
      <c r="VD36" s="576">
        <v>-17.25</v>
      </c>
      <c r="VE36" s="1">
        <v>0.30769230769230771</v>
      </c>
      <c r="VF36" s="580">
        <v>22.34</v>
      </c>
      <c r="VG36" s="1">
        <v>0.84615384615384615</v>
      </c>
      <c r="VH36" s="584">
        <v>13.43</v>
      </c>
      <c r="VI36" s="1">
        <v>0.69230769230769229</v>
      </c>
      <c r="VJ36" s="589">
        <v>-23.47</v>
      </c>
      <c r="VK36" s="1">
        <v>0.38461538461538464</v>
      </c>
      <c r="VL36" s="593">
        <v>-33.22</v>
      </c>
      <c r="VM36" s="1">
        <v>0.46153846153846156</v>
      </c>
      <c r="VN36" s="597">
        <v>-26.580000000000002</v>
      </c>
      <c r="VO36" s="1">
        <v>0.30769230769230771</v>
      </c>
      <c r="VP36" s="601">
        <v>-12.719999999999999</v>
      </c>
      <c r="VQ36" s="1">
        <v>0.46153846153846156</v>
      </c>
      <c r="VR36" s="603">
        <v>-32.280000000000008</v>
      </c>
      <c r="VS36" s="1">
        <v>0.30769230769230771</v>
      </c>
      <c r="VT36" s="607">
        <v>0.64000000000000146</v>
      </c>
      <c r="VU36" s="1">
        <v>0.76923076923076927</v>
      </c>
      <c r="VV36" s="609">
        <v>11.43</v>
      </c>
      <c r="VW36" s="1">
        <v>0.76923076923076927</v>
      </c>
      <c r="VX36" s="613">
        <v>-5.18</v>
      </c>
      <c r="VY36" s="1">
        <v>0.53846153846153844</v>
      </c>
      <c r="VZ36" s="617">
        <v>-19.139999999999997</v>
      </c>
      <c r="WA36" s="1">
        <v>0.46153846153846156</v>
      </c>
      <c r="WB36" s="619"/>
      <c r="WC36" s="1"/>
      <c r="WD36" s="624">
        <v>0.81999999999999984</v>
      </c>
      <c r="WE36" s="1">
        <v>0.76923076923076927</v>
      </c>
      <c r="WF36" s="626">
        <v>-29.520000000000003</v>
      </c>
      <c r="WG36" s="1">
        <v>0.5</v>
      </c>
      <c r="WH36" s="630">
        <v>-35.710000000000008</v>
      </c>
      <c r="WI36" s="1">
        <v>0.46153846153846156</v>
      </c>
      <c r="WJ36" s="636">
        <v>21.700000000000003</v>
      </c>
      <c r="WK36" s="1">
        <v>0.76923076923076927</v>
      </c>
      <c r="WL36" s="638">
        <v>12.700000000000001</v>
      </c>
      <c r="WM36" s="1">
        <v>0.69230769230769229</v>
      </c>
      <c r="WN36" s="642">
        <v>21.029999999999998</v>
      </c>
      <c r="WO36" s="1">
        <v>0.84615384615384615</v>
      </c>
      <c r="WP36" s="646">
        <v>-1.1600000000000001</v>
      </c>
      <c r="WQ36" s="1">
        <v>0.58333333333333337</v>
      </c>
      <c r="WR36" s="652">
        <v>6.8099999999999987</v>
      </c>
      <c r="WS36" s="1">
        <v>0.69230769230769229</v>
      </c>
      <c r="WT36" s="659">
        <v>-24.54</v>
      </c>
      <c r="WU36" s="1">
        <v>0.53846153846153844</v>
      </c>
      <c r="WV36" s="659">
        <v>-26.86</v>
      </c>
      <c r="WW36" s="1">
        <v>0.38461538461538464</v>
      </c>
      <c r="WX36" s="672">
        <v>-3.2700000000000005</v>
      </c>
      <c r="WY36" s="1">
        <v>0.5</v>
      </c>
      <c r="WZ36" s="677"/>
      <c r="XA36" s="1"/>
      <c r="XB36" s="681">
        <v>-29.05</v>
      </c>
      <c r="XC36" s="1">
        <v>0.38461538461538464</v>
      </c>
      <c r="XD36" s="683">
        <v>-19.86</v>
      </c>
      <c r="XE36" s="1">
        <v>0.46153846153846156</v>
      </c>
      <c r="XF36" s="687">
        <v>30.110000000000003</v>
      </c>
      <c r="XG36" s="1">
        <v>0.92307692307692313</v>
      </c>
      <c r="XH36" s="689">
        <v>0.96999999999999975</v>
      </c>
      <c r="XI36" s="1">
        <v>0.53846153846153844</v>
      </c>
      <c r="XJ36" s="696">
        <v>9.5500000000000007</v>
      </c>
      <c r="XK36" s="1">
        <v>0.76923076923076927</v>
      </c>
      <c r="XL36" s="696">
        <v>13.040000000000001</v>
      </c>
      <c r="XM36" s="1">
        <v>0.69230769230769229</v>
      </c>
      <c r="XN36" s="696">
        <v>-20.999999999999996</v>
      </c>
      <c r="XO36" s="1">
        <v>0.53846153846153844</v>
      </c>
      <c r="XP36" s="700">
        <v>5.8599999999999994</v>
      </c>
      <c r="XQ36" s="1">
        <v>0.61538461538461542</v>
      </c>
      <c r="XR36" s="705">
        <v>-14.19</v>
      </c>
      <c r="XS36" s="1">
        <v>0.57692307692307687</v>
      </c>
      <c r="XT36" s="709">
        <v>10.879999999999999</v>
      </c>
      <c r="XU36" s="1">
        <v>0.69230769230769229</v>
      </c>
      <c r="XV36" s="715"/>
      <c r="XW36" s="1"/>
    </row>
    <row r="37" spans="2:647" x14ac:dyDescent="0.25">
      <c r="B37" s="755"/>
      <c r="C37" s="723"/>
      <c r="D37" s="725" t="s">
        <v>24</v>
      </c>
      <c r="E37" s="725"/>
      <c r="F37" s="449">
        <v>0.5</v>
      </c>
      <c r="G37" s="769"/>
      <c r="H37" s="4"/>
      <c r="I37" s="5"/>
      <c r="J37" s="4"/>
      <c r="K37" s="5"/>
      <c r="L37" s="4"/>
      <c r="M37" s="5"/>
      <c r="N37" s="4"/>
      <c r="O37" s="5"/>
      <c r="P37" s="4"/>
      <c r="Q37" s="5"/>
      <c r="R37" s="4"/>
      <c r="S37" s="5"/>
      <c r="T37" s="4"/>
      <c r="U37" s="5"/>
      <c r="V37" s="4"/>
      <c r="W37" s="5"/>
      <c r="X37" s="4"/>
      <c r="Y37" s="5"/>
      <c r="Z37" s="4"/>
      <c r="AA37" s="5"/>
      <c r="AB37" s="4"/>
      <c r="AC37" s="5"/>
      <c r="AD37" s="4"/>
      <c r="AE37" s="5"/>
      <c r="AF37" s="4"/>
      <c r="AG37" s="5"/>
      <c r="AH37" s="4"/>
      <c r="AI37" s="5"/>
      <c r="AJ37" s="4"/>
      <c r="AK37" s="5"/>
      <c r="AL37" s="4"/>
      <c r="AM37" s="5"/>
      <c r="AN37" s="4"/>
      <c r="AO37" s="5"/>
      <c r="AP37" s="4"/>
      <c r="AQ37" s="5"/>
      <c r="AR37" s="4"/>
      <c r="AS37" s="5"/>
      <c r="AT37" s="4"/>
      <c r="AU37" s="5"/>
      <c r="AV37" s="4"/>
      <c r="AW37" s="5"/>
      <c r="AX37" s="4"/>
      <c r="AY37" s="5"/>
      <c r="AZ37" s="4"/>
      <c r="BA37" s="5"/>
      <c r="BB37" s="4"/>
      <c r="BC37" s="5"/>
      <c r="BD37" s="4">
        <v>-0.61166666666666625</v>
      </c>
      <c r="BE37" s="5">
        <v>0.55555555555555558</v>
      </c>
      <c r="BF37" s="4">
        <v>-0.3208333333333333</v>
      </c>
      <c r="BG37" s="5">
        <v>0.5</v>
      </c>
      <c r="BH37" s="4">
        <v>1.7083333333333333</v>
      </c>
      <c r="BI37" s="5">
        <v>0.58333333333333337</v>
      </c>
      <c r="BJ37" s="4">
        <v>-11.157499999999999</v>
      </c>
      <c r="BK37" s="5">
        <v>0</v>
      </c>
      <c r="BL37" s="4">
        <v>-1.2424999999999995</v>
      </c>
      <c r="BM37" s="5">
        <v>0.63636363636363635</v>
      </c>
      <c r="BN37" s="4"/>
      <c r="BO37" s="5"/>
      <c r="BP37" s="4">
        <v>1.4116666666666664</v>
      </c>
      <c r="BQ37" s="5">
        <v>0.8</v>
      </c>
      <c r="BR37" s="4">
        <v>0.13000000000000034</v>
      </c>
      <c r="BS37" s="5">
        <v>0.45454545454545453</v>
      </c>
      <c r="BT37" s="4"/>
      <c r="BU37" s="5"/>
      <c r="BV37" s="4">
        <v>1.1708333333333336</v>
      </c>
      <c r="BW37" s="5">
        <v>0.7</v>
      </c>
      <c r="BX37" s="4">
        <v>-9.2774999999999981</v>
      </c>
      <c r="BY37" s="5">
        <v>0.25</v>
      </c>
      <c r="BZ37" s="4">
        <v>-2.9750000000000001</v>
      </c>
      <c r="CA37" s="5">
        <v>0.25</v>
      </c>
      <c r="CB37" s="4">
        <v>1.3133333333333332</v>
      </c>
      <c r="CC37" s="5">
        <v>0.5714285714285714</v>
      </c>
      <c r="CD37" s="4">
        <v>2.3125</v>
      </c>
      <c r="CE37" s="5">
        <v>0.72727272727272729</v>
      </c>
      <c r="CF37" s="4">
        <v>0.11249999999999998</v>
      </c>
      <c r="CG37" s="5">
        <v>0.6</v>
      </c>
      <c r="CH37" s="4"/>
      <c r="CI37" s="5"/>
      <c r="CJ37" s="4">
        <v>-7.2583333333333337</v>
      </c>
      <c r="CK37" s="5">
        <v>0.25</v>
      </c>
      <c r="CL37" s="4">
        <v>-1.2575000000000001</v>
      </c>
      <c r="CM37" s="5">
        <v>0.375</v>
      </c>
      <c r="CN37" s="4">
        <v>2.7591666666666668</v>
      </c>
      <c r="CO37" s="5">
        <v>0.8</v>
      </c>
      <c r="CP37" s="4">
        <v>-0.55166666666666675</v>
      </c>
      <c r="CQ37" s="5">
        <v>0.5</v>
      </c>
      <c r="CR37" s="4">
        <v>-8.5583333333333353</v>
      </c>
      <c r="CS37" s="5">
        <v>0.1111111111111111</v>
      </c>
      <c r="CT37" s="4">
        <v>-9.2349999999999994</v>
      </c>
      <c r="CU37" s="5">
        <v>0.25</v>
      </c>
      <c r="CV37" s="4">
        <v>0.71333333333333337</v>
      </c>
      <c r="CW37" s="5">
        <v>1</v>
      </c>
      <c r="CX37" s="4">
        <v>2.1033333333333335</v>
      </c>
      <c r="CY37" s="5">
        <v>1</v>
      </c>
      <c r="CZ37" s="4">
        <v>-4.4050000000000002</v>
      </c>
      <c r="DA37" s="5">
        <v>0.6</v>
      </c>
      <c r="DB37" s="4">
        <v>0.39583333333333331</v>
      </c>
      <c r="DC37" s="5">
        <v>0.66666666666666663</v>
      </c>
      <c r="DD37" s="4">
        <v>-6.0125000000000002</v>
      </c>
      <c r="DE37" s="5">
        <v>0.54545454545454541</v>
      </c>
      <c r="DF37" s="4">
        <v>3.3958333333333326</v>
      </c>
      <c r="DG37" s="5">
        <v>0.88888888888888884</v>
      </c>
      <c r="DH37" s="4">
        <v>-1.7883333333333333</v>
      </c>
      <c r="DI37" s="5">
        <v>0.5</v>
      </c>
      <c r="DJ37" s="4">
        <v>-10.958333333333334</v>
      </c>
      <c r="DK37" s="5">
        <v>0.3</v>
      </c>
      <c r="DL37" s="4">
        <v>-5.7058333333333335</v>
      </c>
      <c r="DM37" s="5">
        <v>0.55555555555555558</v>
      </c>
      <c r="DN37" s="4">
        <v>-9.4316666666666666</v>
      </c>
      <c r="DO37" s="5">
        <v>0</v>
      </c>
      <c r="DP37" s="4">
        <v>-0.33999999999999941</v>
      </c>
      <c r="DQ37" s="5">
        <v>0.55555555555555558</v>
      </c>
      <c r="DR37" s="4"/>
      <c r="DS37" s="5"/>
      <c r="DT37" s="4">
        <v>2.3966666666666669</v>
      </c>
      <c r="DU37" s="5">
        <v>0.8</v>
      </c>
      <c r="DV37" s="4">
        <v>2.6458333333333335</v>
      </c>
      <c r="DW37" s="5">
        <v>0.66666666666666663</v>
      </c>
      <c r="DX37" s="4">
        <v>2.6458333333333335</v>
      </c>
      <c r="DY37" s="5">
        <v>0.66666666666666663</v>
      </c>
      <c r="DZ37" s="4">
        <v>-2.7624999999999997</v>
      </c>
      <c r="EA37" s="5">
        <v>0.45454545454545453</v>
      </c>
      <c r="EB37" s="4">
        <v>-3.5358333333333332</v>
      </c>
      <c r="EC37" s="5">
        <v>0.3</v>
      </c>
      <c r="ED37" s="4">
        <v>-0.21666666666666634</v>
      </c>
      <c r="EE37" s="5">
        <v>0.7</v>
      </c>
      <c r="EF37" s="4">
        <v>0.5874999999999998</v>
      </c>
      <c r="EG37" s="5">
        <v>0.66666666666666663</v>
      </c>
      <c r="EH37" s="4">
        <v>6.0291666666666659</v>
      </c>
      <c r="EI37" s="5">
        <v>0.9</v>
      </c>
      <c r="EJ37" s="4">
        <v>-1.0941666666666667</v>
      </c>
      <c r="EK37" s="5">
        <v>0.6</v>
      </c>
      <c r="EL37" s="4"/>
      <c r="EM37" s="5"/>
      <c r="EN37" s="4">
        <v>-1.1416666666666666</v>
      </c>
      <c r="EO37" s="5">
        <v>0.66666666666666663</v>
      </c>
      <c r="EP37" s="4"/>
      <c r="EQ37" s="5"/>
      <c r="ER37" s="4">
        <v>0.68166666666666664</v>
      </c>
      <c r="ES37" s="5">
        <v>1</v>
      </c>
      <c r="ET37" s="4">
        <v>1.5166666666666668</v>
      </c>
      <c r="EU37" s="5">
        <v>0.66666666666666663</v>
      </c>
      <c r="EV37" s="4">
        <v>-5.6441666666666661</v>
      </c>
      <c r="EW37" s="5">
        <v>0.22222222222222221</v>
      </c>
      <c r="EX37" s="4">
        <v>-2.3108333333333331</v>
      </c>
      <c r="EY37" s="5">
        <v>0.36363636363636365</v>
      </c>
      <c r="EZ37" s="4">
        <v>-1.7383333333333333</v>
      </c>
      <c r="FA37" s="5">
        <v>0.25</v>
      </c>
      <c r="FB37" s="4">
        <v>-19.77</v>
      </c>
      <c r="FC37" s="5">
        <v>0.33333333333333331</v>
      </c>
      <c r="FD37" s="4">
        <v>-24.189999999999998</v>
      </c>
      <c r="FE37" s="5">
        <v>0.2857142857142857</v>
      </c>
      <c r="FF37" s="4">
        <v>-13.320000000000002</v>
      </c>
      <c r="FG37" s="5">
        <v>0.66666666666666663</v>
      </c>
      <c r="FH37" s="4">
        <v>2.8800000000000008</v>
      </c>
      <c r="FI37" s="5">
        <v>0.66666666666666663</v>
      </c>
      <c r="FJ37" s="4">
        <v>-13.97</v>
      </c>
      <c r="FK37" s="5">
        <v>0.6</v>
      </c>
      <c r="FL37" s="4"/>
      <c r="FM37" s="5"/>
      <c r="FN37" s="4">
        <v>12.84</v>
      </c>
      <c r="FO37" s="5">
        <v>1</v>
      </c>
      <c r="FP37" s="4">
        <v>-27.02</v>
      </c>
      <c r="FQ37" s="5">
        <v>0.63636363636363635</v>
      </c>
      <c r="FR37" s="4">
        <v>27.55</v>
      </c>
      <c r="FS37" s="5">
        <v>1</v>
      </c>
      <c r="FT37" s="4">
        <v>-4.9399999999999995</v>
      </c>
      <c r="FU37" s="5">
        <v>0.66666666666666663</v>
      </c>
      <c r="FV37" s="4">
        <v>0.12999999999999989</v>
      </c>
      <c r="FW37" s="5">
        <v>0.33333333333333331</v>
      </c>
      <c r="FX37" s="4">
        <v>-21.449999999999996</v>
      </c>
      <c r="FY37" s="5">
        <v>0.4</v>
      </c>
      <c r="FZ37" s="4">
        <v>10.100000000000001</v>
      </c>
      <c r="GA37" s="5">
        <v>0.83333333333333337</v>
      </c>
      <c r="GB37" s="4">
        <v>-44.33</v>
      </c>
      <c r="GC37" s="5">
        <v>0.1</v>
      </c>
      <c r="GD37" s="4">
        <v>1.9399999999999995</v>
      </c>
      <c r="GE37" s="5">
        <v>0.5</v>
      </c>
      <c r="GF37" s="4">
        <v>1.85</v>
      </c>
      <c r="GG37" s="5">
        <v>0.66666666666666663</v>
      </c>
      <c r="GH37" s="4">
        <v>-19.46</v>
      </c>
      <c r="GI37" s="5">
        <v>0.375</v>
      </c>
      <c r="GJ37" s="4">
        <v>-13.07</v>
      </c>
      <c r="GK37" s="5">
        <v>0.4</v>
      </c>
      <c r="GL37" s="4">
        <v>-11.77</v>
      </c>
      <c r="GM37" s="5">
        <v>0.375</v>
      </c>
      <c r="GN37" s="4">
        <v>11.549999999999999</v>
      </c>
      <c r="GO37" s="5">
        <v>1</v>
      </c>
      <c r="GP37" s="4">
        <v>-15.38</v>
      </c>
      <c r="GQ37" s="5">
        <v>0.44444444444444442</v>
      </c>
      <c r="GR37" s="4">
        <v>-21.389999999999997</v>
      </c>
      <c r="GS37" s="5">
        <v>0.5</v>
      </c>
      <c r="GT37" s="4">
        <v>5.23</v>
      </c>
      <c r="GU37" s="5">
        <v>0.66666666666666663</v>
      </c>
      <c r="GV37" s="4">
        <v>13.84</v>
      </c>
      <c r="GW37" s="5">
        <v>0.72727272727272729</v>
      </c>
      <c r="GX37" s="4">
        <v>16.490000000000002</v>
      </c>
      <c r="GY37" s="5">
        <v>1</v>
      </c>
      <c r="GZ37" s="4">
        <v>13.91</v>
      </c>
      <c r="HA37" s="5">
        <v>1</v>
      </c>
      <c r="HB37" s="4">
        <v>-22.520000000000003</v>
      </c>
      <c r="HC37" s="5">
        <v>0.27272727272727271</v>
      </c>
      <c r="HD37" s="4">
        <v>6.35</v>
      </c>
      <c r="HE37" s="5">
        <v>0.66666666666666663</v>
      </c>
      <c r="HF37" s="4">
        <v>-25.56</v>
      </c>
      <c r="HG37" s="5">
        <v>0.54545454545454541</v>
      </c>
      <c r="HH37" s="4">
        <v>1.8899999999999997</v>
      </c>
      <c r="HI37" s="5">
        <v>0.8</v>
      </c>
      <c r="HJ37" s="4">
        <v>22.179999999999996</v>
      </c>
      <c r="HK37" s="5">
        <v>0.77777777777777779</v>
      </c>
      <c r="HL37" s="4">
        <v>1.7999999999999994</v>
      </c>
      <c r="HM37" s="5">
        <v>0.7142857142857143</v>
      </c>
      <c r="HN37" s="4">
        <v>-25.39</v>
      </c>
      <c r="HO37" s="5">
        <v>0.14285714285714285</v>
      </c>
      <c r="HP37" s="4">
        <v>7.04</v>
      </c>
      <c r="HQ37" s="5">
        <v>1</v>
      </c>
      <c r="HR37" s="4">
        <v>3.6000000000000005</v>
      </c>
      <c r="HS37" s="5">
        <v>0.75</v>
      </c>
      <c r="HT37" s="4">
        <v>12.409999999999998</v>
      </c>
      <c r="HU37" s="5">
        <v>0.7</v>
      </c>
      <c r="HV37" s="4">
        <v>-23.240000000000002</v>
      </c>
      <c r="HW37" s="5">
        <v>0.4</v>
      </c>
      <c r="HX37" s="4">
        <v>7.1999999999999993</v>
      </c>
      <c r="HY37" s="5">
        <v>1</v>
      </c>
      <c r="HZ37" s="4"/>
      <c r="IA37" s="5"/>
      <c r="IB37" s="4">
        <v>8.759999999999998</v>
      </c>
      <c r="IC37" s="5">
        <v>0.83333333333333337</v>
      </c>
      <c r="ID37" s="4">
        <v>-46.75</v>
      </c>
      <c r="IE37" s="5">
        <v>0.25</v>
      </c>
      <c r="IF37" s="4">
        <v>-24.25</v>
      </c>
      <c r="IG37" s="5">
        <v>0.5</v>
      </c>
      <c r="IH37" s="4">
        <v>-8.16</v>
      </c>
      <c r="II37" s="5">
        <v>0.3</v>
      </c>
      <c r="IJ37" s="4">
        <v>5.3599999999999994</v>
      </c>
      <c r="IK37" s="5">
        <v>0.8571428571428571</v>
      </c>
      <c r="IL37" s="4">
        <v>-10.910000000000004</v>
      </c>
      <c r="IM37" s="5">
        <v>0.375</v>
      </c>
      <c r="IN37" s="4">
        <v>20.439999999999998</v>
      </c>
      <c r="IO37" s="5">
        <v>0.7</v>
      </c>
      <c r="IP37" s="4">
        <v>-7.47</v>
      </c>
      <c r="IQ37" s="5">
        <v>0.5</v>
      </c>
      <c r="IR37" s="4"/>
      <c r="IS37" s="5"/>
      <c r="IT37" s="4"/>
      <c r="IU37" s="5"/>
      <c r="IV37" s="4">
        <v>11.979999999999997</v>
      </c>
      <c r="IW37" s="5">
        <v>0.75</v>
      </c>
      <c r="IX37" s="4"/>
      <c r="IY37" s="5"/>
      <c r="IZ37" s="4"/>
      <c r="JA37" s="5"/>
      <c r="JB37" s="4"/>
      <c r="JC37" s="5"/>
      <c r="JD37" s="4"/>
      <c r="JE37" s="5"/>
      <c r="JF37" s="4">
        <v>8.16</v>
      </c>
      <c r="JG37" s="5">
        <v>1</v>
      </c>
      <c r="JH37" s="4">
        <v>-1.589999999999999</v>
      </c>
      <c r="JI37" s="5">
        <v>0.6</v>
      </c>
      <c r="JJ37" s="4">
        <v>19.21</v>
      </c>
      <c r="JK37" s="5">
        <v>0.77777777777777779</v>
      </c>
      <c r="JL37" s="4">
        <v>10.91</v>
      </c>
      <c r="JM37" s="5">
        <v>0.75</v>
      </c>
      <c r="JN37" s="4">
        <v>-7.0400000000000009</v>
      </c>
      <c r="JO37" s="5">
        <v>0.33333333333333331</v>
      </c>
      <c r="JP37" s="4">
        <v>-7.6999999999999993</v>
      </c>
      <c r="JQ37" s="5">
        <v>0.33333333333333331</v>
      </c>
      <c r="JR37" s="4"/>
      <c r="JS37" s="5"/>
      <c r="JT37" s="4"/>
      <c r="JU37" s="5"/>
      <c r="JV37" s="4"/>
      <c r="JW37" s="5"/>
      <c r="JX37" s="4">
        <v>14.4</v>
      </c>
      <c r="JY37" s="5">
        <v>1</v>
      </c>
      <c r="JZ37" s="4">
        <v>8.8099999999999987</v>
      </c>
      <c r="KA37" s="5">
        <v>0.83333333333333337</v>
      </c>
      <c r="KB37" s="4">
        <v>7.42</v>
      </c>
      <c r="KC37" s="5">
        <v>0.75</v>
      </c>
      <c r="KD37" s="4">
        <v>15.879999999999999</v>
      </c>
      <c r="KE37" s="5">
        <v>0.83333333333333337</v>
      </c>
      <c r="KF37" s="4">
        <v>8.86</v>
      </c>
      <c r="KG37" s="5">
        <v>0.83333333333333337</v>
      </c>
      <c r="KH37" s="4">
        <v>11.75</v>
      </c>
      <c r="KI37" s="5">
        <v>0.8571428571428571</v>
      </c>
      <c r="KJ37" s="4">
        <v>15.79</v>
      </c>
      <c r="KK37" s="5">
        <v>0.66666666666666663</v>
      </c>
      <c r="KL37" s="4">
        <v>11.77</v>
      </c>
      <c r="KM37" s="5">
        <v>0.625</v>
      </c>
      <c r="KN37" s="4">
        <v>-0.22000000000000086</v>
      </c>
      <c r="KO37" s="5">
        <v>0.6</v>
      </c>
      <c r="KP37" s="4">
        <v>2.92</v>
      </c>
      <c r="KQ37" s="5">
        <v>0.625</v>
      </c>
      <c r="KR37" s="4"/>
      <c r="KS37" s="5"/>
      <c r="KT37" s="4">
        <v>11.03</v>
      </c>
      <c r="KU37" s="5">
        <v>1</v>
      </c>
      <c r="KV37" s="4">
        <v>7.7600000000000007</v>
      </c>
      <c r="KW37" s="5">
        <v>0.75</v>
      </c>
      <c r="KX37" s="4">
        <v>-17.440000000000001</v>
      </c>
      <c r="KY37" s="5">
        <v>0.5</v>
      </c>
      <c r="KZ37" s="4">
        <v>3.53</v>
      </c>
      <c r="LA37" s="5">
        <v>1</v>
      </c>
      <c r="LB37" s="4">
        <v>-17.739999999999998</v>
      </c>
      <c r="LC37" s="5">
        <v>0.5</v>
      </c>
      <c r="LD37" s="4">
        <v>14.299999999999999</v>
      </c>
      <c r="LE37" s="5">
        <v>1</v>
      </c>
      <c r="LF37" s="4"/>
      <c r="LG37" s="5"/>
      <c r="LH37" s="4">
        <v>14.87</v>
      </c>
      <c r="LI37" s="5">
        <v>1</v>
      </c>
      <c r="LJ37" s="4">
        <v>-4.37</v>
      </c>
      <c r="LK37" s="5">
        <v>0.7142857142857143</v>
      </c>
      <c r="LL37" s="4"/>
      <c r="LM37" s="5"/>
      <c r="LN37" s="4">
        <v>-31.63</v>
      </c>
      <c r="LO37" s="5">
        <v>0.25</v>
      </c>
      <c r="LP37" s="4">
        <v>7.1899999999999995</v>
      </c>
      <c r="LQ37" s="5">
        <v>1</v>
      </c>
      <c r="LR37" s="4">
        <v>6.0100000000000016</v>
      </c>
      <c r="LS37" s="5">
        <v>0.83333333333333337</v>
      </c>
      <c r="LT37" s="4">
        <v>18.25</v>
      </c>
      <c r="LU37" s="5">
        <v>1</v>
      </c>
      <c r="LV37" s="4">
        <v>-14.620000000000001</v>
      </c>
      <c r="LW37" s="5">
        <v>0.5</v>
      </c>
      <c r="LX37" s="4">
        <v>-12.649999999999999</v>
      </c>
      <c r="LY37" s="5">
        <v>0.5</v>
      </c>
      <c r="LZ37" s="4">
        <v>-18.299999999999997</v>
      </c>
      <c r="MA37" s="5">
        <v>0.5</v>
      </c>
      <c r="MB37" s="4"/>
      <c r="MC37" s="5"/>
      <c r="MD37" s="4">
        <v>8.16</v>
      </c>
      <c r="ME37" s="5">
        <v>0.83333333333333337</v>
      </c>
      <c r="MF37" s="4">
        <v>8.59</v>
      </c>
      <c r="MG37" s="5">
        <v>1</v>
      </c>
      <c r="MH37" s="4">
        <v>5.4200000000000008</v>
      </c>
      <c r="MI37" s="5">
        <v>0.83333333333333337</v>
      </c>
      <c r="MJ37" s="4">
        <v>-9.759999999999998</v>
      </c>
      <c r="MK37" s="5">
        <v>0.66666666666666663</v>
      </c>
      <c r="ML37" s="4">
        <v>0.45999999999999996</v>
      </c>
      <c r="MM37" s="5">
        <v>0.5</v>
      </c>
      <c r="MN37" s="4">
        <v>15.26</v>
      </c>
      <c r="MO37" s="5">
        <v>1</v>
      </c>
      <c r="MP37" s="4">
        <v>-19.910000000000004</v>
      </c>
      <c r="MQ37" s="5">
        <v>0.5714285714285714</v>
      </c>
      <c r="MR37" s="4">
        <v>1.35</v>
      </c>
      <c r="MS37" s="5">
        <v>0.75</v>
      </c>
      <c r="MT37" s="4">
        <v>2.2300000000000009</v>
      </c>
      <c r="MU37" s="5">
        <v>0.7142857142857143</v>
      </c>
      <c r="MV37" s="4">
        <v>3.83</v>
      </c>
      <c r="MW37" s="5">
        <v>1</v>
      </c>
      <c r="MX37" s="4">
        <v>0.33000000000000007</v>
      </c>
      <c r="MY37" s="5">
        <v>0.75</v>
      </c>
      <c r="MZ37" s="4">
        <v>-6.1499999999999986</v>
      </c>
      <c r="NA37" s="5">
        <v>0.7142857142857143</v>
      </c>
      <c r="NB37" s="4">
        <v>-17.829999999999998</v>
      </c>
      <c r="NC37" s="5">
        <v>0.33333333333333331</v>
      </c>
      <c r="ND37" s="4">
        <v>-12.36</v>
      </c>
      <c r="NE37" s="5">
        <v>0</v>
      </c>
      <c r="NF37" s="4">
        <v>6.5600000000000005</v>
      </c>
      <c r="NG37" s="5">
        <v>0.83333333333333337</v>
      </c>
      <c r="NH37" s="4">
        <v>6.5600000000000005</v>
      </c>
      <c r="NI37" s="5">
        <v>0.83333333333333337</v>
      </c>
      <c r="NJ37" s="4">
        <v>-22.749999999999996</v>
      </c>
      <c r="NK37" s="5">
        <v>0.55555555555555558</v>
      </c>
      <c r="NL37" s="4"/>
      <c r="NM37" s="5"/>
      <c r="NN37" s="4">
        <v>3.54</v>
      </c>
      <c r="NO37" s="5">
        <v>1</v>
      </c>
      <c r="NP37" s="4">
        <v>-2.8499999999999996</v>
      </c>
      <c r="NQ37" s="5">
        <v>0.5</v>
      </c>
      <c r="NR37" s="4">
        <v>21.28</v>
      </c>
      <c r="NS37" s="5">
        <v>0.875</v>
      </c>
      <c r="NT37" s="4">
        <v>-11.83</v>
      </c>
      <c r="NU37" s="5">
        <v>0</v>
      </c>
      <c r="NV37" s="4">
        <v>10.67</v>
      </c>
      <c r="NW37" s="5">
        <v>1</v>
      </c>
      <c r="NX37" s="4">
        <v>1.6400000000000006</v>
      </c>
      <c r="NY37" s="5">
        <v>0.75</v>
      </c>
      <c r="NZ37" s="4">
        <v>-19</v>
      </c>
      <c r="OA37" s="5">
        <v>0.33333333333333331</v>
      </c>
      <c r="OB37" s="4">
        <v>16.64</v>
      </c>
      <c r="OC37" s="5">
        <v>0.8571428571428571</v>
      </c>
      <c r="OD37" s="4">
        <v>10.85</v>
      </c>
      <c r="OE37" s="5">
        <v>1</v>
      </c>
      <c r="OF37" s="4">
        <v>17.54</v>
      </c>
      <c r="OG37" s="5">
        <v>1</v>
      </c>
      <c r="OH37" s="4">
        <v>-0.71000000000000085</v>
      </c>
      <c r="OI37" s="5">
        <v>0.7142857142857143</v>
      </c>
      <c r="OJ37" s="4">
        <v>26.25</v>
      </c>
      <c r="OK37" s="5">
        <v>0.88888888888888884</v>
      </c>
      <c r="OL37" s="4">
        <v>-18.04</v>
      </c>
      <c r="OM37" s="5">
        <v>0.5</v>
      </c>
      <c r="ON37" s="4">
        <v>-37.03</v>
      </c>
      <c r="OO37" s="5">
        <v>0.2857142857142857</v>
      </c>
      <c r="OP37" s="4">
        <v>4.24</v>
      </c>
      <c r="OQ37" s="5">
        <v>1</v>
      </c>
      <c r="OR37" s="4">
        <v>-32.479999999999997</v>
      </c>
      <c r="OS37" s="5">
        <v>0.22222222222222221</v>
      </c>
      <c r="OT37" s="4">
        <v>-41.129999999999995</v>
      </c>
      <c r="OU37" s="5">
        <v>0</v>
      </c>
      <c r="OV37" s="4">
        <v>7.05</v>
      </c>
      <c r="OW37" s="5">
        <v>1</v>
      </c>
      <c r="OX37" s="4">
        <v>-6.1800000000000006</v>
      </c>
      <c r="OY37" s="5">
        <v>0.6</v>
      </c>
      <c r="OZ37" s="4"/>
      <c r="PA37" s="5"/>
      <c r="PB37" s="4">
        <v>-4.0200000000000014</v>
      </c>
      <c r="PC37" s="5">
        <v>0.6</v>
      </c>
      <c r="PD37" s="4">
        <v>11.08</v>
      </c>
      <c r="PE37" s="5">
        <v>0.8</v>
      </c>
      <c r="PF37" s="4">
        <v>5.07</v>
      </c>
      <c r="PG37" s="5">
        <v>0.66666666666666663</v>
      </c>
      <c r="PH37" s="4">
        <v>14.16</v>
      </c>
      <c r="PI37" s="5">
        <v>1</v>
      </c>
      <c r="PJ37" s="4"/>
      <c r="PK37" s="5"/>
      <c r="PL37" s="4"/>
      <c r="PM37" s="5"/>
      <c r="PN37" s="4"/>
      <c r="PO37" s="5"/>
      <c r="PP37" s="4">
        <v>-36.39</v>
      </c>
      <c r="PQ37" s="5">
        <v>0.375</v>
      </c>
      <c r="PR37" s="4">
        <v>-21.35</v>
      </c>
      <c r="PS37" s="5">
        <v>0.4</v>
      </c>
      <c r="PT37" s="4">
        <v>10.64</v>
      </c>
      <c r="PU37" s="5">
        <v>1</v>
      </c>
      <c r="PV37" s="4">
        <v>-8.6599999999999984</v>
      </c>
      <c r="PW37" s="5">
        <v>0.5</v>
      </c>
      <c r="PX37" s="4">
        <v>-11.02</v>
      </c>
      <c r="PY37" s="5">
        <v>0.66666666666666663</v>
      </c>
      <c r="PZ37" s="4"/>
      <c r="QA37" s="5"/>
      <c r="QB37" s="4">
        <v>-10.27</v>
      </c>
      <c r="QC37" s="5">
        <v>0.72727272727272729</v>
      </c>
      <c r="QD37" s="4">
        <v>18.889999999999997</v>
      </c>
      <c r="QE37" s="5">
        <v>0.72727272727272729</v>
      </c>
      <c r="QF37" s="4">
        <v>-6.9399999999999995</v>
      </c>
      <c r="QG37" s="5">
        <v>0.5</v>
      </c>
      <c r="QH37" s="4">
        <v>-10.920000000000002</v>
      </c>
      <c r="QI37" s="5">
        <v>0.5714285714285714</v>
      </c>
      <c r="QJ37" s="4">
        <v>15.3</v>
      </c>
      <c r="QK37" s="5">
        <v>0.77777777777777779</v>
      </c>
      <c r="QL37" s="4">
        <v>8.4500000000000011</v>
      </c>
      <c r="QM37" s="5">
        <v>0.63636363636363635</v>
      </c>
      <c r="QN37" s="4">
        <v>-10.000000000000002</v>
      </c>
      <c r="QO37" s="5">
        <v>0.25</v>
      </c>
      <c r="QP37" s="4">
        <v>-38.479999999999997</v>
      </c>
      <c r="QQ37" s="5">
        <v>0.125</v>
      </c>
      <c r="QR37" s="4">
        <v>3.01</v>
      </c>
      <c r="QS37" s="5">
        <v>0.5</v>
      </c>
      <c r="QT37" s="4">
        <v>6.0399999999999991</v>
      </c>
      <c r="QU37" s="5">
        <v>0.6</v>
      </c>
      <c r="QV37" s="4">
        <v>23.89</v>
      </c>
      <c r="QW37" s="5">
        <v>0.77777777777777779</v>
      </c>
      <c r="QX37" s="4">
        <v>5.4999999999999991</v>
      </c>
      <c r="QY37" s="5">
        <v>0.66666666666666663</v>
      </c>
      <c r="QZ37" s="4">
        <v>-4.57</v>
      </c>
      <c r="RA37" s="5">
        <v>0.55555555555555558</v>
      </c>
      <c r="RB37" s="4">
        <v>-45.230000000000004</v>
      </c>
      <c r="RC37" s="5">
        <v>0.2</v>
      </c>
      <c r="RD37" s="4">
        <v>-56.209999999999994</v>
      </c>
      <c r="RE37" s="5">
        <v>0.125</v>
      </c>
      <c r="RF37" s="4">
        <v>-6.35</v>
      </c>
      <c r="RG37" s="5">
        <v>0.25</v>
      </c>
      <c r="RH37" s="4">
        <v>-25.349999999999998</v>
      </c>
      <c r="RI37" s="5">
        <v>0.33333333333333331</v>
      </c>
      <c r="RJ37" s="4">
        <v>17.959999999999997</v>
      </c>
      <c r="RK37" s="5">
        <v>0.72727272727272729</v>
      </c>
      <c r="RL37" s="4"/>
      <c r="RM37" s="5"/>
      <c r="RN37" s="4">
        <v>-3.0699999999999994</v>
      </c>
      <c r="RO37" s="5">
        <v>0.54545454545454541</v>
      </c>
      <c r="RP37" s="4">
        <v>-11.219999999999999</v>
      </c>
      <c r="RQ37" s="5">
        <v>0.55555555555555558</v>
      </c>
      <c r="RR37" s="4"/>
      <c r="RS37" s="5"/>
      <c r="RT37" s="4">
        <v>9.43</v>
      </c>
      <c r="RU37" s="5">
        <v>1</v>
      </c>
      <c r="RV37" s="4">
        <v>-2.42</v>
      </c>
      <c r="RW37" s="5">
        <v>0.6</v>
      </c>
      <c r="RX37" s="4">
        <v>-43.469999999999992</v>
      </c>
      <c r="RY37" s="5">
        <v>0.16666666666666666</v>
      </c>
      <c r="RZ37" s="4">
        <v>-13.91</v>
      </c>
      <c r="SA37" s="5">
        <v>0.33333333333333331</v>
      </c>
      <c r="SB37" s="4">
        <v>-44.500000000000007</v>
      </c>
      <c r="SC37" s="5">
        <v>0.2857142857142857</v>
      </c>
      <c r="SD37" s="4">
        <v>10.629999999999999</v>
      </c>
      <c r="SE37" s="5">
        <v>1</v>
      </c>
      <c r="SF37" s="4">
        <v>-3.4299999999999997</v>
      </c>
      <c r="SG37" s="5">
        <v>0.625</v>
      </c>
      <c r="SH37" s="4">
        <v>-3.9800000000000004</v>
      </c>
      <c r="SI37" s="5">
        <v>0.6</v>
      </c>
      <c r="SJ37" s="4">
        <v>10.629999999999999</v>
      </c>
      <c r="SK37" s="5">
        <v>0.88888888888888884</v>
      </c>
      <c r="SL37" s="4">
        <v>-20.079999999999998</v>
      </c>
      <c r="SM37" s="5">
        <v>0.33333333333333331</v>
      </c>
      <c r="SN37" s="4">
        <v>3.63</v>
      </c>
      <c r="SO37" s="5">
        <v>1</v>
      </c>
      <c r="SP37" s="4">
        <v>-1.35</v>
      </c>
      <c r="SQ37" s="5">
        <v>0</v>
      </c>
      <c r="SR37" s="4">
        <v>5.57</v>
      </c>
      <c r="SS37" s="5">
        <v>1</v>
      </c>
      <c r="ST37" s="4">
        <v>-25.640000000000004</v>
      </c>
      <c r="SU37" s="5">
        <v>0.4</v>
      </c>
      <c r="SV37" s="4">
        <v>-7.9699999999999989</v>
      </c>
      <c r="SW37" s="5">
        <v>0.5</v>
      </c>
      <c r="SX37" s="4">
        <v>-2.5599999999999987</v>
      </c>
      <c r="SY37" s="5">
        <v>0.6</v>
      </c>
      <c r="SZ37" s="4">
        <v>-15.61</v>
      </c>
      <c r="TA37" s="5">
        <v>0.41666666666666669</v>
      </c>
      <c r="TB37" s="4">
        <v>26.4</v>
      </c>
      <c r="TC37" s="5">
        <v>0.88888888888888884</v>
      </c>
      <c r="TD37" s="4">
        <v>-27.49</v>
      </c>
      <c r="TE37" s="5">
        <v>0.25</v>
      </c>
      <c r="TF37" s="4">
        <v>3.33</v>
      </c>
      <c r="TG37" s="5">
        <v>0.66666666666666663</v>
      </c>
      <c r="TH37" s="4">
        <v>9.1199999999999992</v>
      </c>
      <c r="TI37" s="5">
        <v>0.7142857142857143</v>
      </c>
      <c r="TJ37" s="4">
        <v>-58.4</v>
      </c>
      <c r="TK37" s="5">
        <v>0.3</v>
      </c>
      <c r="TL37" s="4">
        <v>-45.91</v>
      </c>
      <c r="TM37" s="5">
        <v>0.3</v>
      </c>
      <c r="TN37" s="4">
        <v>1.419999999999999</v>
      </c>
      <c r="TO37" s="5">
        <v>0.6</v>
      </c>
      <c r="TP37" s="4">
        <v>4.6499999999999995</v>
      </c>
      <c r="TQ37" s="5">
        <v>0.5714285714285714</v>
      </c>
      <c r="TR37" s="4">
        <v>0.18999999999999773</v>
      </c>
      <c r="TS37" s="5">
        <v>0.7</v>
      </c>
      <c r="TT37" s="4">
        <v>-2.4200000000000013</v>
      </c>
      <c r="TU37" s="5">
        <v>0.55555555555555558</v>
      </c>
      <c r="TV37" s="4">
        <v>-29.199999999999996</v>
      </c>
      <c r="TW37" s="5">
        <v>0.4</v>
      </c>
      <c r="TX37" s="4"/>
      <c r="TY37" s="5"/>
      <c r="TZ37" s="4">
        <v>13.459999999999997</v>
      </c>
      <c r="UA37" s="5">
        <v>0.66666666666666663</v>
      </c>
      <c r="UB37" s="4">
        <v>-30.630000000000003</v>
      </c>
      <c r="UC37" s="5">
        <v>0.375</v>
      </c>
      <c r="UD37" s="4">
        <v>-6.04</v>
      </c>
      <c r="UE37" s="5">
        <v>0.5</v>
      </c>
      <c r="UF37" s="4">
        <v>-13.790000000000003</v>
      </c>
      <c r="UG37" s="5">
        <v>0.42857142857142855</v>
      </c>
      <c r="UH37" s="4">
        <v>13.57</v>
      </c>
      <c r="UI37" s="5">
        <v>0.66666666666666663</v>
      </c>
      <c r="UJ37" s="4">
        <v>1.359999999999997</v>
      </c>
      <c r="UK37" s="5">
        <v>0.69230769230769229</v>
      </c>
      <c r="UL37" s="4">
        <v>18.93</v>
      </c>
      <c r="UM37" s="5">
        <v>0.81818181818181823</v>
      </c>
      <c r="UN37" s="4">
        <v>-6.1899999999999995</v>
      </c>
      <c r="UO37" s="5">
        <v>0.45454545454545453</v>
      </c>
      <c r="UP37" s="4">
        <v>-10.82</v>
      </c>
      <c r="UQ37" s="5">
        <v>0.55555555555555558</v>
      </c>
      <c r="UR37" s="4">
        <v>-35.269999999999996</v>
      </c>
      <c r="US37" s="5">
        <v>0.14285714285714285</v>
      </c>
      <c r="UT37" s="4">
        <v>10.69</v>
      </c>
      <c r="UU37" s="5">
        <v>1</v>
      </c>
      <c r="UV37" s="4">
        <v>-1.4900000000000002</v>
      </c>
      <c r="UW37" s="5">
        <v>0.6</v>
      </c>
      <c r="UX37" s="4">
        <v>13.01</v>
      </c>
      <c r="UY37" s="5">
        <v>0.8571428571428571</v>
      </c>
      <c r="UZ37" s="4">
        <v>4.5800000000000018</v>
      </c>
      <c r="VA37" s="5">
        <v>0.55555555555555558</v>
      </c>
      <c r="VB37" s="4">
        <v>-33.07</v>
      </c>
      <c r="VC37" s="5">
        <v>0.14285714285714285</v>
      </c>
      <c r="VD37" s="4">
        <v>7.16</v>
      </c>
      <c r="VE37" s="5">
        <v>1</v>
      </c>
      <c r="VF37" s="4">
        <v>7.8800000000000008</v>
      </c>
      <c r="VG37" s="5">
        <v>1</v>
      </c>
      <c r="VH37" s="4">
        <v>-29.299999999999994</v>
      </c>
      <c r="VI37" s="5">
        <v>0.30769230769230771</v>
      </c>
      <c r="VJ37" s="4">
        <v>-32.739999999999995</v>
      </c>
      <c r="VK37" s="5">
        <v>0.2857142857142857</v>
      </c>
      <c r="VL37" s="4">
        <v>-9.15</v>
      </c>
      <c r="VM37" s="5">
        <v>0</v>
      </c>
      <c r="VN37" s="4">
        <v>-33.480000000000004</v>
      </c>
      <c r="VO37" s="5">
        <v>0.36363636363636365</v>
      </c>
      <c r="VP37" s="4">
        <v>-20.010000000000002</v>
      </c>
      <c r="VQ37" s="5">
        <v>0.375</v>
      </c>
      <c r="VR37" s="4">
        <v>-6.77</v>
      </c>
      <c r="VS37" s="5">
        <v>0.5</v>
      </c>
      <c r="VT37" s="4">
        <v>-77.33</v>
      </c>
      <c r="VU37" s="5">
        <v>0</v>
      </c>
      <c r="VV37" s="4">
        <v>4.91</v>
      </c>
      <c r="VW37" s="5">
        <v>0.625</v>
      </c>
      <c r="VX37" s="4">
        <v>-1.3300000000000014</v>
      </c>
      <c r="VY37" s="5">
        <v>0.5</v>
      </c>
      <c r="VZ37" s="4">
        <v>21.42</v>
      </c>
      <c r="WA37" s="5">
        <v>1</v>
      </c>
      <c r="WB37" s="4"/>
      <c r="WC37" s="5"/>
      <c r="WD37" s="4">
        <v>20.349999999999998</v>
      </c>
      <c r="WE37" s="5">
        <v>0.90909090909090906</v>
      </c>
      <c r="WF37" s="4">
        <v>14.049999999999999</v>
      </c>
      <c r="WG37" s="5">
        <v>1</v>
      </c>
      <c r="WH37" s="4">
        <v>-10.690000000000001</v>
      </c>
      <c r="WI37" s="5">
        <v>0.4</v>
      </c>
      <c r="WJ37" s="4">
        <v>4.08</v>
      </c>
      <c r="WK37" s="5">
        <v>0.5714285714285714</v>
      </c>
      <c r="WL37" s="4">
        <v>13.850000000000001</v>
      </c>
      <c r="WM37" s="5">
        <v>0.75</v>
      </c>
      <c r="WN37" s="4">
        <v>-24.839999999999996</v>
      </c>
      <c r="WO37" s="5">
        <v>0.3</v>
      </c>
      <c r="WP37" s="4">
        <v>14.32</v>
      </c>
      <c r="WQ37" s="5">
        <v>1</v>
      </c>
      <c r="WR37" s="4">
        <v>2.3299999999999992</v>
      </c>
      <c r="WS37" s="5">
        <v>0.5714285714285714</v>
      </c>
      <c r="WT37" s="4">
        <v>-24.650000000000002</v>
      </c>
      <c r="WU37" s="5">
        <v>0.4</v>
      </c>
      <c r="WV37" s="4">
        <v>-22.63</v>
      </c>
      <c r="WW37" s="5">
        <v>0.25</v>
      </c>
      <c r="WX37" s="4">
        <v>18.599999999999994</v>
      </c>
      <c r="WY37" s="5">
        <v>0.72727272727272729</v>
      </c>
      <c r="WZ37" s="4"/>
      <c r="XA37" s="5"/>
      <c r="XB37" s="4">
        <v>-13.85</v>
      </c>
      <c r="XC37" s="5">
        <v>0.44444444444444442</v>
      </c>
      <c r="XD37" s="4">
        <v>2.7699999999999987</v>
      </c>
      <c r="XE37" s="5">
        <v>0.63636363636363635</v>
      </c>
      <c r="XF37" s="4">
        <v>10.95</v>
      </c>
      <c r="XG37" s="5">
        <v>1</v>
      </c>
      <c r="XH37" s="4">
        <v>12.649999999999999</v>
      </c>
      <c r="XI37" s="5">
        <v>0.54545454545454541</v>
      </c>
      <c r="XJ37" s="4">
        <v>1.1800000000000002</v>
      </c>
      <c r="XK37" s="5">
        <v>0.6</v>
      </c>
      <c r="XL37" s="4">
        <v>-8.2199999999999989</v>
      </c>
      <c r="XM37" s="5">
        <v>0.33333333333333331</v>
      </c>
      <c r="XN37" s="4">
        <v>-7.3800000000000026</v>
      </c>
      <c r="XO37" s="5">
        <v>0.59090909090909094</v>
      </c>
      <c r="XP37" s="4">
        <v>-11.410000000000002</v>
      </c>
      <c r="XQ37" s="5">
        <v>0.45454545454545453</v>
      </c>
      <c r="XR37" s="4">
        <v>-44.18</v>
      </c>
      <c r="XS37" s="5">
        <v>0.46666666666666667</v>
      </c>
      <c r="XT37" s="4">
        <v>22.58</v>
      </c>
      <c r="XU37" s="5">
        <v>0.90909090909090906</v>
      </c>
      <c r="XV37" s="4"/>
      <c r="XW37" s="5"/>
    </row>
    <row r="38" spans="2:647" x14ac:dyDescent="0.25">
      <c r="B38" s="755"/>
      <c r="C38" s="743" t="s">
        <v>8</v>
      </c>
      <c r="D38" s="729" t="s">
        <v>14</v>
      </c>
      <c r="E38" s="729"/>
      <c r="F38" s="447">
        <v>0.1</v>
      </c>
      <c r="G38" s="767" t="s">
        <v>5</v>
      </c>
      <c r="H38" s="18"/>
      <c r="I38" s="19"/>
      <c r="J38" s="18"/>
      <c r="K38" s="19"/>
      <c r="L38" s="18"/>
      <c r="M38" s="19"/>
      <c r="N38" s="18"/>
      <c r="O38" s="19"/>
      <c r="P38" s="18"/>
      <c r="Q38" s="19"/>
      <c r="R38" s="18"/>
      <c r="S38" s="19"/>
      <c r="T38" s="18"/>
      <c r="U38" s="19"/>
      <c r="V38" s="18"/>
      <c r="W38" s="19"/>
      <c r="X38" s="18"/>
      <c r="Y38" s="19"/>
      <c r="Z38" s="18"/>
      <c r="AA38" s="19"/>
      <c r="AB38" s="18"/>
      <c r="AC38" s="19"/>
      <c r="AD38" s="18"/>
      <c r="AE38" s="19"/>
      <c r="AF38" s="18"/>
      <c r="AG38" s="19"/>
      <c r="AH38" s="18"/>
      <c r="AI38" s="19"/>
      <c r="AJ38" s="18"/>
      <c r="AK38" s="19"/>
      <c r="AL38" s="18"/>
      <c r="AM38" s="19"/>
      <c r="AN38" s="18"/>
      <c r="AO38" s="19"/>
      <c r="AP38" s="18"/>
      <c r="AQ38" s="19"/>
      <c r="AR38" s="18"/>
      <c r="AS38" s="19"/>
      <c r="AT38" s="18"/>
      <c r="AU38" s="19"/>
      <c r="AV38" s="18"/>
      <c r="AW38" s="19"/>
      <c r="AX38" s="18"/>
      <c r="AY38" s="19"/>
      <c r="AZ38" s="18"/>
      <c r="BA38" s="19"/>
      <c r="BB38" s="18"/>
      <c r="BC38" s="19"/>
      <c r="BD38" s="18"/>
      <c r="BE38" s="19"/>
      <c r="BF38" s="18">
        <v>3.8979999999999997</v>
      </c>
      <c r="BG38" s="19">
        <v>0.61538461538461542</v>
      </c>
      <c r="BH38" s="18">
        <v>-4.258</v>
      </c>
      <c r="BI38" s="19">
        <v>0.23076923076923078</v>
      </c>
      <c r="BJ38" s="18">
        <v>-0.77599999999999958</v>
      </c>
      <c r="BK38" s="19">
        <v>0.33333333333333331</v>
      </c>
      <c r="BL38" s="18">
        <v>2.5159999999999996</v>
      </c>
      <c r="BM38" s="19">
        <v>0.69230769230769229</v>
      </c>
      <c r="BN38" s="18">
        <v>-4.9640000000000004</v>
      </c>
      <c r="BO38" s="19">
        <v>0.23076923076923078</v>
      </c>
      <c r="BP38" s="18">
        <v>1.3300000000000005</v>
      </c>
      <c r="BQ38" s="19">
        <v>0.61538461538461542</v>
      </c>
      <c r="BR38" s="18">
        <v>4.4680000000000009</v>
      </c>
      <c r="BS38" s="19">
        <v>0.69230769230769229</v>
      </c>
      <c r="BT38" s="18"/>
      <c r="BU38" s="19"/>
      <c r="BV38" s="18">
        <v>0.84800000000000009</v>
      </c>
      <c r="BW38" s="19">
        <v>0.46153846153846156</v>
      </c>
      <c r="BX38" s="18">
        <v>-3.9380000000000002</v>
      </c>
      <c r="BY38" s="19">
        <v>0.23076923076923078</v>
      </c>
      <c r="BZ38" s="18">
        <v>-0.65</v>
      </c>
      <c r="CA38" s="19">
        <v>0.46153846153846156</v>
      </c>
      <c r="CB38" s="18">
        <v>2.8859999999999997</v>
      </c>
      <c r="CC38" s="19">
        <v>0.76923076923076927</v>
      </c>
      <c r="CD38" s="18">
        <v>1.0960000000000001</v>
      </c>
      <c r="CE38" s="19">
        <v>0.69230769230769229</v>
      </c>
      <c r="CF38" s="18">
        <v>-3.5020000000000002</v>
      </c>
      <c r="CG38" s="19">
        <v>0.23076923076923078</v>
      </c>
      <c r="CH38" s="18">
        <v>-4.9040000000000008</v>
      </c>
      <c r="CI38" s="19">
        <v>0.30769230769230771</v>
      </c>
      <c r="CJ38" s="18"/>
      <c r="CK38" s="19"/>
      <c r="CL38" s="18">
        <v>1.6720000000000002</v>
      </c>
      <c r="CM38" s="19">
        <v>0.46153846153846156</v>
      </c>
      <c r="CN38" s="18">
        <v>-1.4999999999999996</v>
      </c>
      <c r="CO38" s="19">
        <v>0.53846153846153844</v>
      </c>
      <c r="CP38" s="18">
        <v>-6.38</v>
      </c>
      <c r="CQ38" s="19">
        <v>0.41666666666666669</v>
      </c>
      <c r="CR38" s="18">
        <v>-5.4719999999999995</v>
      </c>
      <c r="CS38" s="19">
        <v>0.38461538461538464</v>
      </c>
      <c r="CT38" s="18">
        <v>-3.1119999999999997</v>
      </c>
      <c r="CU38" s="19">
        <v>0.53846153846153844</v>
      </c>
      <c r="CV38" s="18">
        <v>-3.88</v>
      </c>
      <c r="CW38" s="19">
        <v>0.46153846153846156</v>
      </c>
      <c r="CX38" s="18">
        <v>-2.65</v>
      </c>
      <c r="CY38" s="19">
        <v>0.38461538461538464</v>
      </c>
      <c r="CZ38" s="18">
        <v>-3.6859999999999991</v>
      </c>
      <c r="DA38" s="19">
        <v>0.30769230769230771</v>
      </c>
      <c r="DB38" s="18">
        <v>-2.944</v>
      </c>
      <c r="DC38" s="19">
        <v>0.38461538461538464</v>
      </c>
      <c r="DD38" s="18">
        <v>-1.9020000000000004</v>
      </c>
      <c r="DE38" s="19">
        <v>0.5</v>
      </c>
      <c r="DF38" s="18">
        <v>-3.5880000000000001</v>
      </c>
      <c r="DG38" s="19">
        <v>0.46153846153846156</v>
      </c>
      <c r="DH38" s="18"/>
      <c r="DI38" s="19"/>
      <c r="DJ38" s="18">
        <v>-6.5680000000000005</v>
      </c>
      <c r="DK38" s="19">
        <v>0.33333333333333331</v>
      </c>
      <c r="DL38" s="18">
        <v>-0.88000000000000023</v>
      </c>
      <c r="DM38" s="19">
        <v>0.30769230769230771</v>
      </c>
      <c r="DN38" s="18">
        <v>-4.82</v>
      </c>
      <c r="DO38" s="19">
        <v>0.25</v>
      </c>
      <c r="DP38" s="18"/>
      <c r="DQ38" s="19"/>
      <c r="DR38" s="18">
        <v>-10.725999999999999</v>
      </c>
      <c r="DS38" s="19">
        <v>0.30769230769230771</v>
      </c>
      <c r="DT38" s="18">
        <v>-10.725999999999999</v>
      </c>
      <c r="DU38" s="19">
        <v>0.30769230769230771</v>
      </c>
      <c r="DV38" s="18">
        <v>-0.37600000000000017</v>
      </c>
      <c r="DW38" s="19">
        <v>0.61538461538461542</v>
      </c>
      <c r="DX38" s="18">
        <v>-2.7300000000000004</v>
      </c>
      <c r="DY38" s="19">
        <v>0.30769230769230771</v>
      </c>
      <c r="DZ38" s="18">
        <v>-7.2479999999999993</v>
      </c>
      <c r="EA38" s="19">
        <v>0.23076923076923078</v>
      </c>
      <c r="EB38" s="18">
        <v>0.96399999999999986</v>
      </c>
      <c r="EC38" s="19">
        <v>0.69230769230769229</v>
      </c>
      <c r="ED38" s="18">
        <v>4.96</v>
      </c>
      <c r="EE38" s="19">
        <v>0.38461538461538464</v>
      </c>
      <c r="EF38" s="18">
        <v>-1.2020000000000002</v>
      </c>
      <c r="EG38" s="19">
        <v>0.46153846153846156</v>
      </c>
      <c r="EH38" s="18">
        <v>-1.1620000000000001</v>
      </c>
      <c r="EI38" s="19">
        <v>0.36363636363636365</v>
      </c>
      <c r="EJ38" s="18">
        <v>2.8759999999999999</v>
      </c>
      <c r="EK38" s="19">
        <v>0.61538461538461542</v>
      </c>
      <c r="EL38" s="18">
        <v>-1.7559999999999996</v>
      </c>
      <c r="EM38" s="19">
        <v>0.46153846153846156</v>
      </c>
      <c r="EN38" s="18">
        <v>-4.5359999999999996</v>
      </c>
      <c r="EO38" s="19">
        <v>0.23076923076923078</v>
      </c>
      <c r="EP38" s="18">
        <v>-0.73600000000000021</v>
      </c>
      <c r="EQ38" s="19">
        <v>0.53846153846153844</v>
      </c>
      <c r="ER38" s="18">
        <v>2.4480000000000013</v>
      </c>
      <c r="ES38" s="19">
        <v>0.46153846153846156</v>
      </c>
      <c r="ET38" s="18">
        <v>-4.5359999999999996</v>
      </c>
      <c r="EU38" s="19">
        <v>0.23076923076923078</v>
      </c>
      <c r="EV38" s="18">
        <v>-0.73600000000000021</v>
      </c>
      <c r="EW38" s="19">
        <v>0.53846153846153844</v>
      </c>
      <c r="EX38" s="18">
        <v>2.4480000000000013</v>
      </c>
      <c r="EY38" s="19">
        <v>0.46153846153846156</v>
      </c>
      <c r="EZ38" s="18"/>
      <c r="FA38" s="19"/>
      <c r="FB38" s="18">
        <v>-3.39</v>
      </c>
      <c r="FC38" s="19">
        <v>0.30769230769230771</v>
      </c>
      <c r="FD38" s="18">
        <v>2.67</v>
      </c>
      <c r="FE38" s="19">
        <v>0.46153846153846156</v>
      </c>
      <c r="FF38" s="18">
        <v>-0.71</v>
      </c>
      <c r="FG38" s="19">
        <v>0.46153846153846156</v>
      </c>
      <c r="FH38" s="18">
        <v>-3.1000000000000005</v>
      </c>
      <c r="FI38" s="19">
        <v>0.41666666666666669</v>
      </c>
      <c r="FJ38" s="18">
        <v>5.15</v>
      </c>
      <c r="FK38" s="19">
        <v>0.58333333333333337</v>
      </c>
      <c r="FL38" s="18">
        <v>-1.7799999999999996</v>
      </c>
      <c r="FM38" s="19">
        <v>0.41666666666666669</v>
      </c>
      <c r="FN38" s="18">
        <v>-0.75000000000000033</v>
      </c>
      <c r="FO38" s="19">
        <v>0.53846153846153844</v>
      </c>
      <c r="FP38" s="18">
        <v>0.42999999999999972</v>
      </c>
      <c r="FQ38" s="19">
        <v>0.46153846153846156</v>
      </c>
      <c r="FR38" s="18">
        <v>-4.49</v>
      </c>
      <c r="FS38" s="19">
        <v>0.46153846153846156</v>
      </c>
      <c r="FT38" s="18">
        <v>1.0899999999999999</v>
      </c>
      <c r="FU38" s="19">
        <v>0.53846153846153844</v>
      </c>
      <c r="FV38" s="18">
        <v>-0.53000000000000036</v>
      </c>
      <c r="FW38" s="19">
        <v>0.38461538461538464</v>
      </c>
      <c r="FX38" s="18">
        <v>-8.0000000000000182E-2</v>
      </c>
      <c r="FY38" s="19">
        <v>0.38461538461538464</v>
      </c>
      <c r="FZ38" s="18">
        <v>0.83000000000000052</v>
      </c>
      <c r="GA38" s="19">
        <v>0.61538461538461542</v>
      </c>
      <c r="GB38" s="18">
        <v>-1.39</v>
      </c>
      <c r="GC38" s="19">
        <v>0.30769230769230771</v>
      </c>
      <c r="GD38" s="18">
        <v>-1</v>
      </c>
      <c r="GE38" s="19">
        <v>0.46153846153846156</v>
      </c>
      <c r="GF38" s="18">
        <v>0.13999999999999996</v>
      </c>
      <c r="GG38" s="19">
        <v>0.53846153846153844</v>
      </c>
      <c r="GH38" s="18">
        <v>-1.6800000000000002</v>
      </c>
      <c r="GI38" s="19">
        <v>0.30769230769230771</v>
      </c>
      <c r="GJ38" s="18">
        <v>-4.38</v>
      </c>
      <c r="GK38" s="19">
        <v>0.2</v>
      </c>
      <c r="GL38" s="18">
        <v>1.8199999999999996</v>
      </c>
      <c r="GM38" s="19">
        <v>0.69230769230769229</v>
      </c>
      <c r="GN38" s="18"/>
      <c r="GO38" s="19"/>
      <c r="GP38" s="18">
        <v>2.6399999999999997</v>
      </c>
      <c r="GQ38" s="19">
        <v>0.42857142857142855</v>
      </c>
      <c r="GR38" s="18">
        <v>-1.8299999999999996</v>
      </c>
      <c r="GS38" s="19">
        <v>0.30769230769230771</v>
      </c>
      <c r="GT38" s="18">
        <v>-6.05</v>
      </c>
      <c r="GU38" s="19">
        <v>0.23076923076923078</v>
      </c>
      <c r="GV38" s="18">
        <v>2.9699999999999998</v>
      </c>
      <c r="GW38" s="19">
        <v>0.69230769230769229</v>
      </c>
      <c r="GX38" s="18">
        <v>-5.35</v>
      </c>
      <c r="GY38" s="19">
        <v>0.30769230769230771</v>
      </c>
      <c r="GZ38" s="18"/>
      <c r="HA38" s="19"/>
      <c r="HB38" s="18">
        <v>5.0100000000000007</v>
      </c>
      <c r="HC38" s="19">
        <v>0.53846153846153844</v>
      </c>
      <c r="HD38" s="18">
        <v>5.0000000000000044E-2</v>
      </c>
      <c r="HE38" s="19">
        <v>0.61538461538461542</v>
      </c>
      <c r="HF38" s="18">
        <v>0.64999999999999991</v>
      </c>
      <c r="HG38" s="19">
        <v>0.53846153846153844</v>
      </c>
      <c r="HH38" s="18">
        <v>-0.8899999999999999</v>
      </c>
      <c r="HI38" s="19">
        <v>0.46153846153846156</v>
      </c>
      <c r="HJ38" s="18">
        <v>1.71</v>
      </c>
      <c r="HK38" s="19">
        <v>0.69230769230769229</v>
      </c>
      <c r="HL38" s="18">
        <v>-2.5299999999999998</v>
      </c>
      <c r="HM38" s="19">
        <v>0.33333333333333331</v>
      </c>
      <c r="HN38" s="18">
        <v>0.15000000000000011</v>
      </c>
      <c r="HO38" s="19">
        <v>0.38461538461538464</v>
      </c>
      <c r="HP38" s="18">
        <v>-0.41000000000000009</v>
      </c>
      <c r="HQ38" s="19">
        <v>0.58333333333333337</v>
      </c>
      <c r="HR38" s="18">
        <v>-1.0499999999999998</v>
      </c>
      <c r="HS38" s="19">
        <v>0.30769230769230771</v>
      </c>
      <c r="HT38" s="18">
        <v>1.1900000000000004</v>
      </c>
      <c r="HU38" s="19">
        <v>0.46153846153846156</v>
      </c>
      <c r="HV38" s="18">
        <v>0.85999999999999921</v>
      </c>
      <c r="HW38" s="19">
        <v>0.53846153846153844</v>
      </c>
      <c r="HX38" s="18"/>
      <c r="HY38" s="19"/>
      <c r="HZ38" s="18">
        <v>4.910000000000001</v>
      </c>
      <c r="IA38" s="19">
        <v>0.53846153846153844</v>
      </c>
      <c r="IB38" s="18">
        <v>-4.3500000000000005</v>
      </c>
      <c r="IC38" s="19">
        <v>0.33333333333333331</v>
      </c>
      <c r="ID38" s="18">
        <v>1.0299999999999998</v>
      </c>
      <c r="IE38" s="19">
        <v>0.61538461538461542</v>
      </c>
      <c r="IF38" s="18">
        <v>-1.32</v>
      </c>
      <c r="IG38" s="19">
        <v>0.46153846153846156</v>
      </c>
      <c r="IH38" s="18">
        <v>1.9400000000000002</v>
      </c>
      <c r="II38" s="19">
        <v>0.46153846153846156</v>
      </c>
      <c r="IJ38" s="18">
        <v>-9</v>
      </c>
      <c r="IK38" s="19">
        <v>0.33333333333333331</v>
      </c>
      <c r="IL38" s="18">
        <v>-1.92</v>
      </c>
      <c r="IM38" s="19">
        <v>0.25</v>
      </c>
      <c r="IN38" s="18">
        <v>-0.81</v>
      </c>
      <c r="IO38" s="19">
        <v>0.61538461538461542</v>
      </c>
      <c r="IP38" s="18">
        <v>-1.3100000000000009</v>
      </c>
      <c r="IQ38" s="19">
        <v>0.30769230769230771</v>
      </c>
      <c r="IR38" s="18"/>
      <c r="IS38" s="19"/>
      <c r="IT38" s="18"/>
      <c r="IU38" s="19"/>
      <c r="IV38" s="18">
        <v>1.2599999999999998</v>
      </c>
      <c r="IW38" s="19">
        <v>0.53846153846153844</v>
      </c>
      <c r="IX38" s="18"/>
      <c r="IY38" s="19"/>
      <c r="IZ38" s="18"/>
      <c r="JA38" s="19"/>
      <c r="JB38" s="18"/>
      <c r="JC38" s="19"/>
      <c r="JD38" s="18">
        <v>1.73</v>
      </c>
      <c r="JE38" s="19">
        <v>0.38461538461538464</v>
      </c>
      <c r="JF38" s="18">
        <v>9.000000000000008E-2</v>
      </c>
      <c r="JG38" s="19">
        <v>0.46153846153846156</v>
      </c>
      <c r="JH38" s="18">
        <v>-2.68</v>
      </c>
      <c r="JI38" s="19">
        <v>0.38461538461538464</v>
      </c>
      <c r="JJ38" s="18">
        <v>-4.080000000000001</v>
      </c>
      <c r="JK38" s="19">
        <v>0.30769230769230771</v>
      </c>
      <c r="JL38" s="18"/>
      <c r="JM38" s="19"/>
      <c r="JN38" s="18">
        <v>2.1999999999999993</v>
      </c>
      <c r="JO38" s="19">
        <v>0.53846153846153844</v>
      </c>
      <c r="JP38" s="18">
        <v>-0.86999999999999966</v>
      </c>
      <c r="JQ38" s="19">
        <v>0.46153846153846156</v>
      </c>
      <c r="JR38" s="18">
        <v>-0.7000000000000004</v>
      </c>
      <c r="JS38" s="19">
        <v>0.46153846153846156</v>
      </c>
      <c r="JT38" s="18"/>
      <c r="JU38" s="19"/>
      <c r="JV38" s="18"/>
      <c r="JW38" s="19"/>
      <c r="JX38" s="18">
        <v>0.1000000000000002</v>
      </c>
      <c r="JY38" s="19">
        <v>0.38461538461538464</v>
      </c>
      <c r="JZ38" s="18">
        <v>1.0799999999999996</v>
      </c>
      <c r="KA38" s="19">
        <v>0.53846153846153844</v>
      </c>
      <c r="KB38" s="18">
        <v>1.0800000000000003</v>
      </c>
      <c r="KC38" s="19">
        <v>0.53846153846153844</v>
      </c>
      <c r="KD38" s="18">
        <v>8.8400000000000034</v>
      </c>
      <c r="KE38" s="19">
        <v>0.58333333333333337</v>
      </c>
      <c r="KF38" s="18">
        <v>0.43000000000000033</v>
      </c>
      <c r="KG38" s="19">
        <v>0.53846153846153844</v>
      </c>
      <c r="KH38" s="18">
        <v>-1.22</v>
      </c>
      <c r="KI38" s="19">
        <v>0.46153846153846156</v>
      </c>
      <c r="KJ38" s="18">
        <v>2.5300000000000007</v>
      </c>
      <c r="KK38" s="19">
        <v>0.53846153846153844</v>
      </c>
      <c r="KL38" s="18">
        <v>1.75</v>
      </c>
      <c r="KM38" s="19">
        <v>0.61538461538461542</v>
      </c>
      <c r="KN38" s="18">
        <v>-0.68000000000000027</v>
      </c>
      <c r="KO38" s="19">
        <v>0.53846153846153844</v>
      </c>
      <c r="KP38" s="18"/>
      <c r="KQ38" s="19"/>
      <c r="KR38" s="18">
        <v>0.28000000000000008</v>
      </c>
      <c r="KS38" s="19">
        <v>0.61538461538461542</v>
      </c>
      <c r="KT38" s="18"/>
      <c r="KU38" s="19"/>
      <c r="KV38" s="18">
        <v>-0.60000000000000075</v>
      </c>
      <c r="KW38" s="19">
        <v>0.46153846153846156</v>
      </c>
      <c r="KX38" s="18">
        <v>-1.66</v>
      </c>
      <c r="KY38" s="19">
        <v>0.46153846153846156</v>
      </c>
      <c r="KZ38" s="18">
        <v>-0.5399999999999997</v>
      </c>
      <c r="LA38" s="19">
        <v>0.53846153846153844</v>
      </c>
      <c r="LB38" s="18">
        <v>-8.8800000000000026</v>
      </c>
      <c r="LC38" s="19">
        <v>0.23076923076923078</v>
      </c>
      <c r="LD38" s="18">
        <v>0.44999999999999984</v>
      </c>
      <c r="LE38" s="19">
        <v>0.61538461538461542</v>
      </c>
      <c r="LF38" s="18">
        <v>-0.49999999999999956</v>
      </c>
      <c r="LG38" s="19">
        <v>0.5</v>
      </c>
      <c r="LH38" s="18">
        <v>-13.45</v>
      </c>
      <c r="LI38" s="19">
        <v>0.23076923076923078</v>
      </c>
      <c r="LJ38" s="18"/>
      <c r="LK38" s="19"/>
      <c r="LL38" s="18">
        <v>-0.97000000000000031</v>
      </c>
      <c r="LM38" s="19">
        <v>0.41666666666666669</v>
      </c>
      <c r="LN38" s="18">
        <v>-16.27</v>
      </c>
      <c r="LO38" s="19">
        <v>0.15384615384615385</v>
      </c>
      <c r="LP38" s="18">
        <v>-5.89</v>
      </c>
      <c r="LQ38" s="19">
        <v>0.53846153846153844</v>
      </c>
      <c r="LR38" s="18">
        <v>-3.37</v>
      </c>
      <c r="LS38" s="19">
        <v>0.45454545454545453</v>
      </c>
      <c r="LT38" s="18">
        <v>-6.58</v>
      </c>
      <c r="LU38" s="19">
        <v>0.33333333333333331</v>
      </c>
      <c r="LV38" s="18">
        <v>-5.54</v>
      </c>
      <c r="LW38" s="19">
        <v>0.25</v>
      </c>
      <c r="LX38" s="18">
        <v>-7.91</v>
      </c>
      <c r="LY38" s="19">
        <v>0.25</v>
      </c>
      <c r="LZ38" s="18">
        <v>-4.4799999999999995</v>
      </c>
      <c r="MA38" s="19">
        <v>0.5</v>
      </c>
      <c r="MB38" s="18">
        <v>1.1499999999999999</v>
      </c>
      <c r="MC38" s="19">
        <v>0.5</v>
      </c>
      <c r="MD38" s="18"/>
      <c r="ME38" s="19"/>
      <c r="MF38" s="18">
        <v>3.8900000000000006</v>
      </c>
      <c r="MG38" s="19">
        <v>0.66666666666666663</v>
      </c>
      <c r="MH38" s="18">
        <v>5.5500000000000007</v>
      </c>
      <c r="MI38" s="19">
        <v>0.66666666666666663</v>
      </c>
      <c r="MJ38" s="18">
        <v>-10.620000000000001</v>
      </c>
      <c r="MK38" s="19">
        <v>0</v>
      </c>
      <c r="ML38" s="18">
        <v>-12.359999999999998</v>
      </c>
      <c r="MM38" s="19">
        <v>0.3</v>
      </c>
      <c r="MN38" s="18">
        <v>-18.739999999999998</v>
      </c>
      <c r="MO38" s="19">
        <v>0</v>
      </c>
      <c r="MP38" s="18">
        <v>-16</v>
      </c>
      <c r="MQ38" s="19">
        <v>0.16666666666666666</v>
      </c>
      <c r="MR38" s="18">
        <v>-15.34</v>
      </c>
      <c r="MS38" s="19">
        <v>0.38461538461538464</v>
      </c>
      <c r="MT38" s="18">
        <v>13.96</v>
      </c>
      <c r="MU38" s="19">
        <v>0.83333333333333337</v>
      </c>
      <c r="MV38" s="18">
        <v>-0.79000000000000048</v>
      </c>
      <c r="MW38" s="19">
        <v>0.6</v>
      </c>
      <c r="MX38" s="18">
        <v>1.3800000000000001</v>
      </c>
      <c r="MY38" s="19">
        <v>0.44444444444444442</v>
      </c>
      <c r="MZ38" s="18">
        <v>-2.4900000000000002</v>
      </c>
      <c r="NA38" s="19">
        <v>0.3</v>
      </c>
      <c r="NB38" s="18">
        <v>-1.65</v>
      </c>
      <c r="NC38" s="19">
        <v>0.45454545454545453</v>
      </c>
      <c r="ND38" s="18"/>
      <c r="NE38" s="19"/>
      <c r="NF38" s="18">
        <v>12.729999999999999</v>
      </c>
      <c r="NG38" s="19">
        <v>0.75</v>
      </c>
      <c r="NH38" s="18">
        <v>12.729999999999999</v>
      </c>
      <c r="NI38" s="19">
        <v>0.75</v>
      </c>
      <c r="NJ38" s="18">
        <v>-1.1000000000000001</v>
      </c>
      <c r="NK38" s="19">
        <v>0.33333333333333331</v>
      </c>
      <c r="NL38" s="18">
        <v>-2.9299999999999993</v>
      </c>
      <c r="NM38" s="19">
        <v>0.53846153846153844</v>
      </c>
      <c r="NN38" s="18"/>
      <c r="NO38" s="19"/>
      <c r="NP38" s="18">
        <v>-3.86</v>
      </c>
      <c r="NQ38" s="19">
        <v>0.5</v>
      </c>
      <c r="NR38" s="18">
        <v>-2.5</v>
      </c>
      <c r="NS38" s="19">
        <v>0.54545454545454541</v>
      </c>
      <c r="NT38" s="18">
        <v>-4.7099999999999991</v>
      </c>
      <c r="NU38" s="19">
        <v>0.41666666666666669</v>
      </c>
      <c r="NV38" s="18">
        <v>0.18999999999999984</v>
      </c>
      <c r="NW38" s="19">
        <v>0.5</v>
      </c>
      <c r="NX38" s="18">
        <v>3.03</v>
      </c>
      <c r="NY38" s="19">
        <v>0.36363636363636365</v>
      </c>
      <c r="NZ38" s="18">
        <v>4.42</v>
      </c>
      <c r="OA38" s="19">
        <v>0.6</v>
      </c>
      <c r="OB38" s="18">
        <v>-8.9999999999999969E-2</v>
      </c>
      <c r="OC38" s="19">
        <v>0.55555555555555558</v>
      </c>
      <c r="OD38" s="18">
        <v>-4.1900000000000004</v>
      </c>
      <c r="OE38" s="19">
        <v>0.44444444444444442</v>
      </c>
      <c r="OF38" s="18">
        <v>-4.7600000000000007</v>
      </c>
      <c r="OG38" s="19">
        <v>0.55555555555555558</v>
      </c>
      <c r="OH38" s="18">
        <v>-6.6999999999999993</v>
      </c>
      <c r="OI38" s="19">
        <v>0.5</v>
      </c>
      <c r="OJ38" s="18"/>
      <c r="OK38" s="19"/>
      <c r="OL38" s="18">
        <v>-7.0799999999999992</v>
      </c>
      <c r="OM38" s="19">
        <v>0.38461538461538464</v>
      </c>
      <c r="ON38" s="18">
        <v>8.17</v>
      </c>
      <c r="OO38" s="19">
        <v>0.69230769230769229</v>
      </c>
      <c r="OP38" s="18">
        <v>-11.379999999999999</v>
      </c>
      <c r="OQ38" s="19">
        <v>0.23076923076923078</v>
      </c>
      <c r="OR38" s="18">
        <v>-8.2800000000000011</v>
      </c>
      <c r="OS38" s="19">
        <v>0.30769230769230771</v>
      </c>
      <c r="OT38" s="18">
        <v>-11.489999999999998</v>
      </c>
      <c r="OU38" s="19">
        <v>0.23076923076923078</v>
      </c>
      <c r="OV38" s="18"/>
      <c r="OW38" s="19"/>
      <c r="OX38" s="18">
        <v>0.61999999999999977</v>
      </c>
      <c r="OY38" s="19">
        <v>0.53846153846153844</v>
      </c>
      <c r="OZ38" s="18">
        <v>1.27</v>
      </c>
      <c r="PA38" s="19">
        <v>0.6428571428571429</v>
      </c>
      <c r="PB38" s="18">
        <v>-6.42</v>
      </c>
      <c r="PC38" s="19">
        <v>0.46153846153846156</v>
      </c>
      <c r="PD38" s="18">
        <v>-4.8499999999999996</v>
      </c>
      <c r="PE38" s="19">
        <v>0.30769230769230771</v>
      </c>
      <c r="PF38" s="18">
        <v>-3.2799999999999994</v>
      </c>
      <c r="PG38" s="19">
        <v>0.38461538461538464</v>
      </c>
      <c r="PH38" s="18">
        <v>-9.94</v>
      </c>
      <c r="PI38" s="19">
        <v>0.30769230769230771</v>
      </c>
      <c r="PJ38" s="18"/>
      <c r="PK38" s="19"/>
      <c r="PL38" s="18"/>
      <c r="PM38" s="19"/>
      <c r="PN38" s="18">
        <v>-3.06</v>
      </c>
      <c r="PO38" s="19">
        <v>0.41666666666666669</v>
      </c>
      <c r="PP38" s="18">
        <v>-4.339999999999999</v>
      </c>
      <c r="PQ38" s="19">
        <v>0.41666666666666669</v>
      </c>
      <c r="PR38" s="18"/>
      <c r="PS38" s="19"/>
      <c r="PT38" s="18">
        <v>9.7199999999999989</v>
      </c>
      <c r="PU38" s="19">
        <v>0.76923076923076927</v>
      </c>
      <c r="PV38" s="18">
        <v>-3.08</v>
      </c>
      <c r="PW38" s="19">
        <v>0.46153846153846156</v>
      </c>
      <c r="PX38" s="18">
        <v>-4.0999999999999988</v>
      </c>
      <c r="PY38" s="19">
        <v>0.42857142857142855</v>
      </c>
      <c r="PZ38" s="18">
        <v>3.4700000000000015</v>
      </c>
      <c r="QA38" s="19">
        <v>0.41666666666666669</v>
      </c>
      <c r="QB38" s="18">
        <v>8.0000000000000071E-2</v>
      </c>
      <c r="QC38" s="19">
        <v>0.38461538461538464</v>
      </c>
      <c r="QD38" s="18">
        <v>3.5900000000000007</v>
      </c>
      <c r="QE38" s="19">
        <v>0.61538461538461542</v>
      </c>
      <c r="QF38" s="18">
        <v>-4.17</v>
      </c>
      <c r="QG38" s="19">
        <v>0.53846153846153844</v>
      </c>
      <c r="QH38" s="18">
        <v>-3.6</v>
      </c>
      <c r="QI38" s="19">
        <v>0.38461538461538464</v>
      </c>
      <c r="QJ38" s="18">
        <v>2.46</v>
      </c>
      <c r="QK38" s="19">
        <v>0.46153846153846156</v>
      </c>
      <c r="QL38" s="18">
        <v>-3.21</v>
      </c>
      <c r="QM38" s="19">
        <v>0.5</v>
      </c>
      <c r="QN38" s="18">
        <v>0.56999999999999962</v>
      </c>
      <c r="QO38" s="19">
        <v>0.46153846153846156</v>
      </c>
      <c r="QP38" s="18">
        <v>-2.2600000000000002</v>
      </c>
      <c r="QQ38" s="19">
        <v>0.38461538461538464</v>
      </c>
      <c r="QR38" s="18">
        <v>-2.8499999999999996</v>
      </c>
      <c r="QS38" s="19">
        <v>0.38461538461538464</v>
      </c>
      <c r="QT38" s="18"/>
      <c r="QU38" s="19"/>
      <c r="QV38" s="18">
        <v>4.72</v>
      </c>
      <c r="QW38" s="19">
        <v>0.6428571428571429</v>
      </c>
      <c r="QX38" s="18">
        <v>-1.77</v>
      </c>
      <c r="QY38" s="19">
        <v>0.5</v>
      </c>
      <c r="QZ38" s="18"/>
      <c r="RA38" s="19"/>
      <c r="RB38" s="18">
        <v>-4.43</v>
      </c>
      <c r="RC38" s="19">
        <v>0.30769230769230771</v>
      </c>
      <c r="RD38" s="18">
        <v>-0.20000000000000073</v>
      </c>
      <c r="RE38" s="19">
        <v>0.5</v>
      </c>
      <c r="RF38" s="18">
        <v>-4.7899999999999991</v>
      </c>
      <c r="RG38" s="19">
        <v>0.30769230769230771</v>
      </c>
      <c r="RH38" s="18">
        <v>-7.18</v>
      </c>
      <c r="RI38" s="19">
        <v>0.2857142857142857</v>
      </c>
      <c r="RJ38" s="18">
        <v>-3.62</v>
      </c>
      <c r="RK38" s="19">
        <v>0.2857142857142857</v>
      </c>
      <c r="RL38" s="18">
        <v>-1.5999999999999996</v>
      </c>
      <c r="RM38" s="19">
        <v>0.42857142857142855</v>
      </c>
      <c r="RN38" s="18">
        <v>-3.6799999999999997</v>
      </c>
      <c r="RO38" s="19">
        <v>0.38461538461538464</v>
      </c>
      <c r="RP38" s="18">
        <v>1.6499999999999995</v>
      </c>
      <c r="RQ38" s="19">
        <v>0.5</v>
      </c>
      <c r="RR38" s="18">
        <v>-6.3299999999999992</v>
      </c>
      <c r="RS38" s="19">
        <v>0.42857142857142855</v>
      </c>
      <c r="RT38" s="18">
        <v>-12.819999999999999</v>
      </c>
      <c r="RU38" s="19">
        <v>0.2857142857142857</v>
      </c>
      <c r="RV38" s="18">
        <v>3.32</v>
      </c>
      <c r="RW38" s="19">
        <v>0.6428571428571429</v>
      </c>
      <c r="RX38" s="18">
        <v>0.59000000000000008</v>
      </c>
      <c r="RY38" s="19">
        <v>0.53846153846153844</v>
      </c>
      <c r="RZ38" s="18">
        <v>-5.21</v>
      </c>
      <c r="SA38" s="19">
        <v>0.30769230769230771</v>
      </c>
      <c r="SB38" s="18">
        <v>-4.7799999999999994</v>
      </c>
      <c r="SC38" s="19">
        <v>0.30769230769230771</v>
      </c>
      <c r="SD38" s="18">
        <v>4.3</v>
      </c>
      <c r="SE38" s="19">
        <v>0.5714285714285714</v>
      </c>
      <c r="SF38" s="18"/>
      <c r="SG38" s="19"/>
      <c r="SH38" s="18">
        <v>-11.98</v>
      </c>
      <c r="SI38" s="19">
        <v>0.15384615384615385</v>
      </c>
      <c r="SJ38" s="18">
        <v>1.2499999999999998</v>
      </c>
      <c r="SK38" s="19">
        <v>0.5714285714285714</v>
      </c>
      <c r="SL38" s="18">
        <v>-2.1699999999999995</v>
      </c>
      <c r="SM38" s="19">
        <v>0.42857142857142855</v>
      </c>
      <c r="SN38" s="18">
        <v>0.71</v>
      </c>
      <c r="SO38" s="19">
        <v>0.53846153846153844</v>
      </c>
      <c r="SP38" s="18">
        <v>-0.41</v>
      </c>
      <c r="SQ38" s="19">
        <v>0.53846153846153844</v>
      </c>
      <c r="SR38" s="18">
        <v>-4.9499999999999993</v>
      </c>
      <c r="SS38" s="19">
        <v>0.21428571428571427</v>
      </c>
      <c r="ST38" s="18">
        <v>-5.38</v>
      </c>
      <c r="SU38" s="19">
        <v>0.2857142857142857</v>
      </c>
      <c r="SV38" s="18">
        <v>5.62</v>
      </c>
      <c r="SW38" s="19">
        <v>0.69230769230769229</v>
      </c>
      <c r="SX38" s="18"/>
      <c r="SY38" s="19"/>
      <c r="SZ38" s="18">
        <v>-5.7399999999999993</v>
      </c>
      <c r="TA38" s="19">
        <v>0.16666666666666666</v>
      </c>
      <c r="TB38" s="18">
        <v>1.8699999999999997</v>
      </c>
      <c r="TC38" s="19">
        <v>0.61538461538461542</v>
      </c>
      <c r="TD38" s="18">
        <v>-7.91</v>
      </c>
      <c r="TE38" s="19">
        <v>0.30769230769230771</v>
      </c>
      <c r="TF38" s="18">
        <v>-3.7499999999999996</v>
      </c>
      <c r="TG38" s="19">
        <v>0.2857142857142857</v>
      </c>
      <c r="TH38" s="18">
        <v>-7.52</v>
      </c>
      <c r="TI38" s="19">
        <v>0.21428571428571427</v>
      </c>
      <c r="TJ38" s="18">
        <v>4.2200000000000006</v>
      </c>
      <c r="TK38" s="19">
        <v>0.46153846153846156</v>
      </c>
      <c r="TL38" s="18">
        <v>0.94999999999999962</v>
      </c>
      <c r="TM38" s="19">
        <v>0.42857142857142855</v>
      </c>
      <c r="TN38" s="18"/>
      <c r="TO38" s="19"/>
      <c r="TP38" s="18">
        <v>-1.25</v>
      </c>
      <c r="TQ38" s="19">
        <v>0.38461538461538464</v>
      </c>
      <c r="TR38" s="18">
        <v>3.9999999999999925E-2</v>
      </c>
      <c r="TS38" s="19">
        <v>0.46153846153846156</v>
      </c>
      <c r="TT38" s="18">
        <v>-2.17</v>
      </c>
      <c r="TU38" s="19">
        <v>0.53846153846153844</v>
      </c>
      <c r="TV38" s="18">
        <v>-10.96</v>
      </c>
      <c r="TW38" s="19">
        <v>0.14285714285714285</v>
      </c>
      <c r="TX38" s="18">
        <v>2.27</v>
      </c>
      <c r="TY38" s="19">
        <v>0.69230769230769229</v>
      </c>
      <c r="TZ38" s="18">
        <v>-2</v>
      </c>
      <c r="UA38" s="19">
        <v>0.61538461538461542</v>
      </c>
      <c r="UB38" s="18">
        <v>-8.42</v>
      </c>
      <c r="UC38" s="19">
        <v>0.21428571428571427</v>
      </c>
      <c r="UD38" s="18">
        <v>-8.4499999999999993</v>
      </c>
      <c r="UE38" s="19">
        <v>0.35714285714285715</v>
      </c>
      <c r="UF38" s="18">
        <v>0.6</v>
      </c>
      <c r="UG38" s="19">
        <v>0.35714285714285715</v>
      </c>
      <c r="UH38" s="18">
        <v>-4.9000000000000004</v>
      </c>
      <c r="UI38" s="19">
        <v>0.35714285714285715</v>
      </c>
      <c r="UJ38" s="18">
        <v>4.33</v>
      </c>
      <c r="UK38" s="19">
        <v>0.5714285714285714</v>
      </c>
      <c r="UL38" s="18">
        <v>-1.3400000000000003</v>
      </c>
      <c r="UM38" s="19">
        <v>0.5714285714285714</v>
      </c>
      <c r="UN38" s="18">
        <v>-6.0599999999999978</v>
      </c>
      <c r="UO38" s="19">
        <v>0.14285714285714285</v>
      </c>
      <c r="UP38" s="18">
        <v>1.6199999999999999</v>
      </c>
      <c r="UQ38" s="19">
        <v>0.5</v>
      </c>
      <c r="UR38" s="18">
        <v>-13.839999999999996</v>
      </c>
      <c r="US38" s="19">
        <v>0.14285714285714285</v>
      </c>
      <c r="UT38" s="18">
        <v>-0.57000000000000017</v>
      </c>
      <c r="UU38" s="19">
        <v>0.38461538461538464</v>
      </c>
      <c r="UV38" s="18">
        <v>0.84000000000000008</v>
      </c>
      <c r="UW38" s="19">
        <v>0.46153846153846156</v>
      </c>
      <c r="UX38" s="18">
        <v>-1.0000000000000453E-2</v>
      </c>
      <c r="UY38" s="19">
        <v>0.42857142857142855</v>
      </c>
      <c r="UZ38" s="18"/>
      <c r="VA38" s="19"/>
      <c r="VB38" s="18">
        <v>-6.4399999999999995</v>
      </c>
      <c r="VC38" s="19">
        <v>0.21428571428571427</v>
      </c>
      <c r="VD38" s="18">
        <v>3.0500000000000007</v>
      </c>
      <c r="VE38" s="19">
        <v>0.5714285714285714</v>
      </c>
      <c r="VF38" s="18">
        <v>-2.63</v>
      </c>
      <c r="VG38" s="19">
        <v>0.35714285714285715</v>
      </c>
      <c r="VH38" s="18">
        <v>2.0099999999999993</v>
      </c>
      <c r="VI38" s="19">
        <v>0.38461538461538464</v>
      </c>
      <c r="VJ38" s="18">
        <v>-0.83</v>
      </c>
      <c r="VK38" s="19">
        <v>0.42857142857142855</v>
      </c>
      <c r="VL38" s="18">
        <v>-2.6300000000000003</v>
      </c>
      <c r="VM38" s="19">
        <v>0.35714285714285715</v>
      </c>
      <c r="VN38" s="18">
        <v>-1.9900000000000002</v>
      </c>
      <c r="VO38" s="19">
        <v>0.42857142857142855</v>
      </c>
      <c r="VP38" s="18">
        <v>1.2499999999999996</v>
      </c>
      <c r="VQ38" s="19">
        <v>0.5</v>
      </c>
      <c r="VR38" s="18"/>
      <c r="VS38" s="19"/>
      <c r="VT38" s="18">
        <v>-7.42</v>
      </c>
      <c r="VU38" s="19">
        <v>0.2857142857142857</v>
      </c>
      <c r="VV38" s="18">
        <v>0.97000000000000053</v>
      </c>
      <c r="VW38" s="19">
        <v>0.5714285714285714</v>
      </c>
      <c r="VX38" s="18">
        <v>-6.6400000000000006</v>
      </c>
      <c r="VY38" s="19">
        <v>0.35714285714285715</v>
      </c>
      <c r="VZ38" s="18">
        <v>-6.999999999999984E-2</v>
      </c>
      <c r="WA38" s="19">
        <v>0.5</v>
      </c>
      <c r="WB38" s="18">
        <v>1.6400000000000001</v>
      </c>
      <c r="WC38" s="19">
        <v>0.5</v>
      </c>
      <c r="WD38" s="18">
        <v>1.0600000000000005</v>
      </c>
      <c r="WE38" s="19">
        <v>0.5</v>
      </c>
      <c r="WF38" s="18">
        <v>-4.5100000000000007</v>
      </c>
      <c r="WG38" s="19">
        <v>0.35714285714285715</v>
      </c>
      <c r="WH38" s="18">
        <v>-8.9999999999999969E-2</v>
      </c>
      <c r="WI38" s="19">
        <v>0.42857142857142855</v>
      </c>
      <c r="WJ38" s="18">
        <v>-3.9</v>
      </c>
      <c r="WK38" s="19">
        <v>0.42857142857142855</v>
      </c>
      <c r="WL38" s="18">
        <v>-3.8899999999999997</v>
      </c>
      <c r="WM38" s="19">
        <v>0.30769230769230771</v>
      </c>
      <c r="WN38" s="18">
        <v>2.75</v>
      </c>
      <c r="WO38" s="19">
        <v>0.7142857142857143</v>
      </c>
      <c r="WP38" s="18">
        <v>-0.33999999999999975</v>
      </c>
      <c r="WQ38" s="19">
        <v>0.35714285714285715</v>
      </c>
      <c r="WR38" s="18">
        <v>4.0900000000000007</v>
      </c>
      <c r="WS38" s="19">
        <v>0.6428571428571429</v>
      </c>
      <c r="WT38" s="18">
        <v>-6.1399999999999988</v>
      </c>
      <c r="WU38" s="19">
        <v>0.2857142857142857</v>
      </c>
      <c r="WV38" s="18">
        <v>-0.62000000000000033</v>
      </c>
      <c r="WW38" s="19">
        <v>0.5714285714285714</v>
      </c>
      <c r="WX38" s="18">
        <v>2.35</v>
      </c>
      <c r="WY38" s="19">
        <v>0.5714285714285714</v>
      </c>
      <c r="WZ38" s="18">
        <v>-0.5499999999999996</v>
      </c>
      <c r="XA38" s="19">
        <v>0.5714285714285714</v>
      </c>
      <c r="XB38" s="18">
        <v>1.6500000000000004</v>
      </c>
      <c r="XC38" s="19">
        <v>0.5</v>
      </c>
      <c r="XD38" s="18"/>
      <c r="XE38" s="19"/>
      <c r="XF38" s="18">
        <v>-3.8600000000000003</v>
      </c>
      <c r="XG38" s="19">
        <v>0.42857142857142855</v>
      </c>
      <c r="XH38" s="18">
        <v>-0.18999999999999972</v>
      </c>
      <c r="XI38" s="19">
        <v>0.5</v>
      </c>
      <c r="XJ38" s="18">
        <v>0.96</v>
      </c>
      <c r="XK38" s="19">
        <v>0.6428571428571429</v>
      </c>
      <c r="XL38" s="18">
        <v>-3.8399999999999994</v>
      </c>
      <c r="XM38" s="19">
        <v>0.42857142857142855</v>
      </c>
      <c r="XN38" s="18">
        <v>-5.3100000000000023</v>
      </c>
      <c r="XO38" s="19">
        <v>0.42857142857142855</v>
      </c>
      <c r="XP38" s="18">
        <v>-2.36</v>
      </c>
      <c r="XQ38" s="19">
        <v>0.2857142857142857</v>
      </c>
      <c r="XR38" s="18">
        <v>-0.97999999999999932</v>
      </c>
      <c r="XS38" s="19">
        <v>0.32142857142857145</v>
      </c>
      <c r="XT38" s="18">
        <v>-1.9000000000000001</v>
      </c>
      <c r="XU38" s="19">
        <v>0.42857142857142855</v>
      </c>
      <c r="XV38" s="18">
        <v>-2.9400000000000004</v>
      </c>
      <c r="XW38" s="19">
        <v>0.42857142857142855</v>
      </c>
    </row>
    <row r="39" spans="2:647" x14ac:dyDescent="0.25">
      <c r="B39" s="755"/>
      <c r="C39" s="758"/>
      <c r="D39" s="757" t="s">
        <v>15</v>
      </c>
      <c r="E39" s="757"/>
      <c r="F39" s="448">
        <v>0.2</v>
      </c>
      <c r="G39" s="768"/>
      <c r="H39" s="450"/>
      <c r="I39" s="1"/>
      <c r="J39" s="450"/>
      <c r="K39" s="1"/>
      <c r="L39" s="450"/>
      <c r="M39" s="1"/>
      <c r="N39" s="450"/>
      <c r="O39" s="1"/>
      <c r="P39" s="450"/>
      <c r="Q39" s="1"/>
      <c r="R39" s="450"/>
      <c r="S39" s="1"/>
      <c r="T39" s="450"/>
      <c r="U39" s="1"/>
      <c r="V39" s="450"/>
      <c r="W39" s="1"/>
      <c r="X39" s="450"/>
      <c r="Y39" s="1"/>
      <c r="Z39" s="450"/>
      <c r="AA39" s="1"/>
      <c r="AB39" s="450"/>
      <c r="AC39" s="1"/>
      <c r="AD39" s="450"/>
      <c r="AE39" s="1"/>
      <c r="AF39" s="450"/>
      <c r="AG39" s="1"/>
      <c r="AH39" s="450"/>
      <c r="AI39" s="1"/>
      <c r="AJ39" s="450"/>
      <c r="AK39" s="1"/>
      <c r="AL39" s="450"/>
      <c r="AM39" s="1"/>
      <c r="AN39" s="450"/>
      <c r="AO39" s="1"/>
      <c r="AP39" s="450"/>
      <c r="AQ39" s="1"/>
      <c r="AR39" s="450"/>
      <c r="AS39" s="1"/>
      <c r="AT39" s="450"/>
      <c r="AU39" s="1"/>
      <c r="AV39" s="450"/>
      <c r="AW39" s="1"/>
      <c r="AX39" s="450"/>
      <c r="AY39" s="1"/>
      <c r="AZ39" s="450"/>
      <c r="BA39" s="1"/>
      <c r="BB39" s="450"/>
      <c r="BC39" s="1"/>
      <c r="BD39" s="450"/>
      <c r="BE39" s="1"/>
      <c r="BF39" s="450">
        <v>2.8766666666666669</v>
      </c>
      <c r="BG39" s="1">
        <v>0.72727272727272729</v>
      </c>
      <c r="BH39" s="450">
        <v>-6.6933333333333316</v>
      </c>
      <c r="BI39" s="1">
        <v>0.22222222222222221</v>
      </c>
      <c r="BJ39" s="450">
        <v>4.6366666666666658</v>
      </c>
      <c r="BK39" s="1">
        <v>0.875</v>
      </c>
      <c r="BL39" s="450">
        <v>-1.1491666666666662</v>
      </c>
      <c r="BM39" s="1">
        <v>0.5714285714285714</v>
      </c>
      <c r="BN39" s="450">
        <v>-3.4533333333333336</v>
      </c>
      <c r="BO39" s="1">
        <v>0.14285714285714285</v>
      </c>
      <c r="BP39" s="450">
        <v>-1.0158333333333334</v>
      </c>
      <c r="BQ39" s="1">
        <v>0.5714285714285714</v>
      </c>
      <c r="BR39" s="450">
        <v>4.3658333333333328</v>
      </c>
      <c r="BS39" s="1">
        <v>0.66666666666666663</v>
      </c>
      <c r="BT39" s="450"/>
      <c r="BU39" s="1"/>
      <c r="BV39" s="450">
        <v>-1.8425</v>
      </c>
      <c r="BW39" s="1">
        <v>0.42857142857142855</v>
      </c>
      <c r="BX39" s="450">
        <v>-0.50499999999999978</v>
      </c>
      <c r="BY39" s="1">
        <v>0.55555555555555558</v>
      </c>
      <c r="BZ39" s="450">
        <v>5.4366666666666674</v>
      </c>
      <c r="CA39" s="1">
        <v>0.83333333333333337</v>
      </c>
      <c r="CB39" s="450">
        <v>2.3450000000000002</v>
      </c>
      <c r="CC39" s="1">
        <v>0.8</v>
      </c>
      <c r="CD39" s="450">
        <v>-0.10166666666666657</v>
      </c>
      <c r="CE39" s="1">
        <v>0.5714285714285714</v>
      </c>
      <c r="CF39" s="450">
        <v>-0.46666666666666662</v>
      </c>
      <c r="CG39" s="1">
        <v>0.42857142857142855</v>
      </c>
      <c r="CH39" s="450">
        <v>3.3641666666666663</v>
      </c>
      <c r="CI39" s="1">
        <v>0.8571428571428571</v>
      </c>
      <c r="CJ39" s="450"/>
      <c r="CK39" s="1"/>
      <c r="CL39" s="450">
        <v>-2.7050000000000001</v>
      </c>
      <c r="CM39" s="1">
        <v>0</v>
      </c>
      <c r="CN39" s="450">
        <v>2.2783333333333329</v>
      </c>
      <c r="CO39" s="1">
        <v>0.8</v>
      </c>
      <c r="CP39" s="450">
        <v>6.0308333333333337</v>
      </c>
      <c r="CQ39" s="1">
        <v>0.7142857142857143</v>
      </c>
      <c r="CR39" s="450">
        <v>-2.6416666666666671</v>
      </c>
      <c r="CS39" s="1">
        <v>0.25</v>
      </c>
      <c r="CT39" s="450"/>
      <c r="CU39" s="1"/>
      <c r="CV39" s="450">
        <v>-0.78583333333333272</v>
      </c>
      <c r="CW39" s="1">
        <v>0.625</v>
      </c>
      <c r="CX39" s="450">
        <v>-5.4899999999999993</v>
      </c>
      <c r="CY39" s="1">
        <v>0.375</v>
      </c>
      <c r="CZ39" s="450">
        <v>-5.6083333333333334</v>
      </c>
      <c r="DA39" s="1">
        <v>0.2857142857142857</v>
      </c>
      <c r="DB39" s="450">
        <v>-0.67083333333333339</v>
      </c>
      <c r="DC39" s="1">
        <v>0.5</v>
      </c>
      <c r="DD39" s="450">
        <v>-1.7083333333333333</v>
      </c>
      <c r="DE39" s="1">
        <v>0</v>
      </c>
      <c r="DF39" s="450">
        <v>-6.87</v>
      </c>
      <c r="DG39" s="1">
        <v>0</v>
      </c>
      <c r="DH39" s="450"/>
      <c r="DI39" s="1"/>
      <c r="DJ39" s="450">
        <v>0.13750000000000004</v>
      </c>
      <c r="DK39" s="1">
        <v>0.75</v>
      </c>
      <c r="DL39" s="450">
        <v>-2.06</v>
      </c>
      <c r="DM39" s="1">
        <v>0.25</v>
      </c>
      <c r="DN39" s="450">
        <v>-0.7466666666666667</v>
      </c>
      <c r="DO39" s="1">
        <v>0.33333333333333331</v>
      </c>
      <c r="DP39" s="450"/>
      <c r="DQ39" s="1"/>
      <c r="DR39" s="450">
        <v>-3.8799999999999994</v>
      </c>
      <c r="DS39" s="1">
        <v>0.33333333333333331</v>
      </c>
      <c r="DT39" s="450">
        <v>-3.8799999999999994</v>
      </c>
      <c r="DU39" s="1">
        <v>0.33333333333333331</v>
      </c>
      <c r="DV39" s="450">
        <v>-1.2116666666666669</v>
      </c>
      <c r="DW39" s="1">
        <v>0.5</v>
      </c>
      <c r="DX39" s="450">
        <v>-0.5591666666666667</v>
      </c>
      <c r="DY39" s="1">
        <v>0</v>
      </c>
      <c r="DZ39" s="450">
        <v>1.2458333333333333</v>
      </c>
      <c r="EA39" s="1">
        <v>0.7142857142857143</v>
      </c>
      <c r="EB39" s="450">
        <v>-5.2791666666666668</v>
      </c>
      <c r="EC39" s="1">
        <v>0.2857142857142857</v>
      </c>
      <c r="ED39" s="450">
        <v>-4.0108333333333333</v>
      </c>
      <c r="EE39" s="1">
        <v>0.54545454545454541</v>
      </c>
      <c r="EF39" s="450">
        <v>-2.8283333333333331</v>
      </c>
      <c r="EG39" s="1">
        <v>0.375</v>
      </c>
      <c r="EH39" s="450">
        <v>1.6974999999999998</v>
      </c>
      <c r="EI39" s="1">
        <v>0.6</v>
      </c>
      <c r="EJ39" s="450">
        <v>-3.6791666666666667</v>
      </c>
      <c r="EK39" s="1">
        <v>0.2857142857142857</v>
      </c>
      <c r="EL39" s="450">
        <v>-2.6850000000000005</v>
      </c>
      <c r="EM39" s="1">
        <v>0.375</v>
      </c>
      <c r="EN39" s="450">
        <v>-0.39500000000000002</v>
      </c>
      <c r="EO39" s="1">
        <v>0.5</v>
      </c>
      <c r="EP39" s="450">
        <v>-0.17416666666666644</v>
      </c>
      <c r="EQ39" s="1">
        <v>0.55555555555555558</v>
      </c>
      <c r="ER39" s="450">
        <v>-6.501666666666666</v>
      </c>
      <c r="ES39" s="1">
        <v>0.25</v>
      </c>
      <c r="ET39" s="450">
        <v>-0.39500000000000002</v>
      </c>
      <c r="EU39" s="1">
        <v>0.5</v>
      </c>
      <c r="EV39" s="450">
        <v>-0.17416666666666644</v>
      </c>
      <c r="EW39" s="1">
        <v>0.55555555555555558</v>
      </c>
      <c r="EX39" s="450">
        <v>-6.501666666666666</v>
      </c>
      <c r="EY39" s="1">
        <v>0.25</v>
      </c>
      <c r="EZ39" s="450"/>
      <c r="FA39" s="1"/>
      <c r="FB39" s="450">
        <v>-16.05</v>
      </c>
      <c r="FC39" s="1">
        <v>0</v>
      </c>
      <c r="FD39" s="450">
        <v>2.6400000000000006</v>
      </c>
      <c r="FE39" s="1">
        <v>0.66666666666666663</v>
      </c>
      <c r="FF39" s="450">
        <v>3.2600000000000002</v>
      </c>
      <c r="FG39" s="1">
        <v>0.6</v>
      </c>
      <c r="FH39" s="450">
        <v>0.20999999999999996</v>
      </c>
      <c r="FI39" s="1">
        <v>0.66666666666666663</v>
      </c>
      <c r="FJ39" s="450">
        <v>-3.3699999999999997</v>
      </c>
      <c r="FK39" s="1">
        <v>0.33333333333333331</v>
      </c>
      <c r="FL39" s="450">
        <v>-8.15</v>
      </c>
      <c r="FM39" s="1">
        <v>0.25</v>
      </c>
      <c r="FN39" s="450">
        <v>7.6400000000000006</v>
      </c>
      <c r="FO39" s="1">
        <v>1</v>
      </c>
      <c r="FP39" s="450">
        <v>-15.219999999999999</v>
      </c>
      <c r="FQ39" s="1">
        <v>0.16666666666666666</v>
      </c>
      <c r="FR39" s="450">
        <v>6.62</v>
      </c>
      <c r="FS39" s="1">
        <v>0.75</v>
      </c>
      <c r="FT39" s="450">
        <v>3.1999999999999997</v>
      </c>
      <c r="FU39" s="1">
        <v>0.7142857142857143</v>
      </c>
      <c r="FV39" s="450">
        <v>2.54</v>
      </c>
      <c r="FW39" s="1">
        <v>1</v>
      </c>
      <c r="FX39" s="450">
        <v>-0.34999999999999964</v>
      </c>
      <c r="FY39" s="1">
        <v>0.4</v>
      </c>
      <c r="FZ39" s="450">
        <v>1.6300000000000003</v>
      </c>
      <c r="GA39" s="1">
        <v>0.42857142857142855</v>
      </c>
      <c r="GB39" s="450">
        <v>3.5500000000000003</v>
      </c>
      <c r="GC39" s="1">
        <v>0.8</v>
      </c>
      <c r="GD39" s="450">
        <v>4.26</v>
      </c>
      <c r="GE39" s="1">
        <v>0.8</v>
      </c>
      <c r="GF39" s="450">
        <v>0.86000000000000032</v>
      </c>
      <c r="GG39" s="1">
        <v>0.4</v>
      </c>
      <c r="GH39" s="450">
        <v>-8.23</v>
      </c>
      <c r="GI39" s="1">
        <v>0.2</v>
      </c>
      <c r="GJ39" s="450">
        <v>-4.97</v>
      </c>
      <c r="GK39" s="1">
        <v>0.33333333333333331</v>
      </c>
      <c r="GL39" s="450">
        <v>0.48999999999999977</v>
      </c>
      <c r="GM39" s="1">
        <v>0.5</v>
      </c>
      <c r="GN39" s="450"/>
      <c r="GO39" s="1"/>
      <c r="GP39" s="450">
        <v>-6.9999999999999174E-2</v>
      </c>
      <c r="GQ39" s="1">
        <v>0.375</v>
      </c>
      <c r="GR39" s="450">
        <v>-9.9099999999999984</v>
      </c>
      <c r="GS39" s="1">
        <v>0.33333333333333331</v>
      </c>
      <c r="GT39" s="450">
        <v>2.5300000000000002</v>
      </c>
      <c r="GU39" s="1">
        <v>0.66666666666666663</v>
      </c>
      <c r="GV39" s="450">
        <v>2.99</v>
      </c>
      <c r="GW39" s="1">
        <v>0.75</v>
      </c>
      <c r="GX39" s="450">
        <v>2.7900000000000009</v>
      </c>
      <c r="GY39" s="1">
        <v>0.75</v>
      </c>
      <c r="GZ39" s="450"/>
      <c r="HA39" s="1"/>
      <c r="HB39" s="450">
        <v>-4.4300000000000006</v>
      </c>
      <c r="HC39" s="1">
        <v>0.5</v>
      </c>
      <c r="HD39" s="450">
        <v>-1.5899999999999996</v>
      </c>
      <c r="HE39" s="1">
        <v>0.66666666666666663</v>
      </c>
      <c r="HF39" s="450">
        <v>-8.0500000000000007</v>
      </c>
      <c r="HG39" s="1">
        <v>0.25</v>
      </c>
      <c r="HH39" s="450">
        <v>4.6500000000000004</v>
      </c>
      <c r="HI39" s="1">
        <v>0.8</v>
      </c>
      <c r="HJ39" s="450">
        <v>5.4</v>
      </c>
      <c r="HK39" s="1">
        <v>0.8</v>
      </c>
      <c r="HL39" s="450">
        <v>-0.11999999999999983</v>
      </c>
      <c r="HM39" s="1">
        <v>0.5</v>
      </c>
      <c r="HN39" s="450">
        <v>4.3899999999999997</v>
      </c>
      <c r="HO39" s="1">
        <v>0.75</v>
      </c>
      <c r="HP39" s="450">
        <v>-2</v>
      </c>
      <c r="HQ39" s="1">
        <v>0.33333333333333331</v>
      </c>
      <c r="HR39" s="450">
        <v>-5.9799999999999995</v>
      </c>
      <c r="HS39" s="1">
        <v>0.2857142857142857</v>
      </c>
      <c r="HT39" s="450">
        <v>-2.2000000000000002</v>
      </c>
      <c r="HU39" s="1">
        <v>0.42857142857142855</v>
      </c>
      <c r="HV39" s="450">
        <v>1.82</v>
      </c>
      <c r="HW39" s="1">
        <v>0.5</v>
      </c>
      <c r="HX39" s="450"/>
      <c r="HY39" s="1"/>
      <c r="HZ39" s="450">
        <v>-1.5999999999999999</v>
      </c>
      <c r="IA39" s="1">
        <v>0.66666666666666663</v>
      </c>
      <c r="IB39" s="450">
        <v>-7</v>
      </c>
      <c r="IC39" s="1">
        <v>0</v>
      </c>
      <c r="ID39" s="450">
        <v>1.67</v>
      </c>
      <c r="IE39" s="1">
        <v>1</v>
      </c>
      <c r="IF39" s="450">
        <v>2.19</v>
      </c>
      <c r="IG39" s="1">
        <v>1</v>
      </c>
      <c r="IH39" s="450">
        <v>-7.81</v>
      </c>
      <c r="II39" s="1">
        <v>0.2</v>
      </c>
      <c r="IJ39" s="450">
        <v>-2.67</v>
      </c>
      <c r="IK39" s="1">
        <v>0.33333333333333331</v>
      </c>
      <c r="IL39" s="450">
        <v>-0.4</v>
      </c>
      <c r="IM39" s="1">
        <v>0.5</v>
      </c>
      <c r="IN39" s="450">
        <v>-6.1599999999999993</v>
      </c>
      <c r="IO39" s="1">
        <v>0.42857142857142855</v>
      </c>
      <c r="IP39" s="450">
        <v>-1.75</v>
      </c>
      <c r="IQ39" s="1">
        <v>0.4</v>
      </c>
      <c r="IR39" s="450"/>
      <c r="IS39" s="1"/>
      <c r="IT39" s="450"/>
      <c r="IU39" s="1"/>
      <c r="IV39" s="450">
        <v>1.33</v>
      </c>
      <c r="IW39" s="1">
        <v>1</v>
      </c>
      <c r="IX39" s="450"/>
      <c r="IY39" s="1"/>
      <c r="IZ39" s="450"/>
      <c r="JA39" s="1"/>
      <c r="JB39" s="450"/>
      <c r="JC39" s="1"/>
      <c r="JD39" s="450">
        <v>-0.51000000000000023</v>
      </c>
      <c r="JE39" s="1">
        <v>0.66666666666666663</v>
      </c>
      <c r="JF39" s="450">
        <v>-0.99</v>
      </c>
      <c r="JG39" s="1">
        <v>0.5</v>
      </c>
      <c r="JH39" s="450">
        <v>-1.5899999999999999</v>
      </c>
      <c r="JI39" s="1">
        <v>0.5</v>
      </c>
      <c r="JJ39" s="450">
        <v>-3.4200000000000008</v>
      </c>
      <c r="JK39" s="1">
        <v>0.4</v>
      </c>
      <c r="JL39" s="450"/>
      <c r="JM39" s="1"/>
      <c r="JN39" s="450">
        <v>0.06</v>
      </c>
      <c r="JO39" s="1">
        <v>1</v>
      </c>
      <c r="JP39" s="450">
        <v>-0.98000000000000009</v>
      </c>
      <c r="JQ39" s="1">
        <v>0.5</v>
      </c>
      <c r="JR39" s="450">
        <v>0.86999999999999988</v>
      </c>
      <c r="JS39" s="1">
        <v>0.75</v>
      </c>
      <c r="JT39" s="450"/>
      <c r="JU39" s="1"/>
      <c r="JV39" s="450"/>
      <c r="JW39" s="1"/>
      <c r="JX39" s="450">
        <v>3.23</v>
      </c>
      <c r="JY39" s="1">
        <v>1</v>
      </c>
      <c r="JZ39" s="450">
        <v>-5.2200000000000006</v>
      </c>
      <c r="KA39" s="1">
        <v>0</v>
      </c>
      <c r="KB39" s="450">
        <v>4.8899999999999997</v>
      </c>
      <c r="KC39" s="1">
        <v>0.75</v>
      </c>
      <c r="KD39" s="450">
        <v>-2.87</v>
      </c>
      <c r="KE39" s="1">
        <v>0.625</v>
      </c>
      <c r="KF39" s="450">
        <v>2.3400000000000003</v>
      </c>
      <c r="KG39" s="1">
        <v>0.5</v>
      </c>
      <c r="KH39" s="450">
        <v>0.5</v>
      </c>
      <c r="KI39" s="1">
        <v>0.5</v>
      </c>
      <c r="KJ39" s="450">
        <v>2.1700000000000004</v>
      </c>
      <c r="KK39" s="1">
        <v>0.75</v>
      </c>
      <c r="KL39" s="450">
        <v>4.9399999999999995</v>
      </c>
      <c r="KM39" s="1">
        <v>1</v>
      </c>
      <c r="KN39" s="450">
        <v>-0.03</v>
      </c>
      <c r="KO39" s="1">
        <v>0</v>
      </c>
      <c r="KP39" s="450"/>
      <c r="KQ39" s="1"/>
      <c r="KR39" s="450">
        <v>-0.22</v>
      </c>
      <c r="KS39" s="1">
        <v>0.33333333333333331</v>
      </c>
      <c r="KT39" s="450"/>
      <c r="KU39" s="1"/>
      <c r="KV39" s="450">
        <v>2.37</v>
      </c>
      <c r="KW39" s="1">
        <v>0.66666666666666663</v>
      </c>
      <c r="KX39" s="450">
        <v>-2.79</v>
      </c>
      <c r="KY39" s="1">
        <v>0.4</v>
      </c>
      <c r="KZ39" s="450">
        <v>-1.63</v>
      </c>
      <c r="LA39" s="1">
        <v>0.5</v>
      </c>
      <c r="LB39" s="450">
        <v>2.2300000000000004</v>
      </c>
      <c r="LC39" s="1">
        <v>0.7142857142857143</v>
      </c>
      <c r="LD39" s="450">
        <v>-3.2</v>
      </c>
      <c r="LE39" s="1">
        <v>0</v>
      </c>
      <c r="LF39" s="450">
        <v>-11.430000000000001</v>
      </c>
      <c r="LG39" s="1">
        <v>0.2</v>
      </c>
      <c r="LH39" s="450">
        <v>1.68</v>
      </c>
      <c r="LI39" s="1">
        <v>0.75</v>
      </c>
      <c r="LJ39" s="450"/>
      <c r="LK39" s="1"/>
      <c r="LL39" s="450">
        <v>-7.69</v>
      </c>
      <c r="LM39" s="1">
        <v>0.42857142857142855</v>
      </c>
      <c r="LN39" s="450">
        <v>-8.06</v>
      </c>
      <c r="LO39" s="1">
        <v>0.25</v>
      </c>
      <c r="LP39" s="450">
        <v>1.6600000000000001</v>
      </c>
      <c r="LQ39" s="1">
        <v>0.75</v>
      </c>
      <c r="LR39" s="450">
        <v>-9.629999999999999</v>
      </c>
      <c r="LS39" s="1">
        <v>0.4</v>
      </c>
      <c r="LT39" s="450">
        <v>-11.549999999999999</v>
      </c>
      <c r="LU39" s="1">
        <v>0.2</v>
      </c>
      <c r="LV39" s="450">
        <v>-3.41</v>
      </c>
      <c r="LW39" s="1">
        <v>0</v>
      </c>
      <c r="LX39" s="450">
        <v>-1.58</v>
      </c>
      <c r="LY39" s="1">
        <v>0</v>
      </c>
      <c r="LZ39" s="450">
        <v>5.0000000000000266E-2</v>
      </c>
      <c r="MA39" s="1">
        <v>0.66666666666666663</v>
      </c>
      <c r="MB39" s="450">
        <v>1.65</v>
      </c>
      <c r="MC39" s="1">
        <v>0.66666666666666663</v>
      </c>
      <c r="MD39" s="450"/>
      <c r="ME39" s="1"/>
      <c r="MF39" s="450">
        <v>0.67999999999999994</v>
      </c>
      <c r="MG39" s="1">
        <v>0.66666666666666663</v>
      </c>
      <c r="MH39" s="450"/>
      <c r="MI39" s="1"/>
      <c r="MJ39" s="450">
        <v>1.67</v>
      </c>
      <c r="MK39" s="1">
        <v>1</v>
      </c>
      <c r="ML39" s="450">
        <v>-0.1399999999999999</v>
      </c>
      <c r="MM39" s="1">
        <v>0.66666666666666663</v>
      </c>
      <c r="MN39" s="450">
        <v>-0.12000000000000055</v>
      </c>
      <c r="MO39" s="1">
        <v>0.66666666666666663</v>
      </c>
      <c r="MP39" s="450">
        <v>-6.58</v>
      </c>
      <c r="MQ39" s="1">
        <v>0</v>
      </c>
      <c r="MR39" s="450"/>
      <c r="MS39" s="1"/>
      <c r="MT39" s="450"/>
      <c r="MU39" s="1"/>
      <c r="MV39" s="450">
        <v>3.66</v>
      </c>
      <c r="MW39" s="1">
        <v>1</v>
      </c>
      <c r="MX39" s="450">
        <v>2.14</v>
      </c>
      <c r="MY39" s="1">
        <v>0.75</v>
      </c>
      <c r="MZ39" s="450">
        <v>1.83</v>
      </c>
      <c r="NA39" s="1">
        <v>0.66666666666666663</v>
      </c>
      <c r="NB39" s="450">
        <v>-4.4000000000000004</v>
      </c>
      <c r="NC39" s="1">
        <v>0.5</v>
      </c>
      <c r="ND39" s="450"/>
      <c r="NE39" s="1"/>
      <c r="NF39" s="450">
        <v>-8.51</v>
      </c>
      <c r="NG39" s="1">
        <v>0.42857142857142855</v>
      </c>
      <c r="NH39" s="450">
        <v>-8.51</v>
      </c>
      <c r="NI39" s="1">
        <v>0.42857142857142855</v>
      </c>
      <c r="NJ39" s="450">
        <v>3.25</v>
      </c>
      <c r="NK39" s="1">
        <v>1</v>
      </c>
      <c r="NL39" s="450">
        <v>-0.13000000000000012</v>
      </c>
      <c r="NM39" s="1">
        <v>0.66666666666666663</v>
      </c>
      <c r="NN39" s="450"/>
      <c r="NO39" s="1"/>
      <c r="NP39" s="450">
        <v>-2.0000000000000018E-2</v>
      </c>
      <c r="NQ39" s="1">
        <v>0.66666666666666663</v>
      </c>
      <c r="NR39" s="450">
        <v>1.7100000000000009</v>
      </c>
      <c r="NS39" s="1">
        <v>0.75</v>
      </c>
      <c r="NT39" s="450">
        <v>1.0000000000000231E-2</v>
      </c>
      <c r="NU39" s="1">
        <v>0.66666666666666663</v>
      </c>
      <c r="NV39" s="450">
        <v>-1.41</v>
      </c>
      <c r="NW39" s="1">
        <v>0.5</v>
      </c>
      <c r="NX39" s="450">
        <v>-4.18</v>
      </c>
      <c r="NY39" s="1">
        <v>0</v>
      </c>
      <c r="NZ39" s="450"/>
      <c r="OA39" s="1"/>
      <c r="OB39" s="450">
        <v>1.62</v>
      </c>
      <c r="OC39" s="1">
        <v>1</v>
      </c>
      <c r="OD39" s="450">
        <v>1.1499999999999999</v>
      </c>
      <c r="OE39" s="1">
        <v>0.66666666666666663</v>
      </c>
      <c r="OF39" s="450">
        <v>4.9999999999999822E-2</v>
      </c>
      <c r="OG39" s="1">
        <v>0.66666666666666663</v>
      </c>
      <c r="OH39" s="450">
        <v>-1.9999999999999796E-2</v>
      </c>
      <c r="OI39" s="1">
        <v>0.66666666666666663</v>
      </c>
      <c r="OJ39" s="450"/>
      <c r="OK39" s="1"/>
      <c r="OL39" s="450">
        <v>-2.0100000000000002</v>
      </c>
      <c r="OM39" s="1">
        <v>0.33333333333333331</v>
      </c>
      <c r="ON39" s="450">
        <v>3.33</v>
      </c>
      <c r="OO39" s="1">
        <v>1</v>
      </c>
      <c r="OP39" s="450">
        <v>-1.7</v>
      </c>
      <c r="OQ39" s="1">
        <v>0.5</v>
      </c>
      <c r="OR39" s="450">
        <v>-5.04</v>
      </c>
      <c r="OS39" s="1">
        <v>0.33333333333333331</v>
      </c>
      <c r="OT39" s="450">
        <v>-1.6099999999999999</v>
      </c>
      <c r="OU39" s="1">
        <v>0.5</v>
      </c>
      <c r="OV39" s="450"/>
      <c r="OW39" s="1"/>
      <c r="OX39" s="450">
        <v>-6.4</v>
      </c>
      <c r="OY39" s="1">
        <v>0</v>
      </c>
      <c r="OZ39" s="450">
        <v>3.2800000000000002</v>
      </c>
      <c r="PA39" s="1">
        <v>1</v>
      </c>
      <c r="PB39" s="450">
        <v>3.2</v>
      </c>
      <c r="PC39" s="1">
        <v>0.75</v>
      </c>
      <c r="PD39" s="450">
        <v>-7.95</v>
      </c>
      <c r="PE39" s="1">
        <v>0</v>
      </c>
      <c r="PF39" s="450">
        <v>-1.4399999999999995</v>
      </c>
      <c r="PG39" s="1">
        <v>0.6</v>
      </c>
      <c r="PH39" s="450">
        <v>9.9999999999999867E-2</v>
      </c>
      <c r="PI39" s="1">
        <v>0.66666666666666663</v>
      </c>
      <c r="PJ39" s="450"/>
      <c r="PK39" s="1"/>
      <c r="PL39" s="450"/>
      <c r="PM39" s="1"/>
      <c r="PN39" s="450">
        <v>-4.8199999999999994</v>
      </c>
      <c r="PO39" s="1">
        <v>0.33333333333333331</v>
      </c>
      <c r="PP39" s="450">
        <v>-4.5600000000000005</v>
      </c>
      <c r="PQ39" s="1">
        <v>0.33333333333333331</v>
      </c>
      <c r="PR39" s="450"/>
      <c r="PS39" s="1"/>
      <c r="PT39" s="450">
        <v>-1.58</v>
      </c>
      <c r="PU39" s="1">
        <v>0.5</v>
      </c>
      <c r="PV39" s="450">
        <v>3.02</v>
      </c>
      <c r="PW39" s="1">
        <v>1</v>
      </c>
      <c r="PX39" s="450">
        <v>-1.7599999999999998</v>
      </c>
      <c r="PY39" s="1">
        <v>0.5</v>
      </c>
      <c r="PZ39" s="450">
        <v>-7.7999999999999989</v>
      </c>
      <c r="QA39" s="1">
        <v>0.25</v>
      </c>
      <c r="QB39" s="450">
        <v>-8.129999999999999</v>
      </c>
      <c r="QC39" s="1">
        <v>0.25</v>
      </c>
      <c r="QD39" s="450">
        <v>0.14000000000000012</v>
      </c>
      <c r="QE39" s="1">
        <v>0.66666666666666663</v>
      </c>
      <c r="QF39" s="450">
        <v>1.95</v>
      </c>
      <c r="QG39" s="1">
        <v>0.8</v>
      </c>
      <c r="QH39" s="450">
        <v>0.18999999999999995</v>
      </c>
      <c r="QI39" s="1">
        <v>0.66666666666666663</v>
      </c>
      <c r="QJ39" s="450">
        <v>-0.5900000000000003</v>
      </c>
      <c r="QK39" s="1">
        <v>0.5</v>
      </c>
      <c r="QL39" s="450">
        <v>-12.690000000000001</v>
      </c>
      <c r="QM39" s="1">
        <v>0.16666666666666666</v>
      </c>
      <c r="QN39" s="450">
        <v>3.6100000000000003</v>
      </c>
      <c r="QO39" s="1">
        <v>1</v>
      </c>
      <c r="QP39" s="450">
        <v>3.39</v>
      </c>
      <c r="QQ39" s="1">
        <v>1</v>
      </c>
      <c r="QR39" s="450">
        <v>1.7899999999999998</v>
      </c>
      <c r="QS39" s="1">
        <v>0.75</v>
      </c>
      <c r="QT39" s="450"/>
      <c r="QU39" s="1"/>
      <c r="QV39" s="450">
        <v>-4.2899999999999991</v>
      </c>
      <c r="QW39" s="1">
        <v>0.4</v>
      </c>
      <c r="QX39" s="450">
        <v>-1.3699999999999999</v>
      </c>
      <c r="QY39" s="1">
        <v>0.33333333333333331</v>
      </c>
      <c r="QZ39" s="450"/>
      <c r="RA39" s="1"/>
      <c r="RB39" s="450">
        <v>2.83</v>
      </c>
      <c r="RC39" s="1">
        <v>0.66666666666666663</v>
      </c>
      <c r="RD39" s="450">
        <v>4.8499999999999996</v>
      </c>
      <c r="RE39" s="1">
        <v>1</v>
      </c>
      <c r="RF39" s="450">
        <v>-3.6100000000000003</v>
      </c>
      <c r="RG39" s="1">
        <v>0.25</v>
      </c>
      <c r="RH39" s="450">
        <v>-0.9300000000000006</v>
      </c>
      <c r="RI39" s="1">
        <v>0.5</v>
      </c>
      <c r="RJ39" s="450">
        <v>4.17</v>
      </c>
      <c r="RK39" s="1">
        <v>1</v>
      </c>
      <c r="RL39" s="450">
        <v>3.3699999999999997</v>
      </c>
      <c r="RM39" s="1">
        <v>0.8</v>
      </c>
      <c r="RN39" s="450">
        <v>-1.0000000000000009E-2</v>
      </c>
      <c r="RO39" s="1">
        <v>0.6</v>
      </c>
      <c r="RP39" s="450">
        <v>-3.2</v>
      </c>
      <c r="RQ39" s="1">
        <v>0</v>
      </c>
      <c r="RR39" s="450">
        <v>5.0600000000000005</v>
      </c>
      <c r="RS39" s="1">
        <v>1</v>
      </c>
      <c r="RT39" s="450">
        <v>4.9700000000000006</v>
      </c>
      <c r="RU39" s="1">
        <v>1</v>
      </c>
      <c r="RV39" s="450">
        <v>6.78</v>
      </c>
      <c r="RW39" s="1">
        <v>1</v>
      </c>
      <c r="RX39" s="450">
        <v>2.5099999999999998</v>
      </c>
      <c r="RY39" s="1">
        <v>0.66666666666666663</v>
      </c>
      <c r="RZ39" s="450">
        <v>-5.09</v>
      </c>
      <c r="SA39" s="1">
        <v>0.33333333333333331</v>
      </c>
      <c r="SB39" s="450">
        <v>-1.43</v>
      </c>
      <c r="SC39" s="1">
        <v>0.6</v>
      </c>
      <c r="SD39" s="450">
        <v>-5.66</v>
      </c>
      <c r="SE39" s="1">
        <v>0.4</v>
      </c>
      <c r="SF39" s="450"/>
      <c r="SG39" s="1"/>
      <c r="SH39" s="450">
        <v>-6.42</v>
      </c>
      <c r="SI39" s="1">
        <v>0</v>
      </c>
      <c r="SJ39" s="452">
        <v>-6.9999999999999396E-2</v>
      </c>
      <c r="SK39" s="1">
        <v>0.66666666666666663</v>
      </c>
      <c r="SL39" s="457">
        <v>-5.26</v>
      </c>
      <c r="SM39" s="1">
        <v>0</v>
      </c>
      <c r="SN39" s="459">
        <v>2.6599999999999993</v>
      </c>
      <c r="SO39" s="1">
        <v>0.66666666666666663</v>
      </c>
      <c r="SP39" s="461">
        <v>6.51</v>
      </c>
      <c r="SQ39" s="1">
        <v>1</v>
      </c>
      <c r="SR39" s="463">
        <v>-1.52</v>
      </c>
      <c r="SS39" s="1">
        <v>0.6</v>
      </c>
      <c r="ST39" s="464">
        <v>-6.04</v>
      </c>
      <c r="SU39" s="1">
        <v>0.25</v>
      </c>
      <c r="SV39" s="466">
        <v>-7.3100000000000005</v>
      </c>
      <c r="SW39" s="1">
        <v>0.25</v>
      </c>
      <c r="SX39" s="467"/>
      <c r="SY39" s="1"/>
      <c r="SZ39" s="469">
        <v>-3.5500000000000003</v>
      </c>
      <c r="TA39" s="1">
        <v>0.25</v>
      </c>
      <c r="TB39" s="471">
        <v>-10.97</v>
      </c>
      <c r="TC39" s="1">
        <v>0.16666666666666666</v>
      </c>
      <c r="TD39" s="472">
        <v>-1.69</v>
      </c>
      <c r="TE39" s="1">
        <v>0.33333333333333331</v>
      </c>
      <c r="TF39" s="474">
        <v>-7.120000000000001</v>
      </c>
      <c r="TG39" s="1">
        <v>0.25</v>
      </c>
      <c r="TH39" s="488">
        <v>1.04</v>
      </c>
      <c r="TI39" s="1">
        <v>0.8</v>
      </c>
      <c r="TJ39" s="489">
        <v>5.01</v>
      </c>
      <c r="TK39" s="1">
        <v>1</v>
      </c>
      <c r="TL39" s="490">
        <v>-1.2800000000000002</v>
      </c>
      <c r="TM39" s="1">
        <v>0.66666666666666663</v>
      </c>
      <c r="TN39" s="495"/>
      <c r="TO39" s="1"/>
      <c r="TP39" s="500">
        <v>3.13</v>
      </c>
      <c r="TQ39" s="1">
        <v>0.75</v>
      </c>
      <c r="TR39" s="511">
        <v>-6.0000000000000053E-2</v>
      </c>
      <c r="TS39" s="1">
        <v>0.66666666666666663</v>
      </c>
      <c r="TT39" s="515">
        <v>4.9700000000000006</v>
      </c>
      <c r="TU39" s="1">
        <v>1</v>
      </c>
      <c r="TV39" s="518">
        <v>-6.5300000000000011</v>
      </c>
      <c r="TW39" s="1">
        <v>0.4</v>
      </c>
      <c r="TX39" s="521">
        <v>3.3200000000000003</v>
      </c>
      <c r="TY39" s="1">
        <v>1</v>
      </c>
      <c r="TZ39" s="524">
        <v>4.0000000000000036E-2</v>
      </c>
      <c r="UA39" s="1">
        <v>0.66666666666666663</v>
      </c>
      <c r="UB39" s="527">
        <v>-6.45</v>
      </c>
      <c r="UC39" s="1">
        <v>0</v>
      </c>
      <c r="UD39" s="530">
        <v>-6.36</v>
      </c>
      <c r="UE39" s="1">
        <v>0.4</v>
      </c>
      <c r="UF39" s="533">
        <v>-5.91</v>
      </c>
      <c r="UG39" s="1">
        <v>0</v>
      </c>
      <c r="UH39" s="536">
        <v>1.0100000000000002</v>
      </c>
      <c r="UI39" s="1">
        <v>0.6</v>
      </c>
      <c r="UJ39" s="539">
        <v>0.85000000000000053</v>
      </c>
      <c r="UK39" s="1">
        <v>0.66666666666666663</v>
      </c>
      <c r="UL39" s="540">
        <v>8.0000000000000293E-2</v>
      </c>
      <c r="UM39" s="1">
        <v>0.66666666666666663</v>
      </c>
      <c r="UN39" s="543">
        <v>-5.32</v>
      </c>
      <c r="UO39" s="1">
        <v>0.375</v>
      </c>
      <c r="UP39" s="544">
        <v>3.4000000000000004</v>
      </c>
      <c r="UQ39" s="1">
        <v>0.8</v>
      </c>
      <c r="UR39" s="551">
        <v>-4.51</v>
      </c>
      <c r="US39" s="1">
        <v>0.33333333333333331</v>
      </c>
      <c r="UT39" s="551">
        <v>11.459999999999999</v>
      </c>
      <c r="UU39" s="1">
        <v>1</v>
      </c>
      <c r="UV39" s="562">
        <v>-1.7</v>
      </c>
      <c r="UW39" s="1">
        <v>0.5</v>
      </c>
      <c r="UX39" s="566">
        <v>3.26</v>
      </c>
      <c r="UY39" s="1">
        <v>0.75</v>
      </c>
      <c r="UZ39" s="568"/>
      <c r="VA39" s="1"/>
      <c r="VB39" s="572">
        <v>-4.82</v>
      </c>
      <c r="VC39" s="1">
        <v>0.2</v>
      </c>
      <c r="VD39" s="576">
        <v>1.9000000000000001</v>
      </c>
      <c r="VE39" s="1">
        <v>0.75</v>
      </c>
      <c r="VF39" s="580">
        <v>-1.3099999999999998</v>
      </c>
      <c r="VG39" s="1">
        <v>0.4</v>
      </c>
      <c r="VH39" s="584">
        <v>-3.18</v>
      </c>
      <c r="VI39" s="1">
        <v>0</v>
      </c>
      <c r="VJ39" s="589">
        <v>-5.66</v>
      </c>
      <c r="VK39" s="1">
        <v>0.2</v>
      </c>
      <c r="VL39" s="593">
        <v>-1.76</v>
      </c>
      <c r="VM39" s="1">
        <v>0.6</v>
      </c>
      <c r="VN39" s="597">
        <v>-1.55</v>
      </c>
      <c r="VO39" s="1">
        <v>0.5</v>
      </c>
      <c r="VP39" s="601">
        <v>6.5000000000000009</v>
      </c>
      <c r="VQ39" s="1">
        <v>1</v>
      </c>
      <c r="VR39" s="603"/>
      <c r="VS39" s="1"/>
      <c r="VT39" s="607">
        <v>-2.5200000000000005</v>
      </c>
      <c r="VU39" s="1">
        <v>0.5</v>
      </c>
      <c r="VV39" s="609">
        <v>9.58</v>
      </c>
      <c r="VW39" s="1">
        <v>0.8571428571428571</v>
      </c>
      <c r="VX39" s="613">
        <v>6.999999999999984E-2</v>
      </c>
      <c r="VY39" s="1">
        <v>0.66666666666666663</v>
      </c>
      <c r="VZ39" s="617">
        <v>-8.75</v>
      </c>
      <c r="WA39" s="1">
        <v>0.25</v>
      </c>
      <c r="WB39" s="619">
        <v>3.0199999999999996</v>
      </c>
      <c r="WC39" s="1">
        <v>0.75</v>
      </c>
      <c r="WD39" s="624">
        <v>6.6999999999999993</v>
      </c>
      <c r="WE39" s="1">
        <v>0.8571428571428571</v>
      </c>
      <c r="WF39" s="626">
        <v>3.62</v>
      </c>
      <c r="WG39" s="1">
        <v>0.8</v>
      </c>
      <c r="WH39" s="630">
        <v>-1.9699999999999998</v>
      </c>
      <c r="WI39" s="1">
        <v>0.5</v>
      </c>
      <c r="WJ39" s="636">
        <v>-10.309999999999999</v>
      </c>
      <c r="WK39" s="1">
        <v>0.2</v>
      </c>
      <c r="WL39" s="638">
        <v>-17.88</v>
      </c>
      <c r="WM39" s="1">
        <v>0.22222222222222221</v>
      </c>
      <c r="WN39" s="642">
        <v>4.1100000000000003</v>
      </c>
      <c r="WO39" s="1">
        <v>0.75</v>
      </c>
      <c r="WP39" s="646">
        <v>-10.44</v>
      </c>
      <c r="WQ39" s="1">
        <v>0.44444444444444442</v>
      </c>
      <c r="WR39" s="652">
        <v>-1.5700000000000003</v>
      </c>
      <c r="WS39" s="1">
        <v>0.5</v>
      </c>
      <c r="WT39" s="659">
        <v>1.6</v>
      </c>
      <c r="WU39" s="1">
        <v>1</v>
      </c>
      <c r="WV39" s="659">
        <v>-0.24000000000000021</v>
      </c>
      <c r="WW39" s="1">
        <v>0.66666666666666663</v>
      </c>
      <c r="WX39" s="672">
        <v>0.99</v>
      </c>
      <c r="WY39" s="1">
        <v>0.7142857142857143</v>
      </c>
      <c r="WZ39" s="677">
        <v>3.21</v>
      </c>
      <c r="XA39" s="1">
        <v>1</v>
      </c>
      <c r="XB39" s="681">
        <v>-1.0299999999999998</v>
      </c>
      <c r="XC39" s="1">
        <v>0.66666666666666663</v>
      </c>
      <c r="XD39" s="683"/>
      <c r="XE39" s="1"/>
      <c r="XF39" s="687">
        <v>-1.62</v>
      </c>
      <c r="XG39" s="1">
        <v>0.6</v>
      </c>
      <c r="XH39" s="689">
        <v>-4.74</v>
      </c>
      <c r="XI39" s="1">
        <v>0.5</v>
      </c>
      <c r="XJ39" s="696">
        <v>0</v>
      </c>
      <c r="XK39" s="1" t="e">
        <v>#DIV/0!</v>
      </c>
      <c r="XL39" s="696">
        <v>-4.8599999999999994</v>
      </c>
      <c r="XM39" s="1">
        <v>0.33333333333333331</v>
      </c>
      <c r="XN39" s="696">
        <v>-4.37</v>
      </c>
      <c r="XO39" s="1">
        <v>0.5</v>
      </c>
      <c r="XP39" s="700">
        <v>3.25</v>
      </c>
      <c r="XQ39" s="1">
        <v>1</v>
      </c>
      <c r="XR39" s="705">
        <v>-0.53000000000000025</v>
      </c>
      <c r="XS39" s="1">
        <v>0.5</v>
      </c>
      <c r="XT39" s="709">
        <v>-3.38</v>
      </c>
      <c r="XU39" s="1">
        <v>0.5</v>
      </c>
      <c r="XV39" s="715">
        <v>-1.9600000000000002</v>
      </c>
      <c r="XW39" s="1">
        <v>0.33333333333333331</v>
      </c>
    </row>
    <row r="40" spans="2:647" x14ac:dyDescent="0.25">
      <c r="B40" s="755"/>
      <c r="C40" s="758"/>
      <c r="D40" s="757" t="s">
        <v>13</v>
      </c>
      <c r="E40" s="757"/>
      <c r="F40" s="448">
        <v>0.3</v>
      </c>
      <c r="G40" s="768"/>
      <c r="H40" s="450"/>
      <c r="I40" s="1"/>
      <c r="J40" s="450"/>
      <c r="K40" s="1"/>
      <c r="L40" s="450"/>
      <c r="M40" s="1"/>
      <c r="N40" s="450"/>
      <c r="O40" s="1"/>
      <c r="P40" s="450"/>
      <c r="Q40" s="1"/>
      <c r="R40" s="450"/>
      <c r="S40" s="1"/>
      <c r="T40" s="450"/>
      <c r="U40" s="1"/>
      <c r="V40" s="450"/>
      <c r="W40" s="1"/>
      <c r="X40" s="450"/>
      <c r="Y40" s="1"/>
      <c r="Z40" s="450"/>
      <c r="AA40" s="1"/>
      <c r="AB40" s="450"/>
      <c r="AC40" s="1"/>
      <c r="AD40" s="450"/>
      <c r="AE40" s="1"/>
      <c r="AF40" s="450"/>
      <c r="AG40" s="1"/>
      <c r="AH40" s="450"/>
      <c r="AI40" s="1"/>
      <c r="AJ40" s="450"/>
      <c r="AK40" s="1"/>
      <c r="AL40" s="450"/>
      <c r="AM40" s="1"/>
      <c r="AN40" s="450"/>
      <c r="AO40" s="1"/>
      <c r="AP40" s="450"/>
      <c r="AQ40" s="1"/>
      <c r="AR40" s="450"/>
      <c r="AS40" s="1"/>
      <c r="AT40" s="450"/>
      <c r="AU40" s="1"/>
      <c r="AV40" s="450"/>
      <c r="AW40" s="1"/>
      <c r="AX40" s="450"/>
      <c r="AY40" s="1"/>
      <c r="AZ40" s="450"/>
      <c r="BA40" s="1"/>
      <c r="BB40" s="450"/>
      <c r="BC40" s="1"/>
      <c r="BD40" s="450"/>
      <c r="BE40" s="1"/>
      <c r="BF40" s="450">
        <v>2.0339999999999998</v>
      </c>
      <c r="BG40" s="1">
        <v>0.69230769230769229</v>
      </c>
      <c r="BH40" s="450">
        <v>-10.335000000000003</v>
      </c>
      <c r="BI40" s="1">
        <v>0.23076923076923078</v>
      </c>
      <c r="BJ40" s="450">
        <v>6.4689999999999994</v>
      </c>
      <c r="BK40" s="1">
        <v>0.91666666666666663</v>
      </c>
      <c r="BL40" s="450">
        <v>3.8180000000000005</v>
      </c>
      <c r="BM40" s="1">
        <v>0.76923076923076927</v>
      </c>
      <c r="BN40" s="450">
        <v>-1.6830000000000005</v>
      </c>
      <c r="BO40" s="1">
        <v>0.46153846153846156</v>
      </c>
      <c r="BP40" s="450">
        <v>-4.0309999999999988</v>
      </c>
      <c r="BQ40" s="1">
        <v>0.46153846153846156</v>
      </c>
      <c r="BR40" s="450">
        <v>-1.2000000000000455E-2</v>
      </c>
      <c r="BS40" s="1">
        <v>0.53846153846153844</v>
      </c>
      <c r="BT40" s="450"/>
      <c r="BU40" s="1"/>
      <c r="BV40" s="450">
        <v>0.39000000000000012</v>
      </c>
      <c r="BW40" s="1">
        <v>0.61538461538461542</v>
      </c>
      <c r="BX40" s="450">
        <v>0.8859999999999999</v>
      </c>
      <c r="BY40" s="1">
        <v>0.61538461538461542</v>
      </c>
      <c r="BZ40" s="450">
        <v>7.2940000000000023</v>
      </c>
      <c r="CA40" s="1">
        <v>0.84615384615384615</v>
      </c>
      <c r="CB40" s="450">
        <v>2.8420000000000001</v>
      </c>
      <c r="CC40" s="1">
        <v>0.61538461538461542</v>
      </c>
      <c r="CD40" s="450">
        <v>1.4879999999999998</v>
      </c>
      <c r="CE40" s="1">
        <v>0.61538461538461542</v>
      </c>
      <c r="CF40" s="450">
        <v>-5.2439999999999998</v>
      </c>
      <c r="CG40" s="1">
        <v>0.30769230769230771</v>
      </c>
      <c r="CH40" s="450">
        <v>-2.9970000000000003</v>
      </c>
      <c r="CI40" s="1">
        <v>0.46153846153846156</v>
      </c>
      <c r="CJ40" s="450"/>
      <c r="CK40" s="1"/>
      <c r="CL40" s="450">
        <v>0.19999999999999982</v>
      </c>
      <c r="CM40" s="1">
        <v>0.46153846153846156</v>
      </c>
      <c r="CN40" s="450">
        <v>2.2159999999999997</v>
      </c>
      <c r="CO40" s="1">
        <v>0.69230769230769229</v>
      </c>
      <c r="CP40" s="450">
        <v>-1.0950000000000002</v>
      </c>
      <c r="CQ40" s="1">
        <v>0.58333333333333337</v>
      </c>
      <c r="CR40" s="450">
        <v>-3.9690000000000003</v>
      </c>
      <c r="CS40" s="1">
        <v>0.46153846153846156</v>
      </c>
      <c r="CT40" s="450">
        <v>-8.5359999999999978</v>
      </c>
      <c r="CU40" s="1">
        <v>0.46153846153846156</v>
      </c>
      <c r="CV40" s="450">
        <v>-12.184000000000001</v>
      </c>
      <c r="CW40" s="1">
        <v>0.38461538461538464</v>
      </c>
      <c r="CX40" s="450">
        <v>-6.5440000000000014</v>
      </c>
      <c r="CY40" s="1">
        <v>0.53846153846153844</v>
      </c>
      <c r="CZ40" s="450">
        <v>-9.0939999999999994</v>
      </c>
      <c r="DA40" s="1">
        <v>0.38461538461538464</v>
      </c>
      <c r="DB40" s="450">
        <v>0.31499999999999967</v>
      </c>
      <c r="DC40" s="1">
        <v>0.61538461538461542</v>
      </c>
      <c r="DD40" s="450">
        <v>1.8630000000000002</v>
      </c>
      <c r="DE40" s="1">
        <v>0.58333333333333337</v>
      </c>
      <c r="DF40" s="450">
        <v>-4.8180000000000005</v>
      </c>
      <c r="DG40" s="1">
        <v>0.53846153846153844</v>
      </c>
      <c r="DH40" s="450"/>
      <c r="DI40" s="1"/>
      <c r="DJ40" s="450">
        <v>-5.5000000000000604E-2</v>
      </c>
      <c r="DK40" s="1">
        <v>0.66666666666666663</v>
      </c>
      <c r="DL40" s="450">
        <v>-2.8530000000000002</v>
      </c>
      <c r="DM40" s="1">
        <v>0.46153846153846156</v>
      </c>
      <c r="DN40" s="450">
        <v>-4.0709999999999997</v>
      </c>
      <c r="DO40" s="1">
        <v>0.33333333333333331</v>
      </c>
      <c r="DP40" s="450"/>
      <c r="DQ40" s="1"/>
      <c r="DR40" s="450">
        <v>-4.5299999999999994</v>
      </c>
      <c r="DS40" s="1">
        <v>0.46153846153846156</v>
      </c>
      <c r="DT40" s="450">
        <v>-4.5299999999999994</v>
      </c>
      <c r="DU40" s="1">
        <v>0.46153846153846156</v>
      </c>
      <c r="DV40" s="450">
        <v>0.97699999999999998</v>
      </c>
      <c r="DW40" s="1">
        <v>0.61538461538461542</v>
      </c>
      <c r="DX40" s="450">
        <v>-2.7980000000000005</v>
      </c>
      <c r="DY40" s="1">
        <v>0.53846153846153844</v>
      </c>
      <c r="DZ40" s="450">
        <v>3.3880000000000003</v>
      </c>
      <c r="EA40" s="1">
        <v>0.61538461538461542</v>
      </c>
      <c r="EB40" s="450">
        <v>-8.9849999999999994</v>
      </c>
      <c r="EC40" s="1">
        <v>0.30769230769230771</v>
      </c>
      <c r="ED40" s="450">
        <v>-4.9700000000000006</v>
      </c>
      <c r="EE40" s="1">
        <v>0.53846153846153844</v>
      </c>
      <c r="EF40" s="450">
        <v>0.28899999999999998</v>
      </c>
      <c r="EG40" s="1">
        <v>0.53846153846153844</v>
      </c>
      <c r="EH40" s="450">
        <v>-1.4149999999999998</v>
      </c>
      <c r="EI40" s="1">
        <v>0.45454545454545453</v>
      </c>
      <c r="EJ40" s="450">
        <v>-5.8559999999999999</v>
      </c>
      <c r="EK40" s="1">
        <v>0.46153846153846156</v>
      </c>
      <c r="EL40" s="450">
        <v>-6.4490000000000025</v>
      </c>
      <c r="EM40" s="1">
        <v>0.38461538461538464</v>
      </c>
      <c r="EN40" s="450">
        <v>1.0389999999999997</v>
      </c>
      <c r="EO40" s="1">
        <v>0.61538461538461542</v>
      </c>
      <c r="EP40" s="450">
        <v>-0.31800000000000067</v>
      </c>
      <c r="EQ40" s="1">
        <v>0.61538461538461542</v>
      </c>
      <c r="ER40" s="450">
        <v>-8.0920000000000023</v>
      </c>
      <c r="ES40" s="1">
        <v>0.38461538461538464</v>
      </c>
      <c r="ET40" s="450">
        <v>1.0389999999999997</v>
      </c>
      <c r="EU40" s="1">
        <v>0.61538461538461542</v>
      </c>
      <c r="EV40" s="450">
        <v>-0.31800000000000067</v>
      </c>
      <c r="EW40" s="1">
        <v>0.61538461538461542</v>
      </c>
      <c r="EX40" s="450">
        <v>-8.0920000000000023</v>
      </c>
      <c r="EY40" s="1">
        <v>0.38461538461538464</v>
      </c>
      <c r="EZ40" s="450"/>
      <c r="FA40" s="1"/>
      <c r="FB40" s="450">
        <v>-14.079999999999998</v>
      </c>
      <c r="FC40" s="1">
        <v>0.38461538461538464</v>
      </c>
      <c r="FD40" s="450">
        <v>6.7200000000000006</v>
      </c>
      <c r="FE40" s="1">
        <v>0.61538461538461542</v>
      </c>
      <c r="FF40" s="450">
        <v>7</v>
      </c>
      <c r="FG40" s="1">
        <v>0.61538461538461542</v>
      </c>
      <c r="FH40" s="450">
        <v>3.7799999999999994</v>
      </c>
      <c r="FI40" s="1">
        <v>0.75</v>
      </c>
      <c r="FJ40" s="450">
        <v>-15.36</v>
      </c>
      <c r="FK40" s="1">
        <v>0.41666666666666669</v>
      </c>
      <c r="FL40" s="450">
        <v>-18.150000000000002</v>
      </c>
      <c r="FM40" s="1">
        <v>0.5</v>
      </c>
      <c r="FN40" s="450">
        <v>9.0200000000000014</v>
      </c>
      <c r="FO40" s="1">
        <v>0.69230769230769229</v>
      </c>
      <c r="FP40" s="450">
        <v>-17.88</v>
      </c>
      <c r="FQ40" s="1">
        <v>0.53846153846153844</v>
      </c>
      <c r="FR40" s="450">
        <v>5.33</v>
      </c>
      <c r="FS40" s="1">
        <v>0.61538461538461542</v>
      </c>
      <c r="FT40" s="450">
        <v>9.75</v>
      </c>
      <c r="FU40" s="1">
        <v>0.61538461538461542</v>
      </c>
      <c r="FV40" s="450">
        <v>-14.47</v>
      </c>
      <c r="FW40" s="1">
        <v>0.38461538461538464</v>
      </c>
      <c r="FX40" s="450">
        <v>-10.629999999999999</v>
      </c>
      <c r="FY40" s="1">
        <v>0.30769230769230771</v>
      </c>
      <c r="FZ40" s="450">
        <v>-1.1499999999999997</v>
      </c>
      <c r="GA40" s="1">
        <v>0.38461538461538464</v>
      </c>
      <c r="GB40" s="450">
        <v>10.99</v>
      </c>
      <c r="GC40" s="1">
        <v>0.61538461538461542</v>
      </c>
      <c r="GD40" s="450">
        <v>-7.57</v>
      </c>
      <c r="GE40" s="1">
        <v>0.53846153846153844</v>
      </c>
      <c r="GF40" s="450">
        <v>-20.029999999999994</v>
      </c>
      <c r="GG40" s="1">
        <v>0.30769230769230771</v>
      </c>
      <c r="GH40" s="450">
        <v>-12.09</v>
      </c>
      <c r="GI40" s="1">
        <v>0.30769230769230771</v>
      </c>
      <c r="GJ40" s="450">
        <v>-10.42</v>
      </c>
      <c r="GK40" s="1">
        <v>0.4</v>
      </c>
      <c r="GL40" s="450">
        <v>9.5399999999999991</v>
      </c>
      <c r="GM40" s="1">
        <v>0.61538461538461542</v>
      </c>
      <c r="GN40" s="450"/>
      <c r="GO40" s="1"/>
      <c r="GP40" s="450">
        <v>0.9300000000000006</v>
      </c>
      <c r="GQ40" s="1">
        <v>0.42857142857142855</v>
      </c>
      <c r="GR40" s="450">
        <v>-21.700000000000006</v>
      </c>
      <c r="GS40" s="1">
        <v>0.46153846153846156</v>
      </c>
      <c r="GT40" s="450">
        <v>15.01</v>
      </c>
      <c r="GU40" s="1">
        <v>0.69230769230769229</v>
      </c>
      <c r="GV40" s="450">
        <v>-5.0600000000000005</v>
      </c>
      <c r="GW40" s="1">
        <v>0.46153846153846156</v>
      </c>
      <c r="GX40" s="450">
        <v>-15.649999999999999</v>
      </c>
      <c r="GY40" s="1">
        <v>0.38461538461538464</v>
      </c>
      <c r="GZ40" s="450"/>
      <c r="HA40" s="1"/>
      <c r="HB40" s="450">
        <v>-10.74</v>
      </c>
      <c r="HC40" s="1">
        <v>0.46153846153846156</v>
      </c>
      <c r="HD40" s="450">
        <v>-11.4</v>
      </c>
      <c r="HE40" s="1">
        <v>0.46153846153846156</v>
      </c>
      <c r="HF40" s="450">
        <v>-18.589999999999996</v>
      </c>
      <c r="HG40" s="1">
        <v>0.38461538461538464</v>
      </c>
      <c r="HH40" s="450">
        <v>9.7199999999999971</v>
      </c>
      <c r="HI40" s="1">
        <v>0.76923076923076927</v>
      </c>
      <c r="HJ40" s="450">
        <v>3.92</v>
      </c>
      <c r="HK40" s="1">
        <v>0.61538461538461542</v>
      </c>
      <c r="HL40" s="450">
        <v>5.5</v>
      </c>
      <c r="HM40" s="1">
        <v>0.58333333333333337</v>
      </c>
      <c r="HN40" s="450">
        <v>2.2699999999999987</v>
      </c>
      <c r="HO40" s="1">
        <v>0.61538461538461542</v>
      </c>
      <c r="HP40" s="450">
        <v>-9.9200000000000017</v>
      </c>
      <c r="HQ40" s="1">
        <v>0.33333333333333331</v>
      </c>
      <c r="HR40" s="450">
        <v>-5.8299999999999983</v>
      </c>
      <c r="HS40" s="1">
        <v>0.38461538461538464</v>
      </c>
      <c r="HT40" s="450">
        <v>-10.469999999999999</v>
      </c>
      <c r="HU40" s="1">
        <v>0.46153846153846156</v>
      </c>
      <c r="HV40" s="450">
        <v>10.88</v>
      </c>
      <c r="HW40" s="1">
        <v>0.61538461538461542</v>
      </c>
      <c r="HX40" s="450"/>
      <c r="HY40" s="1"/>
      <c r="HZ40" s="450">
        <v>-3.4400000000000004</v>
      </c>
      <c r="IA40" s="1">
        <v>0.69230769230769229</v>
      </c>
      <c r="IB40" s="450">
        <v>-10.510000000000002</v>
      </c>
      <c r="IC40" s="1">
        <v>0.5</v>
      </c>
      <c r="ID40" s="450">
        <v>-5.7499999999999991</v>
      </c>
      <c r="IE40" s="1">
        <v>0.53846153846153844</v>
      </c>
      <c r="IF40" s="450">
        <v>-9.3299999999999983</v>
      </c>
      <c r="IG40" s="1">
        <v>0.46153846153846156</v>
      </c>
      <c r="IH40" s="450">
        <v>-6.8099999999999969</v>
      </c>
      <c r="II40" s="1">
        <v>0.53846153846153844</v>
      </c>
      <c r="IJ40" s="450">
        <v>7.3600000000000012</v>
      </c>
      <c r="IK40" s="1">
        <v>0.66666666666666663</v>
      </c>
      <c r="IL40" s="450">
        <v>-15.379999999999997</v>
      </c>
      <c r="IM40" s="1">
        <v>0.41666666666666669</v>
      </c>
      <c r="IN40" s="450">
        <v>-18.91</v>
      </c>
      <c r="IO40" s="1">
        <v>0.38461538461538464</v>
      </c>
      <c r="IP40" s="450">
        <v>-8.0599999999999987</v>
      </c>
      <c r="IQ40" s="1">
        <v>0.38461538461538464</v>
      </c>
      <c r="IR40" s="450"/>
      <c r="IS40" s="1"/>
      <c r="IT40" s="450"/>
      <c r="IU40" s="1"/>
      <c r="IV40" s="450">
        <v>1.5000000000000004</v>
      </c>
      <c r="IW40" s="1">
        <v>0.46153846153846156</v>
      </c>
      <c r="IX40" s="450"/>
      <c r="IY40" s="1"/>
      <c r="IZ40" s="450"/>
      <c r="JA40" s="1"/>
      <c r="JB40" s="450"/>
      <c r="JC40" s="1"/>
      <c r="JD40" s="450">
        <v>-6.4400000000000013</v>
      </c>
      <c r="JE40" s="1">
        <v>0.53846153846153844</v>
      </c>
      <c r="JF40" s="450">
        <v>-9.6800000000000015</v>
      </c>
      <c r="JG40" s="1">
        <v>0.38461538461538464</v>
      </c>
      <c r="JH40" s="450">
        <v>-8.5199999999999978</v>
      </c>
      <c r="JI40" s="1">
        <v>0.53846153846153844</v>
      </c>
      <c r="JJ40" s="450">
        <v>-5.82</v>
      </c>
      <c r="JK40" s="1">
        <v>0.53846153846153844</v>
      </c>
      <c r="JL40" s="450"/>
      <c r="JM40" s="1"/>
      <c r="JN40" s="450">
        <v>-12.400000000000002</v>
      </c>
      <c r="JO40" s="1">
        <v>0.38461538461538464</v>
      </c>
      <c r="JP40" s="450">
        <v>8.0299999999999994</v>
      </c>
      <c r="JQ40" s="1">
        <v>0.61538461538461542</v>
      </c>
      <c r="JR40" s="450">
        <v>-7.3599999999999994</v>
      </c>
      <c r="JS40" s="1">
        <v>0.53846153846153844</v>
      </c>
      <c r="JT40" s="450"/>
      <c r="JU40" s="1"/>
      <c r="JV40" s="450"/>
      <c r="JW40" s="1"/>
      <c r="JX40" s="450">
        <v>15.889999999999999</v>
      </c>
      <c r="JY40" s="1">
        <v>0.69230769230769229</v>
      </c>
      <c r="JZ40" s="450">
        <v>-3.7999999999999989</v>
      </c>
      <c r="KA40" s="1">
        <v>0.46153846153846156</v>
      </c>
      <c r="KB40" s="450">
        <v>-21.65</v>
      </c>
      <c r="KC40" s="1">
        <v>0.46153846153846156</v>
      </c>
      <c r="KD40" s="450">
        <v>-0.99999999999999989</v>
      </c>
      <c r="KE40" s="1">
        <v>0.66666666666666663</v>
      </c>
      <c r="KF40" s="450">
        <v>5.31</v>
      </c>
      <c r="KG40" s="1">
        <v>0.61538461538461542</v>
      </c>
      <c r="KH40" s="450">
        <v>0.52999999999999936</v>
      </c>
      <c r="KI40" s="1">
        <v>0.53846153846153844</v>
      </c>
      <c r="KJ40" s="450">
        <v>9.870000000000001</v>
      </c>
      <c r="KK40" s="1">
        <v>0.69230769230769229</v>
      </c>
      <c r="KL40" s="450">
        <v>6.490000000000002</v>
      </c>
      <c r="KM40" s="1">
        <v>0.69230769230769229</v>
      </c>
      <c r="KN40" s="450">
        <v>-19.649999999999995</v>
      </c>
      <c r="KO40" s="1">
        <v>0.38461538461538464</v>
      </c>
      <c r="KP40" s="450"/>
      <c r="KQ40" s="1"/>
      <c r="KR40" s="450">
        <v>-14.479999999999999</v>
      </c>
      <c r="KS40" s="1">
        <v>0.30769230769230771</v>
      </c>
      <c r="KT40" s="450"/>
      <c r="KU40" s="1"/>
      <c r="KV40" s="450">
        <v>-10.629999999999999</v>
      </c>
      <c r="KW40" s="1">
        <v>0.53846153846153844</v>
      </c>
      <c r="KX40" s="450">
        <v>-9.52</v>
      </c>
      <c r="KY40" s="1">
        <v>0.53846153846153844</v>
      </c>
      <c r="KZ40" s="450">
        <v>-6.52</v>
      </c>
      <c r="LA40" s="1">
        <v>0.61538461538461542</v>
      </c>
      <c r="LB40" s="450">
        <v>-21.06</v>
      </c>
      <c r="LC40" s="1">
        <v>0.46153846153846156</v>
      </c>
      <c r="LD40" s="450">
        <v>17.97</v>
      </c>
      <c r="LE40" s="1">
        <v>0.84615384615384615</v>
      </c>
      <c r="LF40" s="450">
        <v>-47.429999999999993</v>
      </c>
      <c r="LG40" s="1">
        <v>0.25</v>
      </c>
      <c r="LH40" s="450">
        <v>-0.19999999999999929</v>
      </c>
      <c r="LI40" s="1">
        <v>0.69230769230769229</v>
      </c>
      <c r="LJ40" s="450"/>
      <c r="LK40" s="1"/>
      <c r="LL40" s="450">
        <v>-14.69</v>
      </c>
      <c r="LM40" s="1">
        <v>0.5</v>
      </c>
      <c r="LN40" s="450">
        <v>1.2099999999999991</v>
      </c>
      <c r="LO40" s="1">
        <v>0.69230769230769229</v>
      </c>
      <c r="LP40" s="450">
        <v>-9.7000000000000011</v>
      </c>
      <c r="LQ40" s="1">
        <v>0.61538461538461542</v>
      </c>
      <c r="LR40" s="450">
        <v>-9.52</v>
      </c>
      <c r="LS40" s="1">
        <v>0.63636363636363635</v>
      </c>
      <c r="LT40" s="450">
        <v>-29.469999999999995</v>
      </c>
      <c r="LU40" s="1">
        <v>0.41666666666666669</v>
      </c>
      <c r="LV40" s="450">
        <v>-6.9799999999999986</v>
      </c>
      <c r="LW40" s="1">
        <v>0.625</v>
      </c>
      <c r="LX40" s="450">
        <v>-1.7299999999999995</v>
      </c>
      <c r="LY40" s="1">
        <v>0.5</v>
      </c>
      <c r="LZ40" s="450">
        <v>-15.41</v>
      </c>
      <c r="MA40" s="1">
        <v>0.5</v>
      </c>
      <c r="MB40" s="450">
        <v>-13.16</v>
      </c>
      <c r="MC40" s="1">
        <v>0.5</v>
      </c>
      <c r="MD40" s="450"/>
      <c r="ME40" s="1"/>
      <c r="MF40" s="450">
        <v>0.71999999999999975</v>
      </c>
      <c r="MG40" s="1">
        <v>0.66666666666666663</v>
      </c>
      <c r="MH40" s="450">
        <v>-12.12</v>
      </c>
      <c r="MI40" s="1">
        <v>0.33333333333333331</v>
      </c>
      <c r="MJ40" s="450">
        <v>-15.420000000000002</v>
      </c>
      <c r="MK40" s="1">
        <v>0.25</v>
      </c>
      <c r="ML40" s="450">
        <v>-2.8800000000000026</v>
      </c>
      <c r="MM40" s="1">
        <v>0.7</v>
      </c>
      <c r="MN40" s="450">
        <v>-13.759999999999998</v>
      </c>
      <c r="MO40" s="1">
        <v>0.5</v>
      </c>
      <c r="MP40" s="450">
        <v>-21.329999999999995</v>
      </c>
      <c r="MQ40" s="1">
        <v>0.5</v>
      </c>
      <c r="MR40" s="450">
        <v>-29.960000000000004</v>
      </c>
      <c r="MS40" s="1">
        <v>0.41666666666666669</v>
      </c>
      <c r="MT40" s="450">
        <v>15.389999999999999</v>
      </c>
      <c r="MU40" s="1">
        <v>0.83333333333333337</v>
      </c>
      <c r="MV40" s="450">
        <v>-1.6500000000000017</v>
      </c>
      <c r="MW40" s="1">
        <v>0.7</v>
      </c>
      <c r="MX40" s="450">
        <v>-3.2899999999999991</v>
      </c>
      <c r="MY40" s="1">
        <v>0.66666666666666663</v>
      </c>
      <c r="MZ40" s="450">
        <v>-5.4599999999999991</v>
      </c>
      <c r="NA40" s="1">
        <v>0.6</v>
      </c>
      <c r="NB40" s="450">
        <v>12.11</v>
      </c>
      <c r="NC40" s="1">
        <v>0.81818181818181823</v>
      </c>
      <c r="ND40" s="450"/>
      <c r="NE40" s="1"/>
      <c r="NF40" s="450">
        <v>-16.049999999999997</v>
      </c>
      <c r="NG40" s="1">
        <v>0.58333333333333337</v>
      </c>
      <c r="NH40" s="450">
        <v>-16.049999999999997</v>
      </c>
      <c r="NI40" s="1">
        <v>0.58333333333333337</v>
      </c>
      <c r="NJ40" s="450">
        <v>29.5</v>
      </c>
      <c r="NK40" s="1">
        <v>1</v>
      </c>
      <c r="NL40" s="450">
        <v>-0.80999999999999872</v>
      </c>
      <c r="NM40" s="1">
        <v>0.69230769230769229</v>
      </c>
      <c r="NN40" s="450"/>
      <c r="NO40" s="1"/>
      <c r="NP40" s="450">
        <v>-5.8800000000000008</v>
      </c>
      <c r="NQ40" s="1">
        <v>0.625</v>
      </c>
      <c r="NR40" s="450">
        <v>-1.1399999999999988</v>
      </c>
      <c r="NS40" s="1">
        <v>0.7</v>
      </c>
      <c r="NT40" s="450">
        <v>4.7199999999999989</v>
      </c>
      <c r="NU40" s="1">
        <v>0.77777777777777779</v>
      </c>
      <c r="NV40" s="450">
        <v>9.8000000000000007</v>
      </c>
      <c r="NW40" s="1">
        <v>1</v>
      </c>
      <c r="NX40" s="450">
        <v>-0.75000000000000089</v>
      </c>
      <c r="NY40" s="1">
        <v>0.6</v>
      </c>
      <c r="NZ40" s="450">
        <v>10.959999999999999</v>
      </c>
      <c r="OA40" s="1">
        <v>0.83333333333333337</v>
      </c>
      <c r="OB40" s="450">
        <v>1.1600000000000019</v>
      </c>
      <c r="OC40" s="1">
        <v>0.5</v>
      </c>
      <c r="OD40" s="450">
        <v>-7.9499999999999993</v>
      </c>
      <c r="OE40" s="1">
        <v>0.5</v>
      </c>
      <c r="OF40" s="450">
        <v>-6.8</v>
      </c>
      <c r="OG40" s="1">
        <v>0.625</v>
      </c>
      <c r="OH40" s="450">
        <v>-20.380000000000003</v>
      </c>
      <c r="OI40" s="1">
        <v>0.375</v>
      </c>
      <c r="OJ40" s="450"/>
      <c r="OK40" s="1"/>
      <c r="OL40" s="450">
        <v>3.1199999999999992</v>
      </c>
      <c r="OM40" s="1">
        <v>0.69230769230769229</v>
      </c>
      <c r="ON40" s="450">
        <v>-10.74</v>
      </c>
      <c r="OO40" s="1">
        <v>0.61538461538461542</v>
      </c>
      <c r="OP40" s="450">
        <v>-9.1999999999999975</v>
      </c>
      <c r="OQ40" s="1">
        <v>0.61538461538461542</v>
      </c>
      <c r="OR40" s="450">
        <v>-23.450000000000003</v>
      </c>
      <c r="OS40" s="1">
        <v>0.46153846153846156</v>
      </c>
      <c r="OT40" s="450">
        <v>-31.04</v>
      </c>
      <c r="OU40" s="1">
        <v>0.38461538461538464</v>
      </c>
      <c r="OV40" s="450"/>
      <c r="OW40" s="1"/>
      <c r="OX40" s="450">
        <v>-19.95</v>
      </c>
      <c r="OY40" s="1">
        <v>0.46153846153846156</v>
      </c>
      <c r="OZ40" s="450">
        <v>-22.43000000000001</v>
      </c>
      <c r="PA40" s="1">
        <v>0.42857142857142855</v>
      </c>
      <c r="PB40" s="450">
        <v>-0.64000000000000057</v>
      </c>
      <c r="PC40" s="1">
        <v>0.61538461538461542</v>
      </c>
      <c r="PD40" s="450">
        <v>-31.9</v>
      </c>
      <c r="PE40" s="1">
        <v>0.38461538461538464</v>
      </c>
      <c r="PF40" s="450">
        <v>-10.02</v>
      </c>
      <c r="PG40" s="1">
        <v>0.61538461538461542</v>
      </c>
      <c r="PH40" s="450">
        <v>5.8900000000000006</v>
      </c>
      <c r="PI40" s="1">
        <v>0.76923076923076927</v>
      </c>
      <c r="PJ40" s="450"/>
      <c r="PK40" s="1"/>
      <c r="PL40" s="450"/>
      <c r="PM40" s="1"/>
      <c r="PN40" s="450">
        <v>-9.2200000000000024</v>
      </c>
      <c r="PO40" s="1">
        <v>0.58333333333333337</v>
      </c>
      <c r="PP40" s="450">
        <v>-39.730000000000004</v>
      </c>
      <c r="PQ40" s="1">
        <v>0.33333333333333331</v>
      </c>
      <c r="PR40" s="450"/>
      <c r="PS40" s="1"/>
      <c r="PT40" s="450">
        <v>-10.450000000000001</v>
      </c>
      <c r="PU40" s="1">
        <v>0.61538461538461542</v>
      </c>
      <c r="PV40" s="450">
        <v>-1.5599999999999974</v>
      </c>
      <c r="PW40" s="1">
        <v>0.69230769230769229</v>
      </c>
      <c r="PX40" s="450">
        <v>-8.6799999999999962</v>
      </c>
      <c r="PY40" s="1">
        <v>0.6428571428571429</v>
      </c>
      <c r="PZ40" s="450">
        <v>-21.56</v>
      </c>
      <c r="QA40" s="1">
        <v>0.41666666666666669</v>
      </c>
      <c r="QB40" s="450">
        <v>-18.21</v>
      </c>
      <c r="QC40" s="1">
        <v>0.53846153846153844</v>
      </c>
      <c r="QD40" s="450">
        <v>9.3299999999999983</v>
      </c>
      <c r="QE40" s="1">
        <v>0.69230769230769229</v>
      </c>
      <c r="QF40" s="450">
        <v>-4.0499999999999989</v>
      </c>
      <c r="QG40" s="1">
        <v>0.69230769230769229</v>
      </c>
      <c r="QH40" s="450">
        <v>6.3899999999999988</v>
      </c>
      <c r="QI40" s="1">
        <v>0.69230769230769229</v>
      </c>
      <c r="QJ40" s="450">
        <v>-11.349999999999998</v>
      </c>
      <c r="QK40" s="1">
        <v>0.53846153846153844</v>
      </c>
      <c r="QL40" s="450">
        <v>-17.729999999999997</v>
      </c>
      <c r="QM40" s="1">
        <v>0.5</v>
      </c>
      <c r="QN40" s="450">
        <v>4.9099999999999993</v>
      </c>
      <c r="QO40" s="1">
        <v>0.61538461538461542</v>
      </c>
      <c r="QP40" s="450">
        <v>-11.53</v>
      </c>
      <c r="QQ40" s="1">
        <v>0.61538461538461542</v>
      </c>
      <c r="QR40" s="450">
        <v>-10.719999999999999</v>
      </c>
      <c r="QS40" s="1">
        <v>0.61538461538461542</v>
      </c>
      <c r="QT40" s="450"/>
      <c r="QU40" s="1"/>
      <c r="QV40" s="450">
        <v>-5.2699999999999987</v>
      </c>
      <c r="QW40" s="1">
        <v>0.6428571428571429</v>
      </c>
      <c r="QX40" s="450">
        <v>-10.7</v>
      </c>
      <c r="QY40" s="1">
        <v>0.41666666666666669</v>
      </c>
      <c r="QZ40" s="450"/>
      <c r="RA40" s="1"/>
      <c r="RB40" s="450">
        <v>-4.6000000000000014</v>
      </c>
      <c r="RC40" s="1">
        <v>0.46153846153846156</v>
      </c>
      <c r="RD40" s="450">
        <v>-7.3</v>
      </c>
      <c r="RE40" s="1">
        <v>0.5714285714285714</v>
      </c>
      <c r="RF40" s="450">
        <v>-17.34</v>
      </c>
      <c r="RG40" s="1">
        <v>0.30769230769230771</v>
      </c>
      <c r="RH40" s="450">
        <v>-13.42</v>
      </c>
      <c r="RI40" s="1">
        <v>0.42857142857142855</v>
      </c>
      <c r="RJ40" s="450">
        <v>-5.4800000000000022</v>
      </c>
      <c r="RK40" s="1">
        <v>0.5714285714285714</v>
      </c>
      <c r="RL40" s="450">
        <v>-3.8499999999999992</v>
      </c>
      <c r="RM40" s="1">
        <v>0.5714285714285714</v>
      </c>
      <c r="RN40" s="450">
        <v>-7.6700000000000017</v>
      </c>
      <c r="RO40" s="1">
        <v>0.61538461538461542</v>
      </c>
      <c r="RP40" s="450">
        <v>10</v>
      </c>
      <c r="RQ40" s="1">
        <v>0.75</v>
      </c>
      <c r="RR40" s="450">
        <v>-12.73</v>
      </c>
      <c r="RS40" s="1">
        <v>0.5714285714285714</v>
      </c>
      <c r="RT40" s="450">
        <v>-5.4599999999999991</v>
      </c>
      <c r="RU40" s="1">
        <v>0.6428571428571429</v>
      </c>
      <c r="RV40" s="450">
        <v>-4.8099999999999961</v>
      </c>
      <c r="RW40" s="1">
        <v>0.6428571428571429</v>
      </c>
      <c r="RX40" s="450">
        <v>9.9700000000000006</v>
      </c>
      <c r="RY40" s="1">
        <v>0.76923076923076927</v>
      </c>
      <c r="RZ40" s="450">
        <v>-18.299999999999997</v>
      </c>
      <c r="SA40" s="1">
        <v>0.46153846153846156</v>
      </c>
      <c r="SB40" s="450">
        <v>3.2499999999999991</v>
      </c>
      <c r="SC40" s="1">
        <v>0.69230769230769229</v>
      </c>
      <c r="SD40" s="450">
        <v>-4.8699999999999983</v>
      </c>
      <c r="SE40" s="1">
        <v>0.5714285714285714</v>
      </c>
      <c r="SF40" s="450"/>
      <c r="SG40" s="1"/>
      <c r="SH40" s="450">
        <v>-15.879999999999999</v>
      </c>
      <c r="SI40" s="1">
        <v>0.46153846153846156</v>
      </c>
      <c r="SJ40" s="452">
        <v>-6.9999999999999396E-2</v>
      </c>
      <c r="SK40" s="1">
        <v>0.6428571428571429</v>
      </c>
      <c r="SL40" s="457">
        <v>-24.830000000000002</v>
      </c>
      <c r="SM40" s="1">
        <v>0.14285714285714285</v>
      </c>
      <c r="SN40" s="459">
        <v>-0.89999999999999991</v>
      </c>
      <c r="SO40" s="1">
        <v>0.53846153846153844</v>
      </c>
      <c r="SP40" s="461">
        <v>14.390000000000004</v>
      </c>
      <c r="SQ40" s="1">
        <v>0.76923076923076927</v>
      </c>
      <c r="SR40" s="463">
        <v>-28.180000000000003</v>
      </c>
      <c r="SS40" s="1">
        <v>0.35714285714285715</v>
      </c>
      <c r="ST40" s="464">
        <v>9.000000000000119E-2</v>
      </c>
      <c r="SU40" s="1">
        <v>0.5714285714285714</v>
      </c>
      <c r="SV40" s="466">
        <v>-20.369999999999997</v>
      </c>
      <c r="SW40" s="1">
        <v>0.38461538461538464</v>
      </c>
      <c r="SX40" s="467"/>
      <c r="SY40" s="1"/>
      <c r="SZ40" s="469">
        <v>-6.4200000000000017</v>
      </c>
      <c r="TA40" s="1">
        <v>0.41666666666666669</v>
      </c>
      <c r="TB40" s="471">
        <v>-8.8599999999999959</v>
      </c>
      <c r="TC40" s="1">
        <v>0.53846153846153844</v>
      </c>
      <c r="TD40" s="472">
        <v>-5.0200000000000014</v>
      </c>
      <c r="TE40" s="1">
        <v>0.53846153846153844</v>
      </c>
      <c r="TF40" s="474">
        <v>-27.049999999999997</v>
      </c>
      <c r="TG40" s="1">
        <v>0.2857142857142857</v>
      </c>
      <c r="TH40" s="488">
        <v>14.58</v>
      </c>
      <c r="TI40" s="1">
        <v>0.7857142857142857</v>
      </c>
      <c r="TJ40" s="489">
        <v>6.98</v>
      </c>
      <c r="TK40" s="1">
        <v>0.69230769230769229</v>
      </c>
      <c r="TL40" s="490">
        <v>-3.259999999999998</v>
      </c>
      <c r="TM40" s="1">
        <v>0.6428571428571429</v>
      </c>
      <c r="TN40" s="495"/>
      <c r="TO40" s="1"/>
      <c r="TP40" s="500">
        <v>-15.419999999999998</v>
      </c>
      <c r="TQ40" s="1">
        <v>0.46153846153846156</v>
      </c>
      <c r="TR40" s="511">
        <v>-13.310000000000002</v>
      </c>
      <c r="TS40" s="1">
        <v>0.53846153846153844</v>
      </c>
      <c r="TT40" s="515">
        <v>-1.2199999999999989</v>
      </c>
      <c r="TU40" s="1">
        <v>0.69230769230769229</v>
      </c>
      <c r="TV40" s="518">
        <v>-25.51</v>
      </c>
      <c r="TW40" s="1">
        <v>0.5</v>
      </c>
      <c r="TX40" s="521">
        <v>4.7899999999999983</v>
      </c>
      <c r="TY40" s="1">
        <v>0.69230769230769229</v>
      </c>
      <c r="TZ40" s="524">
        <v>15.48</v>
      </c>
      <c r="UA40" s="1">
        <v>0.84615384615384615</v>
      </c>
      <c r="UB40" s="527">
        <v>-8.1</v>
      </c>
      <c r="UC40" s="1">
        <v>0.5714285714285714</v>
      </c>
      <c r="UD40" s="530">
        <v>-0.69</v>
      </c>
      <c r="UE40" s="1">
        <v>0.7142857142857143</v>
      </c>
      <c r="UF40" s="533">
        <v>0.19999999999999796</v>
      </c>
      <c r="UG40" s="1">
        <v>0.6428571428571429</v>
      </c>
      <c r="UH40" s="536">
        <v>-10.37</v>
      </c>
      <c r="UI40" s="1">
        <v>0.5714285714285714</v>
      </c>
      <c r="UJ40" s="539">
        <v>0.60000000000000098</v>
      </c>
      <c r="UK40" s="1">
        <v>0.7142857142857143</v>
      </c>
      <c r="UL40" s="540">
        <v>-18.930000000000003</v>
      </c>
      <c r="UM40" s="1">
        <v>0.42857142857142855</v>
      </c>
      <c r="UN40" s="543">
        <v>0.22000000000000144</v>
      </c>
      <c r="UO40" s="1">
        <v>0.5714285714285714</v>
      </c>
      <c r="UP40" s="544">
        <v>-6.7800000000000011</v>
      </c>
      <c r="UQ40" s="1">
        <v>0.5714285714285714</v>
      </c>
      <c r="UR40" s="551">
        <v>-13.309999999999999</v>
      </c>
      <c r="US40" s="1">
        <v>0.5</v>
      </c>
      <c r="UT40" s="551">
        <v>15.820000000000002</v>
      </c>
      <c r="UU40" s="1">
        <v>0.84615384615384615</v>
      </c>
      <c r="UV40" s="562">
        <v>-16.84</v>
      </c>
      <c r="UW40" s="1">
        <v>0.46153846153846156</v>
      </c>
      <c r="UX40" s="566">
        <v>4.4899999999999967</v>
      </c>
      <c r="UY40" s="1">
        <v>0.5714285714285714</v>
      </c>
      <c r="UZ40" s="568"/>
      <c r="VA40" s="1"/>
      <c r="VB40" s="572">
        <v>-11.23</v>
      </c>
      <c r="VC40" s="1">
        <v>0.42857142857142855</v>
      </c>
      <c r="VD40" s="576">
        <v>-8.9699999999999989</v>
      </c>
      <c r="VE40" s="1">
        <v>0.42857142857142855</v>
      </c>
      <c r="VF40" s="580">
        <v>3.29</v>
      </c>
      <c r="VG40" s="1">
        <v>0.6428571428571429</v>
      </c>
      <c r="VH40" s="584">
        <v>-38.1</v>
      </c>
      <c r="VI40" s="1">
        <v>0.23076923076923078</v>
      </c>
      <c r="VJ40" s="589">
        <v>-18.330000000000002</v>
      </c>
      <c r="VK40" s="1">
        <v>0.35714285714285715</v>
      </c>
      <c r="VL40" s="593">
        <v>-13.459999999999997</v>
      </c>
      <c r="VM40" s="1">
        <v>0.5714285714285714</v>
      </c>
      <c r="VN40" s="597">
        <v>-17.73</v>
      </c>
      <c r="VO40" s="1">
        <v>0.42857142857142855</v>
      </c>
      <c r="VP40" s="601">
        <v>-10.940000000000001</v>
      </c>
      <c r="VQ40" s="1">
        <v>0.6428571428571429</v>
      </c>
      <c r="VR40" s="603"/>
      <c r="VS40" s="1"/>
      <c r="VT40" s="607">
        <v>-15.27</v>
      </c>
      <c r="VU40" s="1">
        <v>0.5</v>
      </c>
      <c r="VV40" s="609">
        <v>28.12</v>
      </c>
      <c r="VW40" s="1">
        <v>0.9285714285714286</v>
      </c>
      <c r="VX40" s="613">
        <v>6.0600000000000005</v>
      </c>
      <c r="VY40" s="1">
        <v>0.7142857142857143</v>
      </c>
      <c r="VZ40" s="617">
        <v>-20.98</v>
      </c>
      <c r="WA40" s="1">
        <v>0.21428571428571427</v>
      </c>
      <c r="WB40" s="619">
        <v>2.6199999999999992</v>
      </c>
      <c r="WC40" s="1">
        <v>0.7142857142857143</v>
      </c>
      <c r="WD40" s="624">
        <v>-15.579999999999998</v>
      </c>
      <c r="WE40" s="1">
        <v>0.5</v>
      </c>
      <c r="WF40" s="626">
        <v>-7.8599999999999994</v>
      </c>
      <c r="WG40" s="1">
        <v>0.6428571428571429</v>
      </c>
      <c r="WH40" s="630">
        <v>-14.219999999999999</v>
      </c>
      <c r="WI40" s="1">
        <v>0.5714285714285714</v>
      </c>
      <c r="WJ40" s="636">
        <v>-15.449999999999998</v>
      </c>
      <c r="WK40" s="1">
        <v>0.5714285714285714</v>
      </c>
      <c r="WL40" s="638">
        <v>-15.990000000000002</v>
      </c>
      <c r="WM40" s="1">
        <v>0.46153846153846156</v>
      </c>
      <c r="WN40" s="642">
        <v>-3.3200000000000012</v>
      </c>
      <c r="WO40" s="1">
        <v>0.5</v>
      </c>
      <c r="WP40" s="646">
        <v>-13.81</v>
      </c>
      <c r="WQ40" s="1">
        <v>0.5</v>
      </c>
      <c r="WR40" s="652">
        <v>17.330000000000002</v>
      </c>
      <c r="WS40" s="1">
        <v>0.7857142857142857</v>
      </c>
      <c r="WT40" s="659">
        <v>-9.9700000000000024</v>
      </c>
      <c r="WU40" s="1">
        <v>0.5714285714285714</v>
      </c>
      <c r="WV40" s="659">
        <v>-13.82</v>
      </c>
      <c r="WW40" s="1">
        <v>0.5</v>
      </c>
      <c r="WX40" s="672">
        <v>5</v>
      </c>
      <c r="WY40" s="1">
        <v>0.7142857142857143</v>
      </c>
      <c r="WZ40" s="677">
        <v>-14.329999999999998</v>
      </c>
      <c r="XA40" s="1">
        <v>0.5714285714285714</v>
      </c>
      <c r="XB40" s="681">
        <v>-18.399999999999999</v>
      </c>
      <c r="XC40" s="1">
        <v>0.5</v>
      </c>
      <c r="XD40" s="683"/>
      <c r="XE40" s="1"/>
      <c r="XF40" s="687">
        <v>-16.149999999999999</v>
      </c>
      <c r="XG40" s="1">
        <v>0.5714285714285714</v>
      </c>
      <c r="XH40" s="689">
        <v>-8.0599999999999987</v>
      </c>
      <c r="XI40" s="1">
        <v>0.6428571428571429</v>
      </c>
      <c r="XJ40" s="696">
        <v>22.650000000000002</v>
      </c>
      <c r="XK40" s="1">
        <v>0.8571428571428571</v>
      </c>
      <c r="XL40" s="696">
        <v>-13.479999999999997</v>
      </c>
      <c r="XM40" s="1">
        <v>0.5714285714285714</v>
      </c>
      <c r="XN40" s="696">
        <v>-23.289999999999992</v>
      </c>
      <c r="XO40" s="1">
        <v>0.5357142857142857</v>
      </c>
      <c r="XP40" s="700">
        <v>4.4700000000000006</v>
      </c>
      <c r="XQ40" s="1">
        <v>0.5714285714285714</v>
      </c>
      <c r="XR40" s="705">
        <v>-2.0199999999999987</v>
      </c>
      <c r="XS40" s="1">
        <v>0.5357142857142857</v>
      </c>
      <c r="XT40" s="709">
        <v>-9.5700000000000021</v>
      </c>
      <c r="XU40" s="1">
        <v>0.5</v>
      </c>
      <c r="XV40" s="715">
        <v>-7.5599999999999978</v>
      </c>
      <c r="XW40" s="1">
        <v>0.5714285714285714</v>
      </c>
    </row>
    <row r="41" spans="2:647" x14ac:dyDescent="0.25">
      <c r="B41" s="755"/>
      <c r="C41" s="758"/>
      <c r="D41" s="757" t="s">
        <v>12</v>
      </c>
      <c r="E41" s="757"/>
      <c r="F41" s="448">
        <v>0.4</v>
      </c>
      <c r="G41" s="768"/>
      <c r="H41" s="450"/>
      <c r="I41" s="1"/>
      <c r="J41" s="450"/>
      <c r="K41" s="1"/>
      <c r="L41" s="450"/>
      <c r="M41" s="1"/>
      <c r="N41" s="450"/>
      <c r="O41" s="1"/>
      <c r="P41" s="450"/>
      <c r="Q41" s="1"/>
      <c r="R41" s="450"/>
      <c r="S41" s="1"/>
      <c r="T41" s="450"/>
      <c r="U41" s="1"/>
      <c r="V41" s="450"/>
      <c r="W41" s="1"/>
      <c r="X41" s="450"/>
      <c r="Y41" s="1"/>
      <c r="Z41" s="450"/>
      <c r="AA41" s="1"/>
      <c r="AB41" s="450"/>
      <c r="AC41" s="1"/>
      <c r="AD41" s="450"/>
      <c r="AE41" s="1"/>
      <c r="AF41" s="450"/>
      <c r="AG41" s="1"/>
      <c r="AH41" s="450"/>
      <c r="AI41" s="1"/>
      <c r="AJ41" s="450"/>
      <c r="AK41" s="1"/>
      <c r="AL41" s="450"/>
      <c r="AM41" s="1"/>
      <c r="AN41" s="450"/>
      <c r="AO41" s="1"/>
      <c r="AP41" s="450"/>
      <c r="AQ41" s="1"/>
      <c r="AR41" s="450"/>
      <c r="AS41" s="1"/>
      <c r="AT41" s="450"/>
      <c r="AU41" s="1"/>
      <c r="AV41" s="450"/>
      <c r="AW41" s="1"/>
      <c r="AX41" s="450"/>
      <c r="AY41" s="1"/>
      <c r="AZ41" s="450"/>
      <c r="BA41" s="1"/>
      <c r="BB41" s="450"/>
      <c r="BC41" s="1"/>
      <c r="BD41" s="450"/>
      <c r="BE41" s="1"/>
      <c r="BF41" s="450">
        <v>-11.409090909090912</v>
      </c>
      <c r="BG41" s="1">
        <v>0.38461538461538464</v>
      </c>
      <c r="BH41" s="450">
        <v>-15.69181818181818</v>
      </c>
      <c r="BI41" s="1">
        <v>0.30769230769230771</v>
      </c>
      <c r="BJ41" s="450">
        <v>-1.4218181818181816</v>
      </c>
      <c r="BK41" s="1">
        <v>0.66666666666666663</v>
      </c>
      <c r="BL41" s="450">
        <v>-1.1772727272727272</v>
      </c>
      <c r="BM41" s="1">
        <v>0.61538461538461542</v>
      </c>
      <c r="BN41" s="450">
        <v>-2.3218181818181831</v>
      </c>
      <c r="BO41" s="1">
        <v>0.38461538461538464</v>
      </c>
      <c r="BP41" s="450">
        <v>-0.13181818181818208</v>
      </c>
      <c r="BQ41" s="1">
        <v>0.61538461538461542</v>
      </c>
      <c r="BR41" s="450">
        <v>0.36454545454545501</v>
      </c>
      <c r="BS41" s="1">
        <v>0.61538461538461542</v>
      </c>
      <c r="BT41" s="450"/>
      <c r="BU41" s="1"/>
      <c r="BV41" s="450">
        <v>-3.8636363636363638</v>
      </c>
      <c r="BW41" s="1">
        <v>0.61538461538461542</v>
      </c>
      <c r="BX41" s="450">
        <v>-0.76272727272727225</v>
      </c>
      <c r="BY41" s="1">
        <v>0.53846153846153844</v>
      </c>
      <c r="BZ41" s="450">
        <v>6.3245454545454551</v>
      </c>
      <c r="CA41" s="1">
        <v>0.76923076923076927</v>
      </c>
      <c r="CB41" s="450">
        <v>5.249090909090909</v>
      </c>
      <c r="CC41" s="1">
        <v>0.84615384615384615</v>
      </c>
      <c r="CD41" s="450">
        <v>5.5000000000000009</v>
      </c>
      <c r="CE41" s="1">
        <v>0.76923076923076927</v>
      </c>
      <c r="CF41" s="450">
        <v>-8.1127272727272715</v>
      </c>
      <c r="CG41" s="1">
        <v>0.38461538461538464</v>
      </c>
      <c r="CH41" s="450">
        <v>-1.9490909090909085</v>
      </c>
      <c r="CI41" s="1">
        <v>0.53846153846153844</v>
      </c>
      <c r="CJ41" s="450"/>
      <c r="CK41" s="1"/>
      <c r="CL41" s="450">
        <v>-2.3418181818181827</v>
      </c>
      <c r="CM41" s="1">
        <v>0.46153846153846156</v>
      </c>
      <c r="CN41" s="450">
        <v>6.8145454545454536</v>
      </c>
      <c r="CO41" s="1">
        <v>0.84615384615384615</v>
      </c>
      <c r="CP41" s="450">
        <v>2.2599999999999998</v>
      </c>
      <c r="CQ41" s="1">
        <v>0.75</v>
      </c>
      <c r="CR41" s="450">
        <v>2.2027272727272731</v>
      </c>
      <c r="CS41" s="1">
        <v>0.69230769230769229</v>
      </c>
      <c r="CT41" s="450">
        <v>-3.9000000000000004</v>
      </c>
      <c r="CU41" s="1">
        <v>0.61538461538461542</v>
      </c>
      <c r="CV41" s="450">
        <v>-6.2490909090909099</v>
      </c>
      <c r="CW41" s="1">
        <v>0.53846153846153844</v>
      </c>
      <c r="CX41" s="450">
        <v>-14.836363636363636</v>
      </c>
      <c r="CY41" s="1">
        <v>0.30769230769230771</v>
      </c>
      <c r="CZ41" s="450">
        <v>-7.2918181818181829</v>
      </c>
      <c r="DA41" s="1">
        <v>0.46153846153846156</v>
      </c>
      <c r="DB41" s="450">
        <v>-3.4845454545454531</v>
      </c>
      <c r="DC41" s="1">
        <v>0.61538461538461542</v>
      </c>
      <c r="DD41" s="450">
        <v>3.4790909090909086</v>
      </c>
      <c r="DE41" s="1">
        <v>0.76923076923076927</v>
      </c>
      <c r="DF41" s="450">
        <v>3.5454545454545454</v>
      </c>
      <c r="DG41" s="1">
        <v>0.76923076923076927</v>
      </c>
      <c r="DH41" s="450"/>
      <c r="DI41" s="1"/>
      <c r="DJ41" s="450">
        <v>-2.7590909090909093</v>
      </c>
      <c r="DK41" s="1">
        <v>0.58333333333333337</v>
      </c>
      <c r="DL41" s="450">
        <v>-8.5763636363636362</v>
      </c>
      <c r="DM41" s="1">
        <v>0.23076923076923078</v>
      </c>
      <c r="DN41" s="450">
        <v>-0.28000000000000003</v>
      </c>
      <c r="DO41" s="1">
        <v>0.58333333333333337</v>
      </c>
      <c r="DP41" s="450"/>
      <c r="DQ41" s="1"/>
      <c r="DR41" s="450">
        <v>-2.8436363636363633</v>
      </c>
      <c r="DS41" s="1">
        <v>0.46153846153846156</v>
      </c>
      <c r="DT41" s="450">
        <v>-2.8436363636363633</v>
      </c>
      <c r="DU41" s="1">
        <v>0.46153846153846156</v>
      </c>
      <c r="DV41" s="450">
        <v>4.0172727272727267</v>
      </c>
      <c r="DW41" s="1">
        <v>0.69230769230769229</v>
      </c>
      <c r="DX41" s="450">
        <v>-1.1027272727272734</v>
      </c>
      <c r="DY41" s="1">
        <v>0.53846153846153844</v>
      </c>
      <c r="DZ41" s="450">
        <v>-3.1709090909090913</v>
      </c>
      <c r="EA41" s="1">
        <v>0.53846153846153844</v>
      </c>
      <c r="EB41" s="450">
        <v>-7.9390909090909076</v>
      </c>
      <c r="EC41" s="1">
        <v>0.38461538461538464</v>
      </c>
      <c r="ED41" s="450">
        <v>-2.9736363636363632</v>
      </c>
      <c r="EE41" s="1">
        <v>0.61538461538461542</v>
      </c>
      <c r="EF41" s="450">
        <v>1.996363636363637</v>
      </c>
      <c r="EG41" s="1">
        <v>0.61538461538461542</v>
      </c>
      <c r="EH41" s="450">
        <v>-6.1781818181818187</v>
      </c>
      <c r="EI41" s="1">
        <v>0.45454545454545453</v>
      </c>
      <c r="EJ41" s="450">
        <v>-2.1790909090909087</v>
      </c>
      <c r="EK41" s="1">
        <v>0.53846153846153844</v>
      </c>
      <c r="EL41" s="450">
        <v>-3.463636363636363</v>
      </c>
      <c r="EM41" s="1">
        <v>0.53846153846153844</v>
      </c>
      <c r="EN41" s="450">
        <v>1.0181818181818179</v>
      </c>
      <c r="EO41" s="1">
        <v>0.53846153846153844</v>
      </c>
      <c r="EP41" s="450">
        <v>-3.0454545454545454</v>
      </c>
      <c r="EQ41" s="1">
        <v>0.61538461538461542</v>
      </c>
      <c r="ER41" s="450">
        <v>-4.7145454545454548</v>
      </c>
      <c r="ES41" s="1">
        <v>0.46153846153846156</v>
      </c>
      <c r="ET41" s="450">
        <v>1.0181818181818179</v>
      </c>
      <c r="EU41" s="1">
        <v>0.53846153846153844</v>
      </c>
      <c r="EV41" s="450">
        <v>-3.0454545454545454</v>
      </c>
      <c r="EW41" s="1">
        <v>0.61538461538461542</v>
      </c>
      <c r="EX41" s="450">
        <v>-4.7145454545454548</v>
      </c>
      <c r="EY41" s="1">
        <v>0.46153846153846156</v>
      </c>
      <c r="EZ41" s="450"/>
      <c r="FA41" s="1"/>
      <c r="FB41" s="450">
        <v>-19.66</v>
      </c>
      <c r="FC41" s="1">
        <v>0.38461538461538464</v>
      </c>
      <c r="FD41" s="450">
        <v>6.589999999999999</v>
      </c>
      <c r="FE41" s="1">
        <v>0.69230769230769229</v>
      </c>
      <c r="FF41" s="450">
        <v>0.62999999999999901</v>
      </c>
      <c r="FG41" s="1">
        <v>0.61538461538461542</v>
      </c>
      <c r="FH41" s="450">
        <v>4.8199999999999985</v>
      </c>
      <c r="FI41" s="1">
        <v>0.58333333333333337</v>
      </c>
      <c r="FJ41" s="450">
        <v>-12.25</v>
      </c>
      <c r="FK41" s="1">
        <v>0.5</v>
      </c>
      <c r="FL41" s="450">
        <v>-11.070000000000002</v>
      </c>
      <c r="FM41" s="1">
        <v>0.58333333333333337</v>
      </c>
      <c r="FN41" s="450">
        <v>-16.73</v>
      </c>
      <c r="FO41" s="1">
        <v>0.53846153846153844</v>
      </c>
      <c r="FP41" s="450">
        <v>-8.3999999999999986</v>
      </c>
      <c r="FQ41" s="1">
        <v>0.53846153846153844</v>
      </c>
      <c r="FR41" s="450">
        <v>0.55999999999999983</v>
      </c>
      <c r="FS41" s="1">
        <v>0.76923076923076927</v>
      </c>
      <c r="FT41" s="450">
        <v>-1.9700000000000029</v>
      </c>
      <c r="FU41" s="1">
        <v>0.76923076923076927</v>
      </c>
      <c r="FV41" s="450">
        <v>2.6599999999999997</v>
      </c>
      <c r="FW41" s="1">
        <v>0.61538461538461542</v>
      </c>
      <c r="FX41" s="450">
        <v>10.889999999999997</v>
      </c>
      <c r="FY41" s="1">
        <v>0.53846153846153844</v>
      </c>
      <c r="FZ41" s="450">
        <v>-3.8800000000000008</v>
      </c>
      <c r="GA41" s="1">
        <v>0.38461538461538464</v>
      </c>
      <c r="GB41" s="450">
        <v>11.92</v>
      </c>
      <c r="GC41" s="1">
        <v>0.53846153846153844</v>
      </c>
      <c r="GD41" s="450">
        <v>-5.0999999999999996</v>
      </c>
      <c r="GE41" s="1">
        <v>0.53846153846153844</v>
      </c>
      <c r="GF41" s="450">
        <v>-33.39</v>
      </c>
      <c r="GG41" s="1">
        <v>0.23076923076923078</v>
      </c>
      <c r="GH41" s="450">
        <v>18.37</v>
      </c>
      <c r="GI41" s="1">
        <v>0.69230769230769229</v>
      </c>
      <c r="GJ41" s="450">
        <v>-5.6899999999999995</v>
      </c>
      <c r="GK41" s="1">
        <v>0.4</v>
      </c>
      <c r="GL41" s="450">
        <v>5.0299999999999994</v>
      </c>
      <c r="GM41" s="1">
        <v>0.53846153846153844</v>
      </c>
      <c r="GN41" s="450"/>
      <c r="GO41" s="1"/>
      <c r="GP41" s="450">
        <v>-6.4800000000000013</v>
      </c>
      <c r="GQ41" s="1">
        <v>0.42857142857142855</v>
      </c>
      <c r="GR41" s="450">
        <v>-9.64</v>
      </c>
      <c r="GS41" s="1">
        <v>0.61538461538461542</v>
      </c>
      <c r="GT41" s="450">
        <v>29.27</v>
      </c>
      <c r="GU41" s="1">
        <v>0.76923076923076927</v>
      </c>
      <c r="GV41" s="450">
        <v>17.22</v>
      </c>
      <c r="GW41" s="1">
        <v>0.69230769230769229</v>
      </c>
      <c r="GX41" s="450">
        <v>0.25000000000000311</v>
      </c>
      <c r="GY41" s="1">
        <v>0.61538461538461542</v>
      </c>
      <c r="GZ41" s="450"/>
      <c r="HA41" s="1"/>
      <c r="HB41" s="450">
        <v>-0.74999999999999889</v>
      </c>
      <c r="HC41" s="1">
        <v>0.69230769230769229</v>
      </c>
      <c r="HD41" s="450">
        <v>8.75</v>
      </c>
      <c r="HE41" s="1">
        <v>0.61538461538461542</v>
      </c>
      <c r="HF41" s="450">
        <v>-19.66</v>
      </c>
      <c r="HG41" s="1">
        <v>0.61538461538461542</v>
      </c>
      <c r="HH41" s="450">
        <v>-20.32</v>
      </c>
      <c r="HI41" s="1">
        <v>0.38461538461538464</v>
      </c>
      <c r="HJ41" s="450">
        <v>-24.279999999999998</v>
      </c>
      <c r="HK41" s="1">
        <v>0.46153846153846156</v>
      </c>
      <c r="HL41" s="450">
        <v>-9.5600000000000023</v>
      </c>
      <c r="HM41" s="1">
        <v>0.5</v>
      </c>
      <c r="HN41" s="450">
        <v>3.2</v>
      </c>
      <c r="HO41" s="1">
        <v>0.53846153846153844</v>
      </c>
      <c r="HP41" s="450">
        <v>-3.3800000000000003</v>
      </c>
      <c r="HQ41" s="1">
        <v>0.5</v>
      </c>
      <c r="HR41" s="450">
        <v>-4.8900000000000023</v>
      </c>
      <c r="HS41" s="1">
        <v>0.38461538461538464</v>
      </c>
      <c r="HT41" s="450">
        <v>-30.679999999999996</v>
      </c>
      <c r="HU41" s="1">
        <v>0.30769230769230771</v>
      </c>
      <c r="HV41" s="450">
        <v>15.420000000000005</v>
      </c>
      <c r="HW41" s="1">
        <v>0.69230769230769229</v>
      </c>
      <c r="HX41" s="450"/>
      <c r="HY41" s="1"/>
      <c r="HZ41" s="450">
        <v>-0.57999999999999774</v>
      </c>
      <c r="IA41" s="1">
        <v>0.69230769230769229</v>
      </c>
      <c r="IB41" s="450">
        <v>-3.44</v>
      </c>
      <c r="IC41" s="1">
        <v>0.58333333333333337</v>
      </c>
      <c r="ID41" s="450">
        <v>-12.240000000000004</v>
      </c>
      <c r="IE41" s="1">
        <v>0.53846153846153844</v>
      </c>
      <c r="IF41" s="450">
        <v>-16.639999999999997</v>
      </c>
      <c r="IG41" s="1">
        <v>0.46153846153846156</v>
      </c>
      <c r="IH41" s="450">
        <v>-21.049999999999997</v>
      </c>
      <c r="II41" s="1">
        <v>0.53846153846153844</v>
      </c>
      <c r="IJ41" s="450">
        <v>-43.98</v>
      </c>
      <c r="IK41" s="1">
        <v>0.41666666666666669</v>
      </c>
      <c r="IL41" s="450">
        <v>-3.9399999999999977</v>
      </c>
      <c r="IM41" s="1">
        <v>0.58333333333333337</v>
      </c>
      <c r="IN41" s="450">
        <v>-18.23</v>
      </c>
      <c r="IO41" s="1">
        <v>0.53846153846153844</v>
      </c>
      <c r="IP41" s="450">
        <v>-1.0199999999999987</v>
      </c>
      <c r="IQ41" s="1">
        <v>0.61538461538461542</v>
      </c>
      <c r="IR41" s="450"/>
      <c r="IS41" s="1"/>
      <c r="IT41" s="450"/>
      <c r="IU41" s="1"/>
      <c r="IV41" s="450">
        <v>10.220000000000001</v>
      </c>
      <c r="IW41" s="1">
        <v>0.53846153846153844</v>
      </c>
      <c r="IX41" s="450"/>
      <c r="IY41" s="1"/>
      <c r="IZ41" s="450"/>
      <c r="JA41" s="1"/>
      <c r="JB41" s="450"/>
      <c r="JC41" s="1"/>
      <c r="JD41" s="450">
        <v>-16.97</v>
      </c>
      <c r="JE41" s="1">
        <v>0.53846153846153844</v>
      </c>
      <c r="JF41" s="450">
        <v>4.2899999999999991</v>
      </c>
      <c r="JG41" s="1">
        <v>0.61538461538461542</v>
      </c>
      <c r="JH41" s="450">
        <v>-31.819999999999997</v>
      </c>
      <c r="JI41" s="1">
        <v>0.38461538461538464</v>
      </c>
      <c r="JJ41" s="450">
        <v>-13.120000000000001</v>
      </c>
      <c r="JK41" s="1">
        <v>0.53846153846153844</v>
      </c>
      <c r="JL41" s="450"/>
      <c r="JM41" s="1"/>
      <c r="JN41" s="450">
        <v>-17.009999999999998</v>
      </c>
      <c r="JO41" s="1">
        <v>0.38461538461538464</v>
      </c>
      <c r="JP41" s="450">
        <v>-21.15</v>
      </c>
      <c r="JQ41" s="1">
        <v>0.38461538461538464</v>
      </c>
      <c r="JR41" s="450">
        <v>-4.8600000000000012</v>
      </c>
      <c r="JS41" s="1">
        <v>0.38461538461538464</v>
      </c>
      <c r="JT41" s="450"/>
      <c r="JU41" s="1"/>
      <c r="JV41" s="450"/>
      <c r="JW41" s="1"/>
      <c r="JX41" s="450">
        <v>2.160000000000001</v>
      </c>
      <c r="JY41" s="1">
        <v>0.53846153846153844</v>
      </c>
      <c r="JZ41" s="450">
        <v>-15.399999999999991</v>
      </c>
      <c r="KA41" s="1">
        <v>0.61538461538461542</v>
      </c>
      <c r="KB41" s="450">
        <v>-36.86</v>
      </c>
      <c r="KC41" s="1">
        <v>0.46153846153846156</v>
      </c>
      <c r="KD41" s="450">
        <v>-17.64</v>
      </c>
      <c r="KE41" s="1">
        <v>0.58333333333333337</v>
      </c>
      <c r="KF41" s="450">
        <v>-1.4800000000000004</v>
      </c>
      <c r="KG41" s="1">
        <v>0.61538461538461542</v>
      </c>
      <c r="KH41" s="450">
        <v>3.34</v>
      </c>
      <c r="KI41" s="1">
        <v>0.53846153846153844</v>
      </c>
      <c r="KJ41" s="450">
        <v>10.610000000000003</v>
      </c>
      <c r="KK41" s="1">
        <v>0.69230769230769229</v>
      </c>
      <c r="KL41" s="450">
        <v>-0.3499999999999992</v>
      </c>
      <c r="KM41" s="1">
        <v>0.76923076923076927</v>
      </c>
      <c r="KN41" s="450">
        <v>14.660000000000002</v>
      </c>
      <c r="KO41" s="1">
        <v>0.69230769230769229</v>
      </c>
      <c r="KP41" s="450"/>
      <c r="KQ41" s="1"/>
      <c r="KR41" s="450">
        <v>-13.22</v>
      </c>
      <c r="KS41" s="1">
        <v>0.53846153846153844</v>
      </c>
      <c r="KT41" s="450"/>
      <c r="KU41" s="1"/>
      <c r="KV41" s="450">
        <v>9.6</v>
      </c>
      <c r="KW41" s="1">
        <v>0.69230769230769229</v>
      </c>
      <c r="KX41" s="450">
        <v>-22.82</v>
      </c>
      <c r="KY41" s="1">
        <v>0.46153846153846156</v>
      </c>
      <c r="KZ41" s="450">
        <v>-27.25</v>
      </c>
      <c r="LA41" s="1">
        <v>0.53846153846153844</v>
      </c>
      <c r="LB41" s="450">
        <v>14.770000000000005</v>
      </c>
      <c r="LC41" s="1">
        <v>0.76923076923076927</v>
      </c>
      <c r="LD41" s="450">
        <v>20.85</v>
      </c>
      <c r="LE41" s="1">
        <v>0.84615384615384615</v>
      </c>
      <c r="LF41" s="450">
        <v>-27.689999999999994</v>
      </c>
      <c r="LG41" s="1">
        <v>0.58333333333333337</v>
      </c>
      <c r="LH41" s="450">
        <v>-7.3899999999999988</v>
      </c>
      <c r="LI41" s="1">
        <v>0.69230769230769229</v>
      </c>
      <c r="LJ41" s="450"/>
      <c r="LK41" s="1"/>
      <c r="LL41" s="450">
        <v>-4.9599999999999973</v>
      </c>
      <c r="LM41" s="1">
        <v>0.66666666666666663</v>
      </c>
      <c r="LN41" s="450">
        <v>-12.010000000000002</v>
      </c>
      <c r="LO41" s="1">
        <v>0.69230769230769229</v>
      </c>
      <c r="LP41" s="450">
        <v>4.3800000000000017</v>
      </c>
      <c r="LQ41" s="1">
        <v>0.76923076923076927</v>
      </c>
      <c r="LR41" s="450">
        <v>12.129999999999999</v>
      </c>
      <c r="LS41" s="1">
        <v>0.81818181818181823</v>
      </c>
      <c r="LT41" s="450">
        <v>26.22</v>
      </c>
      <c r="LU41" s="1">
        <v>0.91666666666666663</v>
      </c>
      <c r="LV41" s="450">
        <v>17.61</v>
      </c>
      <c r="LW41" s="1">
        <v>0.875</v>
      </c>
      <c r="LX41" s="450">
        <v>-3.7099999999999991</v>
      </c>
      <c r="LY41" s="1">
        <v>0.5</v>
      </c>
      <c r="LZ41" s="450">
        <v>-30.449999999999996</v>
      </c>
      <c r="MA41" s="1">
        <v>0.5</v>
      </c>
      <c r="MB41" s="450">
        <v>-4.2799999999999994</v>
      </c>
      <c r="MC41" s="1">
        <v>0.6</v>
      </c>
      <c r="MD41" s="450"/>
      <c r="ME41" s="1"/>
      <c r="MF41" s="450">
        <v>-1.7499999999999996</v>
      </c>
      <c r="MG41" s="1">
        <v>0.66666666666666663</v>
      </c>
      <c r="MH41" s="450">
        <v>-20.350000000000001</v>
      </c>
      <c r="MI41" s="1">
        <v>0.33333333333333331</v>
      </c>
      <c r="MJ41" s="450">
        <v>-14.81</v>
      </c>
      <c r="MK41" s="1">
        <v>0.5</v>
      </c>
      <c r="ML41" s="450">
        <v>6.1499999999999986</v>
      </c>
      <c r="MM41" s="1">
        <v>0.8</v>
      </c>
      <c r="MN41" s="450">
        <v>-22.32</v>
      </c>
      <c r="MO41" s="1">
        <v>0.5</v>
      </c>
      <c r="MP41" s="450">
        <v>-30.280000000000008</v>
      </c>
      <c r="MQ41" s="1">
        <v>0.54545454545454541</v>
      </c>
      <c r="MR41" s="450">
        <v>-40.38000000000001</v>
      </c>
      <c r="MS41" s="1">
        <v>0.5</v>
      </c>
      <c r="MT41" s="450">
        <v>16.620000000000005</v>
      </c>
      <c r="MU41" s="1">
        <v>0.83333333333333337</v>
      </c>
      <c r="MV41" s="450">
        <v>-5.860000000000003</v>
      </c>
      <c r="MW41" s="1">
        <v>0.7</v>
      </c>
      <c r="MX41" s="450">
        <v>-7.1199999999999992</v>
      </c>
      <c r="MY41" s="1">
        <v>0.66666666666666663</v>
      </c>
      <c r="MZ41" s="450">
        <v>-13.709999999999999</v>
      </c>
      <c r="NA41" s="1">
        <v>0.6</v>
      </c>
      <c r="NB41" s="450">
        <v>9.4700000000000006</v>
      </c>
      <c r="NC41" s="1">
        <v>0.81818181818181823</v>
      </c>
      <c r="ND41" s="450"/>
      <c r="NE41" s="1"/>
      <c r="NF41" s="450">
        <v>22.160000000000004</v>
      </c>
      <c r="NG41" s="1">
        <v>0.83333333333333337</v>
      </c>
      <c r="NH41" s="450">
        <v>22.160000000000004</v>
      </c>
      <c r="NI41" s="1">
        <v>0.83333333333333337</v>
      </c>
      <c r="NJ41" s="450">
        <v>-0.44999999999999885</v>
      </c>
      <c r="NK41" s="1">
        <v>0.75</v>
      </c>
      <c r="NL41" s="450">
        <v>2.3500000000000005</v>
      </c>
      <c r="NM41" s="1">
        <v>0.76923076923076927</v>
      </c>
      <c r="NN41" s="450"/>
      <c r="NO41" s="1"/>
      <c r="NP41" s="450">
        <v>-13.77</v>
      </c>
      <c r="NQ41" s="1">
        <v>0.625</v>
      </c>
      <c r="NR41" s="450">
        <v>-9.3899999999999988</v>
      </c>
      <c r="NS41" s="1">
        <v>0.63636363636363635</v>
      </c>
      <c r="NT41" s="450">
        <v>9.259999999999998</v>
      </c>
      <c r="NU41" s="1">
        <v>0.8571428571428571</v>
      </c>
      <c r="NV41" s="450">
        <v>2.0999999999999988</v>
      </c>
      <c r="NW41" s="1">
        <v>0.66666666666666663</v>
      </c>
      <c r="NX41" s="450">
        <v>-2.0999999999999996</v>
      </c>
      <c r="NY41" s="1">
        <v>0.66666666666666663</v>
      </c>
      <c r="NZ41" s="450">
        <v>-15.160000000000002</v>
      </c>
      <c r="OA41" s="1">
        <v>0.4</v>
      </c>
      <c r="OB41" s="450">
        <v>1.04</v>
      </c>
      <c r="OC41" s="1">
        <v>0.5</v>
      </c>
      <c r="OD41" s="450">
        <v>-27.110000000000003</v>
      </c>
      <c r="OE41" s="1">
        <v>0.44444444444444442</v>
      </c>
      <c r="OF41" s="450">
        <v>-30.310000000000002</v>
      </c>
      <c r="OG41" s="1">
        <v>0.44444444444444442</v>
      </c>
      <c r="OH41" s="450">
        <v>-7.2900000000000009</v>
      </c>
      <c r="OI41" s="1">
        <v>0.66666666666666663</v>
      </c>
      <c r="OJ41" s="450"/>
      <c r="OK41" s="1"/>
      <c r="OL41" s="450">
        <v>-16.869999999999997</v>
      </c>
      <c r="OM41" s="1">
        <v>0.61538461538461542</v>
      </c>
      <c r="ON41" s="450">
        <v>-11.97</v>
      </c>
      <c r="OO41" s="1">
        <v>0.69230769230769229</v>
      </c>
      <c r="OP41" s="450">
        <v>-26.999999999999989</v>
      </c>
      <c r="OQ41" s="1">
        <v>0.61538461538461542</v>
      </c>
      <c r="OR41" s="450">
        <v>-10.52</v>
      </c>
      <c r="OS41" s="1">
        <v>0.69230769230769229</v>
      </c>
      <c r="OT41" s="450">
        <v>-35.340000000000003</v>
      </c>
      <c r="OU41" s="1">
        <v>0.53846153846153844</v>
      </c>
      <c r="OV41" s="450"/>
      <c r="OW41" s="1"/>
      <c r="OX41" s="450">
        <v>-60.180000000000007</v>
      </c>
      <c r="OY41" s="1">
        <v>0.30769230769230771</v>
      </c>
      <c r="OZ41" s="450">
        <v>-42.670000000000016</v>
      </c>
      <c r="PA41" s="1">
        <v>0.42857142857142855</v>
      </c>
      <c r="PB41" s="450">
        <v>36.780000000000015</v>
      </c>
      <c r="PC41" s="1">
        <v>0.92307692307692313</v>
      </c>
      <c r="PD41" s="450">
        <v>-14.400000000000002</v>
      </c>
      <c r="PE41" s="1">
        <v>0.69230769230769229</v>
      </c>
      <c r="PF41" s="450">
        <v>-9.7499999999999982</v>
      </c>
      <c r="PG41" s="1">
        <v>0.69230769230769229</v>
      </c>
      <c r="PH41" s="450">
        <v>12.040000000000001</v>
      </c>
      <c r="PI41" s="1">
        <v>0.84615384615384615</v>
      </c>
      <c r="PJ41" s="450"/>
      <c r="PK41" s="1"/>
      <c r="PL41" s="450"/>
      <c r="PM41" s="1"/>
      <c r="PN41" s="450">
        <v>-7.3199999999999994</v>
      </c>
      <c r="PO41" s="1">
        <v>0.66666666666666663</v>
      </c>
      <c r="PP41" s="450">
        <v>-18.370000000000005</v>
      </c>
      <c r="PQ41" s="1">
        <v>0.58333333333333337</v>
      </c>
      <c r="PR41" s="450"/>
      <c r="PS41" s="1"/>
      <c r="PT41" s="450">
        <v>-22.580000000000002</v>
      </c>
      <c r="PU41" s="1">
        <v>0.61538461538461542</v>
      </c>
      <c r="PV41" s="450">
        <v>-52.79</v>
      </c>
      <c r="PW41" s="1">
        <v>0.46153846153846156</v>
      </c>
      <c r="PX41" s="450">
        <v>-9.27</v>
      </c>
      <c r="PY41" s="1">
        <v>0.7142857142857143</v>
      </c>
      <c r="PZ41" s="450">
        <v>-18.869999999999994</v>
      </c>
      <c r="QA41" s="1">
        <v>0.58333333333333337</v>
      </c>
      <c r="QB41" s="450">
        <v>-37.769999999999996</v>
      </c>
      <c r="QC41" s="1">
        <v>0.53846153846153844</v>
      </c>
      <c r="QD41" s="450">
        <v>2.3400000000000007</v>
      </c>
      <c r="QE41" s="1">
        <v>0.76923076923076927</v>
      </c>
      <c r="QF41" s="450">
        <v>-27.840000000000003</v>
      </c>
      <c r="QG41" s="1">
        <v>0.53846153846153844</v>
      </c>
      <c r="QH41" s="450">
        <v>12.830000000000002</v>
      </c>
      <c r="QI41" s="1">
        <v>0.76923076923076927</v>
      </c>
      <c r="QJ41" s="450">
        <v>-59.730000000000004</v>
      </c>
      <c r="QK41" s="1">
        <v>0.30769230769230771</v>
      </c>
      <c r="QL41" s="450">
        <v>9.3999999999999986</v>
      </c>
      <c r="QM41" s="1">
        <v>0.7857142857142857</v>
      </c>
      <c r="QN41" s="450">
        <v>-16.509999999999998</v>
      </c>
      <c r="QO41" s="1">
        <v>0.46153846153846156</v>
      </c>
      <c r="QP41" s="450">
        <v>2.0100000000000002</v>
      </c>
      <c r="QQ41" s="1">
        <v>0.76923076923076927</v>
      </c>
      <c r="QR41" s="450">
        <v>-17.500000000000004</v>
      </c>
      <c r="QS41" s="1">
        <v>0.61538461538461542</v>
      </c>
      <c r="QT41" s="450"/>
      <c r="QU41" s="1"/>
      <c r="QV41" s="450">
        <v>1.85</v>
      </c>
      <c r="QW41" s="1">
        <v>0.5714285714285714</v>
      </c>
      <c r="QX41" s="450">
        <v>-19.059999999999999</v>
      </c>
      <c r="QY41" s="1">
        <v>0.33333333333333331</v>
      </c>
      <c r="QZ41" s="450"/>
      <c r="RA41" s="1"/>
      <c r="RB41" s="450">
        <v>-15.060000000000002</v>
      </c>
      <c r="RC41" s="1">
        <v>0.53846153846153844</v>
      </c>
      <c r="RD41" s="450">
        <v>-45.98</v>
      </c>
      <c r="RE41" s="1">
        <v>0.35714285714285715</v>
      </c>
      <c r="RF41" s="450">
        <v>-28.880000000000003</v>
      </c>
      <c r="RG41" s="1">
        <v>0.30769230769230771</v>
      </c>
      <c r="RH41" s="450">
        <v>-23.549999999999997</v>
      </c>
      <c r="RI41" s="1">
        <v>0.5</v>
      </c>
      <c r="RJ41" s="450">
        <v>-12.710000000000004</v>
      </c>
      <c r="RK41" s="1">
        <v>0.6428571428571429</v>
      </c>
      <c r="RL41" s="450">
        <v>-8.14</v>
      </c>
      <c r="RM41" s="1">
        <v>0.6428571428571429</v>
      </c>
      <c r="RN41" s="450">
        <v>-5.8500000000000014</v>
      </c>
      <c r="RO41" s="1">
        <v>0.69230769230769229</v>
      </c>
      <c r="RP41" s="450">
        <v>5.9999999999998832E-2</v>
      </c>
      <c r="RQ41" s="1">
        <v>0.58333333333333337</v>
      </c>
      <c r="RR41" s="450">
        <v>-34.619999999999997</v>
      </c>
      <c r="RS41" s="1">
        <v>0.5714285714285714</v>
      </c>
      <c r="RT41" s="450">
        <v>38.11</v>
      </c>
      <c r="RU41" s="1">
        <v>0.9285714285714286</v>
      </c>
      <c r="RV41" s="450">
        <v>-39</v>
      </c>
      <c r="RW41" s="1">
        <v>0.42857142857142855</v>
      </c>
      <c r="RX41" s="450">
        <v>-19.900000000000002</v>
      </c>
      <c r="RY41" s="1">
        <v>0.53846153846153844</v>
      </c>
      <c r="RZ41" s="450">
        <v>-56.94</v>
      </c>
      <c r="SA41" s="1">
        <v>0.38461538461538464</v>
      </c>
      <c r="SB41" s="450">
        <v>2.5399999999999991</v>
      </c>
      <c r="SC41" s="1">
        <v>0.76923076923076927</v>
      </c>
      <c r="SD41" s="450">
        <v>-7.1300000000000017</v>
      </c>
      <c r="SE41" s="1">
        <v>0.5714285714285714</v>
      </c>
      <c r="SF41" s="450"/>
      <c r="SG41" s="1"/>
      <c r="SH41" s="450">
        <v>-15.170000000000002</v>
      </c>
      <c r="SI41" s="1">
        <v>0.61538461538461542</v>
      </c>
      <c r="SJ41" s="452">
        <v>3.2900000000000023</v>
      </c>
      <c r="SK41" s="1">
        <v>0.7142857142857143</v>
      </c>
      <c r="SL41" s="457">
        <v>-28.73</v>
      </c>
      <c r="SM41" s="1">
        <v>0.42857142857142855</v>
      </c>
      <c r="SN41" s="459">
        <v>-12.759999999999996</v>
      </c>
      <c r="SO41" s="1">
        <v>0.53846153846153844</v>
      </c>
      <c r="SP41" s="461">
        <v>-24.62</v>
      </c>
      <c r="SQ41" s="1">
        <v>0.46153846153846156</v>
      </c>
      <c r="SR41" s="463">
        <v>-17.870000000000005</v>
      </c>
      <c r="SS41" s="1">
        <v>0.5</v>
      </c>
      <c r="ST41" s="464">
        <v>30.580000000000002</v>
      </c>
      <c r="SU41" s="1">
        <v>0.8571428571428571</v>
      </c>
      <c r="SV41" s="466">
        <v>-35.239999999999995</v>
      </c>
      <c r="SW41" s="1">
        <v>0.38461538461538464</v>
      </c>
      <c r="SX41" s="467"/>
      <c r="SY41" s="1"/>
      <c r="SZ41" s="469">
        <v>-37.709999999999994</v>
      </c>
      <c r="TA41" s="1">
        <v>0.33333333333333331</v>
      </c>
      <c r="TB41" s="471">
        <v>-15.760000000000002</v>
      </c>
      <c r="TC41" s="1">
        <v>0.53846153846153844</v>
      </c>
      <c r="TD41" s="472">
        <v>-3.9099999999999966</v>
      </c>
      <c r="TE41" s="1">
        <v>0.61538461538461542</v>
      </c>
      <c r="TF41" s="474">
        <v>8.5699999999999967</v>
      </c>
      <c r="TG41" s="1">
        <v>0.7142857142857143</v>
      </c>
      <c r="TH41" s="488">
        <v>1.3400000000000023</v>
      </c>
      <c r="TI41" s="1">
        <v>0.5714285714285714</v>
      </c>
      <c r="TJ41" s="489">
        <v>8.27</v>
      </c>
      <c r="TK41" s="1">
        <v>0.76923076923076927</v>
      </c>
      <c r="TL41" s="490">
        <v>-8.8699999999999974</v>
      </c>
      <c r="TM41" s="1">
        <v>0.6428571428571429</v>
      </c>
      <c r="TN41" s="495"/>
      <c r="TO41" s="1"/>
      <c r="TP41" s="500">
        <v>-25.740000000000002</v>
      </c>
      <c r="TQ41" s="1">
        <v>0.46153846153846156</v>
      </c>
      <c r="TR41" s="511">
        <v>-19.14</v>
      </c>
      <c r="TS41" s="1">
        <v>0.61538461538461542</v>
      </c>
      <c r="TT41" s="515">
        <v>-18.240000000000002</v>
      </c>
      <c r="TU41" s="1">
        <v>0.61538461538461542</v>
      </c>
      <c r="TV41" s="518">
        <v>-31.439999999999998</v>
      </c>
      <c r="TW41" s="1">
        <v>0.5</v>
      </c>
      <c r="TX41" s="521">
        <v>-1.2899999999999996</v>
      </c>
      <c r="TY41" s="1">
        <v>0.69230769230769229</v>
      </c>
      <c r="TZ41" s="524">
        <v>18.610000000000003</v>
      </c>
      <c r="UA41" s="1">
        <v>0.84615384615384615</v>
      </c>
      <c r="UB41" s="527">
        <v>29.339999999999996</v>
      </c>
      <c r="UC41" s="1">
        <v>0.9285714285714286</v>
      </c>
      <c r="UD41" s="530">
        <v>-32.659999999999997</v>
      </c>
      <c r="UE41" s="1">
        <v>0.5714285714285714</v>
      </c>
      <c r="UF41" s="533">
        <v>11.460000000000004</v>
      </c>
      <c r="UG41" s="1">
        <v>0.7857142857142857</v>
      </c>
      <c r="UH41" s="536">
        <v>19.71</v>
      </c>
      <c r="UI41" s="1">
        <v>0.8571428571428571</v>
      </c>
      <c r="UJ41" s="539">
        <v>-29.269999999999996</v>
      </c>
      <c r="UK41" s="1">
        <v>0.5714285714285714</v>
      </c>
      <c r="UL41" s="540">
        <v>-4.0300000000000029</v>
      </c>
      <c r="UM41" s="1">
        <v>0.7142857142857143</v>
      </c>
      <c r="UN41" s="543">
        <v>5.81</v>
      </c>
      <c r="UO41" s="1">
        <v>0.6428571428571429</v>
      </c>
      <c r="UP41" s="544">
        <v>-1.300000000000004</v>
      </c>
      <c r="UQ41" s="1">
        <v>0.5714285714285714</v>
      </c>
      <c r="UR41" s="551">
        <v>-26.740000000000006</v>
      </c>
      <c r="US41" s="1">
        <v>0.5714285714285714</v>
      </c>
      <c r="UT41" s="551">
        <v>40.490000000000009</v>
      </c>
      <c r="UU41" s="1">
        <v>1</v>
      </c>
      <c r="UV41" s="562">
        <v>-56.79</v>
      </c>
      <c r="UW41" s="1">
        <v>0.30769230769230771</v>
      </c>
      <c r="UX41" s="566">
        <v>-22.25</v>
      </c>
      <c r="UY41" s="1">
        <v>0.2857142857142857</v>
      </c>
      <c r="UZ41" s="568"/>
      <c r="VA41" s="1"/>
      <c r="VB41" s="572">
        <v>3.4999999999999996</v>
      </c>
      <c r="VC41" s="1">
        <v>0.7142857142857143</v>
      </c>
      <c r="VD41" s="576">
        <v>18.39</v>
      </c>
      <c r="VE41" s="1">
        <v>0.6428571428571429</v>
      </c>
      <c r="VF41" s="580">
        <v>12.690000000000001</v>
      </c>
      <c r="VG41" s="1">
        <v>0.7142857142857143</v>
      </c>
      <c r="VH41" s="584">
        <v>-22.919999999999995</v>
      </c>
      <c r="VI41" s="1">
        <v>0.53846153846153844</v>
      </c>
      <c r="VJ41" s="589">
        <v>19.800000000000004</v>
      </c>
      <c r="VK41" s="1">
        <v>0.8571428571428571</v>
      </c>
      <c r="VL41" s="593">
        <v>-26.250000000000004</v>
      </c>
      <c r="VM41" s="1">
        <v>0.5</v>
      </c>
      <c r="VN41" s="597">
        <v>-42.27000000000001</v>
      </c>
      <c r="VO41" s="1">
        <v>0.35714285714285715</v>
      </c>
      <c r="VP41" s="601">
        <v>-0.37999999999999412</v>
      </c>
      <c r="VQ41" s="1">
        <v>0.7142857142857143</v>
      </c>
      <c r="VR41" s="603"/>
      <c r="VS41" s="1"/>
      <c r="VT41" s="607">
        <v>-20.450000000000003</v>
      </c>
      <c r="VU41" s="1">
        <v>0.5714285714285714</v>
      </c>
      <c r="VV41" s="609">
        <v>23.830000000000002</v>
      </c>
      <c r="VW41" s="1">
        <v>0.7857142857142857</v>
      </c>
      <c r="VX41" s="613">
        <v>-22.42</v>
      </c>
      <c r="VY41" s="1">
        <v>0.5714285714285714</v>
      </c>
      <c r="VZ41" s="617">
        <v>4.370000000000001</v>
      </c>
      <c r="WA41" s="1">
        <v>0.5</v>
      </c>
      <c r="WB41" s="619">
        <v>-7.1799999999999962</v>
      </c>
      <c r="WC41" s="1">
        <v>0.7142857142857143</v>
      </c>
      <c r="WD41" s="624">
        <v>-38.789999999999992</v>
      </c>
      <c r="WE41" s="1">
        <v>0.5</v>
      </c>
      <c r="WF41" s="626">
        <v>-49.74</v>
      </c>
      <c r="WG41" s="1">
        <v>0.5</v>
      </c>
      <c r="WH41" s="630">
        <v>-11.469999999999999</v>
      </c>
      <c r="WI41" s="1">
        <v>0.6428571428571429</v>
      </c>
      <c r="WJ41" s="636">
        <v>-3.139999999999997</v>
      </c>
      <c r="WK41" s="1">
        <v>0.7142857142857143</v>
      </c>
      <c r="WL41" s="638">
        <v>-8.5899999999999963</v>
      </c>
      <c r="WM41" s="1">
        <v>0.46153846153846156</v>
      </c>
      <c r="WN41" s="642">
        <v>2.6100000000000012</v>
      </c>
      <c r="WO41" s="1">
        <v>0.5714285714285714</v>
      </c>
      <c r="WP41" s="646">
        <v>-18.939999999999998</v>
      </c>
      <c r="WQ41" s="1">
        <v>0.5714285714285714</v>
      </c>
      <c r="WR41" s="652">
        <v>-11.37</v>
      </c>
      <c r="WS41" s="1">
        <v>0.6428571428571429</v>
      </c>
      <c r="WT41" s="659">
        <v>-38</v>
      </c>
      <c r="WU41" s="1">
        <v>0.42857142857142855</v>
      </c>
      <c r="WV41" s="659">
        <v>-24.320000000000004</v>
      </c>
      <c r="WW41" s="1">
        <v>0.5714285714285714</v>
      </c>
      <c r="WX41" s="672">
        <v>-2.66</v>
      </c>
      <c r="WY41" s="1">
        <v>0.6428571428571429</v>
      </c>
      <c r="WZ41" s="677">
        <v>35.339999999999996</v>
      </c>
      <c r="XA41" s="1">
        <v>0.9285714285714286</v>
      </c>
      <c r="XB41" s="681">
        <v>-15.659999999999998</v>
      </c>
      <c r="XC41" s="1">
        <v>0.6428571428571429</v>
      </c>
      <c r="XD41" s="683"/>
      <c r="XE41" s="1"/>
      <c r="XF41" s="687">
        <v>9.9999999999997868E-2</v>
      </c>
      <c r="XG41" s="1">
        <v>0.6428571428571429</v>
      </c>
      <c r="XH41" s="689">
        <v>2.9800000000000004</v>
      </c>
      <c r="XI41" s="1">
        <v>0.7142857142857143</v>
      </c>
      <c r="XJ41" s="696">
        <v>32.879999999999995</v>
      </c>
      <c r="XK41" s="1">
        <v>0.9285714285714286</v>
      </c>
      <c r="XL41" s="696">
        <v>-51.959999999999994</v>
      </c>
      <c r="XM41" s="1">
        <v>0.42857142857142855</v>
      </c>
      <c r="XN41" s="696">
        <v>-63.430000000000007</v>
      </c>
      <c r="XO41" s="1">
        <v>0.5357142857142857</v>
      </c>
      <c r="XP41" s="700">
        <v>2.4700000000000042</v>
      </c>
      <c r="XQ41" s="1">
        <v>0.5714285714285714</v>
      </c>
      <c r="XR41" s="705">
        <v>-13.27</v>
      </c>
      <c r="XS41" s="1">
        <v>0.6071428571428571</v>
      </c>
      <c r="XT41" s="709">
        <v>-43.1</v>
      </c>
      <c r="XU41" s="1">
        <v>0.42857142857142855</v>
      </c>
      <c r="XV41" s="715">
        <v>-27.220000000000002</v>
      </c>
      <c r="XW41" s="1">
        <v>0.5</v>
      </c>
    </row>
    <row r="42" spans="2:647" x14ac:dyDescent="0.25">
      <c r="B42" s="755"/>
      <c r="C42" s="745"/>
      <c r="D42" s="725" t="s">
        <v>24</v>
      </c>
      <c r="E42" s="725"/>
      <c r="F42" s="449">
        <v>0.5</v>
      </c>
      <c r="G42" s="769"/>
      <c r="H42" s="4"/>
      <c r="I42" s="5"/>
      <c r="J42" s="4"/>
      <c r="K42" s="5"/>
      <c r="L42" s="4"/>
      <c r="M42" s="5"/>
      <c r="N42" s="4"/>
      <c r="O42" s="5"/>
      <c r="P42" s="4"/>
      <c r="Q42" s="5"/>
      <c r="R42" s="4"/>
      <c r="S42" s="5"/>
      <c r="T42" s="4"/>
      <c r="U42" s="5"/>
      <c r="V42" s="4"/>
      <c r="W42" s="5"/>
      <c r="X42" s="4"/>
      <c r="Y42" s="5"/>
      <c r="Z42" s="4"/>
      <c r="AA42" s="5"/>
      <c r="AB42" s="4"/>
      <c r="AC42" s="5"/>
      <c r="AD42" s="4"/>
      <c r="AE42" s="5"/>
      <c r="AF42" s="4"/>
      <c r="AG42" s="5"/>
      <c r="AH42" s="4"/>
      <c r="AI42" s="5"/>
      <c r="AJ42" s="4"/>
      <c r="AK42" s="5"/>
      <c r="AL42" s="4"/>
      <c r="AM42" s="5"/>
      <c r="AN42" s="4"/>
      <c r="AO42" s="5"/>
      <c r="AP42" s="4"/>
      <c r="AQ42" s="5"/>
      <c r="AR42" s="4"/>
      <c r="AS42" s="5"/>
      <c r="AT42" s="4"/>
      <c r="AU42" s="5"/>
      <c r="AV42" s="4"/>
      <c r="AW42" s="5"/>
      <c r="AX42" s="4"/>
      <c r="AY42" s="5"/>
      <c r="AZ42" s="4"/>
      <c r="BA42" s="5"/>
      <c r="BB42" s="4"/>
      <c r="BC42" s="5"/>
      <c r="BD42" s="4"/>
      <c r="BE42" s="5"/>
      <c r="BF42" s="4">
        <v>-4.9336363636363645</v>
      </c>
      <c r="BG42" s="5">
        <v>0.33333333333333331</v>
      </c>
      <c r="BH42" s="4"/>
      <c r="BI42" s="5"/>
      <c r="BJ42" s="4">
        <v>-4.918181818181818</v>
      </c>
      <c r="BK42" s="5">
        <v>0.42857142857142855</v>
      </c>
      <c r="BL42" s="4">
        <v>-1.092727272727273</v>
      </c>
      <c r="BM42" s="5">
        <v>0.58333333333333337</v>
      </c>
      <c r="BN42" s="4"/>
      <c r="BO42" s="5"/>
      <c r="BP42" s="4">
        <v>0.81090909090909091</v>
      </c>
      <c r="BQ42" s="5">
        <v>1</v>
      </c>
      <c r="BR42" s="4">
        <v>-9.1563636363636363</v>
      </c>
      <c r="BS42" s="5">
        <v>0.25</v>
      </c>
      <c r="BT42" s="4"/>
      <c r="BU42" s="5"/>
      <c r="BV42" s="4">
        <v>1.5727272727272725</v>
      </c>
      <c r="BW42" s="5">
        <v>1</v>
      </c>
      <c r="BX42" s="4">
        <v>0.55636363636363628</v>
      </c>
      <c r="BY42" s="5">
        <v>0.5</v>
      </c>
      <c r="BZ42" s="4">
        <v>-0.49181818181818143</v>
      </c>
      <c r="CA42" s="5">
        <v>0.42857142857142855</v>
      </c>
      <c r="CB42" s="4">
        <v>2.352727272727273</v>
      </c>
      <c r="CC42" s="5">
        <v>0.69230769230769229</v>
      </c>
      <c r="CD42" s="4">
        <v>2.3645454545454547</v>
      </c>
      <c r="CE42" s="5">
        <v>0.8</v>
      </c>
      <c r="CF42" s="4">
        <v>-4.5200000000000005</v>
      </c>
      <c r="CG42" s="5">
        <v>0.375</v>
      </c>
      <c r="CH42" s="4">
        <v>1.1527272727272726</v>
      </c>
      <c r="CI42" s="5">
        <v>0.53846153846153844</v>
      </c>
      <c r="CJ42" s="4"/>
      <c r="CK42" s="5"/>
      <c r="CL42" s="4">
        <v>1.69</v>
      </c>
      <c r="CM42" s="5">
        <v>1</v>
      </c>
      <c r="CN42" s="4">
        <v>1.5663636363636364</v>
      </c>
      <c r="CO42" s="5">
        <v>1</v>
      </c>
      <c r="CP42" s="4">
        <v>2.7809090909090908</v>
      </c>
      <c r="CQ42" s="5">
        <v>0.7142857142857143</v>
      </c>
      <c r="CR42" s="4">
        <v>1.570909090909091</v>
      </c>
      <c r="CS42" s="5">
        <v>1</v>
      </c>
      <c r="CT42" s="4">
        <v>0.80727272727272736</v>
      </c>
      <c r="CU42" s="5">
        <v>1</v>
      </c>
      <c r="CV42" s="4">
        <v>-6.6109090909090904</v>
      </c>
      <c r="CW42" s="5">
        <v>0.33333333333333331</v>
      </c>
      <c r="CX42" s="4">
        <v>-6.2309090909090905</v>
      </c>
      <c r="CY42" s="5">
        <v>0.5</v>
      </c>
      <c r="CZ42" s="4">
        <v>2.8499999999999996</v>
      </c>
      <c r="DA42" s="5">
        <v>0.83333333333333337</v>
      </c>
      <c r="DB42" s="4">
        <v>-0.95818181818181813</v>
      </c>
      <c r="DC42" s="5">
        <v>0.625</v>
      </c>
      <c r="DD42" s="4">
        <v>9.9999999999999482E-3</v>
      </c>
      <c r="DE42" s="5">
        <v>0.5</v>
      </c>
      <c r="DF42" s="4">
        <v>-5.7018181818181821</v>
      </c>
      <c r="DG42" s="5">
        <v>0.58333333333333337</v>
      </c>
      <c r="DH42" s="4">
        <v>-3.7381818181818187</v>
      </c>
      <c r="DI42" s="5">
        <v>0.5</v>
      </c>
      <c r="DJ42" s="4">
        <v>4.2636363636363646</v>
      </c>
      <c r="DK42" s="5">
        <v>1</v>
      </c>
      <c r="DL42" s="4">
        <v>0.66909090909090885</v>
      </c>
      <c r="DM42" s="5">
        <v>0.7</v>
      </c>
      <c r="DN42" s="4">
        <v>-4.6763636363636358</v>
      </c>
      <c r="DO42" s="5">
        <v>0.4</v>
      </c>
      <c r="DP42" s="4"/>
      <c r="DQ42" s="5"/>
      <c r="DR42" s="4">
        <v>3.6109090909090913</v>
      </c>
      <c r="DS42" s="5">
        <v>1</v>
      </c>
      <c r="DT42" s="4">
        <v>3.6109090909090913</v>
      </c>
      <c r="DU42" s="5">
        <v>1</v>
      </c>
      <c r="DV42" s="4">
        <v>3.3490909090909096</v>
      </c>
      <c r="DW42" s="5">
        <v>0.7</v>
      </c>
      <c r="DX42" s="4">
        <v>0.75363636363636355</v>
      </c>
      <c r="DY42" s="5">
        <v>0.6</v>
      </c>
      <c r="DZ42" s="4">
        <v>2.3590909090909089</v>
      </c>
      <c r="EA42" s="5">
        <v>0.77777777777777779</v>
      </c>
      <c r="EB42" s="4">
        <v>-8.33</v>
      </c>
      <c r="EC42" s="5">
        <v>0.25</v>
      </c>
      <c r="ED42" s="4">
        <v>1.3109090909090908</v>
      </c>
      <c r="EE42" s="5">
        <v>0.66666666666666663</v>
      </c>
      <c r="EF42" s="4">
        <v>5.7000000000000011</v>
      </c>
      <c r="EG42" s="5">
        <v>1</v>
      </c>
      <c r="EH42" s="4">
        <v>-1.5518181818181815</v>
      </c>
      <c r="EI42" s="5">
        <v>0.6</v>
      </c>
      <c r="EJ42" s="4">
        <v>-3.3554545454545459</v>
      </c>
      <c r="EK42" s="5">
        <v>0.5</v>
      </c>
      <c r="EL42" s="4">
        <v>-0.53727272727272712</v>
      </c>
      <c r="EM42" s="5">
        <v>0.42857142857142855</v>
      </c>
      <c r="EN42" s="4">
        <v>3.7854545454545456</v>
      </c>
      <c r="EO42" s="5">
        <v>0.77777777777777779</v>
      </c>
      <c r="EP42" s="4">
        <v>-7.3454545454545448</v>
      </c>
      <c r="EQ42" s="5">
        <v>0.2857142857142857</v>
      </c>
      <c r="ER42" s="4">
        <v>-1.2381818181818181</v>
      </c>
      <c r="ES42" s="5">
        <v>0.42857142857142855</v>
      </c>
      <c r="ET42" s="4">
        <v>3.7854545454545456</v>
      </c>
      <c r="EU42" s="5">
        <v>0.77777777777777779</v>
      </c>
      <c r="EV42" s="4">
        <v>-7.3454545454545448</v>
      </c>
      <c r="EW42" s="5">
        <v>0.2857142857142857</v>
      </c>
      <c r="EX42" s="4">
        <v>-1.2381818181818181</v>
      </c>
      <c r="EY42" s="5">
        <v>0.42857142857142855</v>
      </c>
      <c r="EZ42" s="4"/>
      <c r="FA42" s="5"/>
      <c r="FB42" s="4">
        <v>16.14</v>
      </c>
      <c r="FC42" s="5">
        <v>1</v>
      </c>
      <c r="FD42" s="4">
        <v>12.969999999999997</v>
      </c>
      <c r="FE42" s="5">
        <v>0.72727272727272729</v>
      </c>
      <c r="FF42" s="4">
        <v>-7.1199999999999983</v>
      </c>
      <c r="FG42" s="5">
        <v>0.55555555555555558</v>
      </c>
      <c r="FH42" s="4">
        <v>1.7700000000000031</v>
      </c>
      <c r="FI42" s="5">
        <v>0.55555555555555558</v>
      </c>
      <c r="FJ42" s="4">
        <v>0.16999999999999993</v>
      </c>
      <c r="FK42" s="5">
        <v>0.5714285714285714</v>
      </c>
      <c r="FL42" s="4">
        <v>3.8699999999999992</v>
      </c>
      <c r="FM42" s="5">
        <v>0.8</v>
      </c>
      <c r="FN42" s="4">
        <v>-53.800000000000004</v>
      </c>
      <c r="FO42" s="5">
        <v>0.2</v>
      </c>
      <c r="FP42" s="4">
        <v>15.030000000000001</v>
      </c>
      <c r="FQ42" s="5">
        <v>0.72727272727272729</v>
      </c>
      <c r="FR42" s="4">
        <v>6.8100000000000023</v>
      </c>
      <c r="FS42" s="5">
        <v>0.66666666666666663</v>
      </c>
      <c r="FT42" s="4">
        <v>-16.84</v>
      </c>
      <c r="FU42" s="5">
        <v>0.54545454545454541</v>
      </c>
      <c r="FV42" s="4">
        <v>17.430000000000003</v>
      </c>
      <c r="FW42" s="5">
        <v>0.77777777777777779</v>
      </c>
      <c r="FX42" s="4">
        <v>8.18</v>
      </c>
      <c r="FY42" s="5">
        <v>1</v>
      </c>
      <c r="FZ42" s="4">
        <v>-3.62</v>
      </c>
      <c r="GA42" s="5">
        <v>0.4</v>
      </c>
      <c r="GB42" s="4">
        <v>23.369999999999997</v>
      </c>
      <c r="GC42" s="5">
        <v>0.77777777777777779</v>
      </c>
      <c r="GD42" s="4">
        <v>-26.779999999999998</v>
      </c>
      <c r="GE42" s="5">
        <v>0.42857142857142855</v>
      </c>
      <c r="GF42" s="4">
        <v>11.870000000000003</v>
      </c>
      <c r="GG42" s="5">
        <v>0.77777777777777779</v>
      </c>
      <c r="GH42" s="4">
        <v>6.95</v>
      </c>
      <c r="GI42" s="5">
        <v>0.8</v>
      </c>
      <c r="GJ42" s="4">
        <v>15.829999999999998</v>
      </c>
      <c r="GK42" s="5">
        <v>0.7142857142857143</v>
      </c>
      <c r="GL42" s="4">
        <v>10.549999999999997</v>
      </c>
      <c r="GM42" s="5">
        <v>0.66666666666666663</v>
      </c>
      <c r="GN42" s="4"/>
      <c r="GO42" s="5"/>
      <c r="GP42" s="4">
        <v>15.079999999999998</v>
      </c>
      <c r="GQ42" s="5">
        <v>0.8571428571428571</v>
      </c>
      <c r="GR42" s="4">
        <v>-17.759999999999998</v>
      </c>
      <c r="GS42" s="5">
        <v>0.4</v>
      </c>
      <c r="GT42" s="4">
        <v>20.289999999999996</v>
      </c>
      <c r="GU42" s="5">
        <v>0.66666666666666663</v>
      </c>
      <c r="GV42" s="4">
        <v>15.68</v>
      </c>
      <c r="GW42" s="5">
        <v>0.7142857142857143</v>
      </c>
      <c r="GX42" s="4">
        <v>18.88</v>
      </c>
      <c r="GY42" s="5">
        <v>0.66666666666666663</v>
      </c>
      <c r="GZ42" s="4"/>
      <c r="HA42" s="5"/>
      <c r="HB42" s="4">
        <v>14.879999999999999</v>
      </c>
      <c r="HC42" s="5">
        <v>0.75</v>
      </c>
      <c r="HD42" s="4">
        <v>15</v>
      </c>
      <c r="HE42" s="5">
        <v>0.75</v>
      </c>
      <c r="HF42" s="4">
        <v>-53.379999999999988</v>
      </c>
      <c r="HG42" s="5">
        <v>0.22222222222222221</v>
      </c>
      <c r="HH42" s="4">
        <v>-11.540000000000003</v>
      </c>
      <c r="HI42" s="5">
        <v>0.625</v>
      </c>
      <c r="HJ42" s="4">
        <v>-19.7</v>
      </c>
      <c r="HK42" s="5">
        <v>0.45454545454545453</v>
      </c>
      <c r="HL42" s="4">
        <v>-4.7300000000000013</v>
      </c>
      <c r="HM42" s="5">
        <v>0.625</v>
      </c>
      <c r="HN42" s="4">
        <v>21.919999999999998</v>
      </c>
      <c r="HO42" s="5">
        <v>0.72727272727272729</v>
      </c>
      <c r="HP42" s="4">
        <v>-11.52</v>
      </c>
      <c r="HQ42" s="5">
        <v>0.36363636363636365</v>
      </c>
      <c r="HR42" s="4">
        <v>4.17</v>
      </c>
      <c r="HS42" s="5">
        <v>0.6</v>
      </c>
      <c r="HT42" s="4">
        <v>-26.529999999999998</v>
      </c>
      <c r="HU42" s="5">
        <v>0.2857142857142857</v>
      </c>
      <c r="HV42" s="4">
        <v>-28.450000000000003</v>
      </c>
      <c r="HW42" s="5">
        <v>0.27272727272727271</v>
      </c>
      <c r="HX42" s="4"/>
      <c r="HY42" s="5"/>
      <c r="HZ42" s="4">
        <v>3.97</v>
      </c>
      <c r="IA42" s="5">
        <v>0.69230769230769229</v>
      </c>
      <c r="IB42" s="4">
        <v>-9.0399999999999991</v>
      </c>
      <c r="IC42" s="5">
        <v>0.58333333333333337</v>
      </c>
      <c r="ID42" s="4">
        <v>-47.07</v>
      </c>
      <c r="IE42" s="5">
        <v>0.25</v>
      </c>
      <c r="IF42" s="4">
        <v>-51.949999999999996</v>
      </c>
      <c r="IG42" s="5">
        <v>0.25</v>
      </c>
      <c r="IH42" s="4">
        <v>-60.379999999999995</v>
      </c>
      <c r="II42" s="5">
        <v>0</v>
      </c>
      <c r="IJ42" s="4">
        <v>-23.57</v>
      </c>
      <c r="IK42" s="5">
        <v>0.375</v>
      </c>
      <c r="IL42" s="4">
        <v>20.440000000000001</v>
      </c>
      <c r="IM42" s="5">
        <v>0.8</v>
      </c>
      <c r="IN42" s="4">
        <v>-13.15</v>
      </c>
      <c r="IO42" s="5">
        <v>0.4</v>
      </c>
      <c r="IP42" s="4">
        <v>-21.199999999999996</v>
      </c>
      <c r="IQ42" s="5">
        <v>0.45454545454545453</v>
      </c>
      <c r="IR42" s="4"/>
      <c r="IS42" s="5"/>
      <c r="IT42" s="4"/>
      <c r="IU42" s="5"/>
      <c r="IV42" s="4">
        <v>3.41</v>
      </c>
      <c r="IW42" s="5">
        <v>1</v>
      </c>
      <c r="IX42" s="4"/>
      <c r="IY42" s="5"/>
      <c r="IZ42" s="4"/>
      <c r="JA42" s="5"/>
      <c r="JB42" s="4"/>
      <c r="JC42" s="5"/>
      <c r="JD42" s="4">
        <v>12.01</v>
      </c>
      <c r="JE42" s="5">
        <v>1</v>
      </c>
      <c r="JF42" s="4">
        <v>3.6799999999999993</v>
      </c>
      <c r="JG42" s="5">
        <v>0.66666666666666663</v>
      </c>
      <c r="JH42" s="4">
        <v>5.4899999999999975</v>
      </c>
      <c r="JI42" s="5">
        <v>0.55555555555555558</v>
      </c>
      <c r="JJ42" s="4">
        <v>-12.840000000000002</v>
      </c>
      <c r="JK42" s="5">
        <v>0.42857142857142855</v>
      </c>
      <c r="JL42" s="4"/>
      <c r="JM42" s="5"/>
      <c r="JN42" s="4">
        <v>-36.339999999999996</v>
      </c>
      <c r="JO42" s="5">
        <v>0.25</v>
      </c>
      <c r="JP42" s="4">
        <v>-9.9700000000000006</v>
      </c>
      <c r="JQ42" s="5">
        <v>0.46153846153846156</v>
      </c>
      <c r="JR42" s="4">
        <v>5.07</v>
      </c>
      <c r="JS42" s="5">
        <v>0.66666666666666663</v>
      </c>
      <c r="JT42" s="4"/>
      <c r="JU42" s="5"/>
      <c r="JV42" s="4"/>
      <c r="JW42" s="5"/>
      <c r="JX42" s="4">
        <v>8.0500000000000007</v>
      </c>
      <c r="JY42" s="5">
        <v>1</v>
      </c>
      <c r="JZ42" s="4">
        <v>16.630000000000003</v>
      </c>
      <c r="KA42" s="5">
        <v>0.83333333333333337</v>
      </c>
      <c r="KB42" s="4">
        <v>12.24</v>
      </c>
      <c r="KC42" s="5">
        <v>1</v>
      </c>
      <c r="KD42" s="4">
        <v>13.99</v>
      </c>
      <c r="KE42" s="5">
        <v>1</v>
      </c>
      <c r="KF42" s="4">
        <v>1.5</v>
      </c>
      <c r="KG42" s="5">
        <v>0.5</v>
      </c>
      <c r="KH42" s="4">
        <v>31.489999999999995</v>
      </c>
      <c r="KI42" s="5">
        <v>0.81818181818181823</v>
      </c>
      <c r="KJ42" s="4">
        <v>7.35</v>
      </c>
      <c r="KK42" s="5">
        <v>0.66666666666666663</v>
      </c>
      <c r="KL42" s="4">
        <v>-2.25</v>
      </c>
      <c r="KM42" s="5">
        <v>0.33333333333333331</v>
      </c>
      <c r="KN42" s="4">
        <v>5.5799999999999983</v>
      </c>
      <c r="KO42" s="5">
        <v>0.54545454545454541</v>
      </c>
      <c r="KP42" s="4"/>
      <c r="KQ42" s="5"/>
      <c r="KR42" s="4">
        <v>-36.770000000000003</v>
      </c>
      <c r="KS42" s="5">
        <v>0.2</v>
      </c>
      <c r="KT42" s="4"/>
      <c r="KU42" s="5"/>
      <c r="KV42" s="4">
        <v>6.91</v>
      </c>
      <c r="KW42" s="5">
        <v>0.6</v>
      </c>
      <c r="KX42" s="4">
        <v>16.759999999999998</v>
      </c>
      <c r="KY42" s="5">
        <v>1</v>
      </c>
      <c r="KZ42" s="4">
        <v>20.27</v>
      </c>
      <c r="LA42" s="5">
        <v>1</v>
      </c>
      <c r="LB42" s="4">
        <v>-4.5</v>
      </c>
      <c r="LC42" s="5">
        <v>0.66666666666666663</v>
      </c>
      <c r="LD42" s="4">
        <v>16.380000000000003</v>
      </c>
      <c r="LE42" s="5">
        <v>1</v>
      </c>
      <c r="LF42" s="4">
        <v>-8.2900000000000009</v>
      </c>
      <c r="LG42" s="5">
        <v>0.5</v>
      </c>
      <c r="LH42" s="4">
        <v>-17.849999999999998</v>
      </c>
      <c r="LI42" s="5">
        <v>0.5</v>
      </c>
      <c r="LJ42" s="4"/>
      <c r="LK42" s="5"/>
      <c r="LL42" s="4">
        <v>6.1300000000000008</v>
      </c>
      <c r="LM42" s="5">
        <v>0.7142857142857143</v>
      </c>
      <c r="LN42" s="4">
        <v>-47.71</v>
      </c>
      <c r="LO42" s="5">
        <v>0.44444444444444442</v>
      </c>
      <c r="LP42" s="4">
        <v>-9.48</v>
      </c>
      <c r="LQ42" s="5">
        <v>0.66666666666666663</v>
      </c>
      <c r="LR42" s="4">
        <v>9.57</v>
      </c>
      <c r="LS42" s="5">
        <v>0.83333333333333337</v>
      </c>
      <c r="LT42" s="4">
        <v>11.520000000000003</v>
      </c>
      <c r="LU42" s="5">
        <v>0.8</v>
      </c>
      <c r="LV42" s="4"/>
      <c r="LW42" s="5"/>
      <c r="LX42" s="4"/>
      <c r="LY42" s="5"/>
      <c r="LZ42" s="4"/>
      <c r="MA42" s="5"/>
      <c r="MB42" s="4">
        <v>4.08</v>
      </c>
      <c r="MC42" s="5">
        <v>1</v>
      </c>
      <c r="MD42" s="4"/>
      <c r="ME42" s="5"/>
      <c r="MF42" s="4">
        <v>-6.9700000000000006</v>
      </c>
      <c r="MG42" s="5">
        <v>0.5</v>
      </c>
      <c r="MH42" s="4">
        <v>4.45</v>
      </c>
      <c r="MI42" s="5">
        <v>1</v>
      </c>
      <c r="MJ42" s="4">
        <v>-12.84</v>
      </c>
      <c r="MK42" s="5">
        <v>0</v>
      </c>
      <c r="ML42" s="4">
        <v>16.82</v>
      </c>
      <c r="MM42" s="5">
        <v>0.83333333333333337</v>
      </c>
      <c r="MN42" s="4">
        <v>-8.81</v>
      </c>
      <c r="MO42" s="5">
        <v>0.5</v>
      </c>
      <c r="MP42" s="4">
        <v>-21.5</v>
      </c>
      <c r="MQ42" s="5">
        <v>0.33333333333333331</v>
      </c>
      <c r="MR42" s="4">
        <v>-4.22</v>
      </c>
      <c r="MS42" s="5">
        <v>0.66666666666666663</v>
      </c>
      <c r="MT42" s="4">
        <v>-21.62</v>
      </c>
      <c r="MU42" s="5">
        <v>0.5</v>
      </c>
      <c r="MV42" s="4">
        <v>15.969999999999999</v>
      </c>
      <c r="MW42" s="5">
        <v>0.875</v>
      </c>
      <c r="MX42" s="4">
        <v>-31.1</v>
      </c>
      <c r="MY42" s="5">
        <v>0.25</v>
      </c>
      <c r="MZ42" s="4">
        <v>-41.83</v>
      </c>
      <c r="NA42" s="5">
        <v>0.375</v>
      </c>
      <c r="NB42" s="4">
        <v>4.3999999999999986</v>
      </c>
      <c r="NC42" s="5">
        <v>0.8</v>
      </c>
      <c r="ND42" s="4"/>
      <c r="NE42" s="5"/>
      <c r="NF42" s="4">
        <v>-29.64</v>
      </c>
      <c r="NG42" s="5">
        <v>0.4</v>
      </c>
      <c r="NH42" s="4">
        <v>-29.64</v>
      </c>
      <c r="NI42" s="5">
        <v>0.4</v>
      </c>
      <c r="NJ42" s="4">
        <v>-16.46</v>
      </c>
      <c r="NK42" s="5">
        <v>0.5</v>
      </c>
      <c r="NL42" s="4">
        <v>12.13</v>
      </c>
      <c r="NM42" s="5">
        <v>0.83333333333333337</v>
      </c>
      <c r="NN42" s="4"/>
      <c r="NO42" s="5"/>
      <c r="NP42" s="4">
        <v>3.8</v>
      </c>
      <c r="NQ42" s="5">
        <v>0.8</v>
      </c>
      <c r="NR42" s="4">
        <v>-20.66</v>
      </c>
      <c r="NS42" s="5">
        <v>0.4</v>
      </c>
      <c r="NT42" s="4">
        <v>-3.5200000000000005</v>
      </c>
      <c r="NU42" s="5">
        <v>0.66666666666666663</v>
      </c>
      <c r="NV42" s="4">
        <v>-0.36000000000000032</v>
      </c>
      <c r="NW42" s="5">
        <v>0.66666666666666663</v>
      </c>
      <c r="NX42" s="4"/>
      <c r="NY42" s="5"/>
      <c r="NZ42" s="4">
        <v>-13.150000000000004</v>
      </c>
      <c r="OA42" s="5">
        <v>0.6</v>
      </c>
      <c r="OB42" s="4">
        <v>16.18</v>
      </c>
      <c r="OC42" s="5">
        <v>1</v>
      </c>
      <c r="OD42" s="4"/>
      <c r="OE42" s="5"/>
      <c r="OF42" s="4">
        <v>-12.21</v>
      </c>
      <c r="OG42" s="5">
        <v>0.33333333333333331</v>
      </c>
      <c r="OH42" s="4">
        <v>-33.46</v>
      </c>
      <c r="OI42" s="5">
        <v>0.25</v>
      </c>
      <c r="OJ42" s="4"/>
      <c r="OK42" s="5"/>
      <c r="OL42" s="4">
        <v>8.02</v>
      </c>
      <c r="OM42" s="5">
        <v>1</v>
      </c>
      <c r="ON42" s="4">
        <v>8</v>
      </c>
      <c r="OO42" s="5">
        <v>1</v>
      </c>
      <c r="OP42" s="4">
        <v>-22.549999999999997</v>
      </c>
      <c r="OQ42" s="5">
        <v>0.63636363636363635</v>
      </c>
      <c r="OR42" s="4">
        <v>-62.68</v>
      </c>
      <c r="OS42" s="5">
        <v>0.4</v>
      </c>
      <c r="OT42" s="4">
        <v>-28.71</v>
      </c>
      <c r="OU42" s="5">
        <v>0.55555555555555558</v>
      </c>
      <c r="OV42" s="4"/>
      <c r="OW42" s="5"/>
      <c r="OX42" s="4">
        <v>27.89</v>
      </c>
      <c r="OY42" s="5">
        <v>0.91666666666666663</v>
      </c>
      <c r="OZ42" s="4">
        <v>4.04</v>
      </c>
      <c r="PA42" s="5">
        <v>1</v>
      </c>
      <c r="PB42" s="4">
        <v>1.850000000000001</v>
      </c>
      <c r="PC42" s="5">
        <v>0.7142857142857143</v>
      </c>
      <c r="PD42" s="4">
        <v>-17.189999999999998</v>
      </c>
      <c r="PE42" s="5">
        <v>0.625</v>
      </c>
      <c r="PF42" s="4">
        <v>-14.93</v>
      </c>
      <c r="PG42" s="5">
        <v>0.6</v>
      </c>
      <c r="PH42" s="4">
        <v>4.5199999999999987</v>
      </c>
      <c r="PI42" s="5">
        <v>0.8</v>
      </c>
      <c r="PJ42" s="4"/>
      <c r="PK42" s="5"/>
      <c r="PL42" s="4"/>
      <c r="PM42" s="5"/>
      <c r="PN42" s="4">
        <v>-5.2900000000000009</v>
      </c>
      <c r="PO42" s="5">
        <v>0.66666666666666663</v>
      </c>
      <c r="PP42" s="4">
        <v>-20.970000000000002</v>
      </c>
      <c r="PQ42" s="5">
        <v>0.33333333333333331</v>
      </c>
      <c r="PR42" s="4"/>
      <c r="PS42" s="5"/>
      <c r="PT42" s="4">
        <v>4.09</v>
      </c>
      <c r="PU42" s="5">
        <v>1</v>
      </c>
      <c r="PV42" s="4">
        <v>-2.8600000000000003</v>
      </c>
      <c r="PW42" s="5">
        <v>0.75</v>
      </c>
      <c r="PX42" s="4">
        <v>-29.750000000000007</v>
      </c>
      <c r="PY42" s="5">
        <v>0.63636363636363635</v>
      </c>
      <c r="PZ42" s="4">
        <v>10.09</v>
      </c>
      <c r="QA42" s="5">
        <v>0.75</v>
      </c>
      <c r="QB42" s="4">
        <v>-59.480000000000004</v>
      </c>
      <c r="QC42" s="5">
        <v>0.33333333333333331</v>
      </c>
      <c r="QD42" s="4">
        <v>-21.1</v>
      </c>
      <c r="QE42" s="5">
        <v>0.55555555555555558</v>
      </c>
      <c r="QF42" s="4">
        <v>1.5400000000000005</v>
      </c>
      <c r="QG42" s="5">
        <v>0.7</v>
      </c>
      <c r="QH42" s="4">
        <v>-49.249999999999993</v>
      </c>
      <c r="QI42" s="5">
        <v>0.22222222222222221</v>
      </c>
      <c r="QJ42" s="4">
        <v>-27.07</v>
      </c>
      <c r="QK42" s="5">
        <v>0.5</v>
      </c>
      <c r="QL42" s="4">
        <v>3.0600000000000005</v>
      </c>
      <c r="QM42" s="5">
        <v>0.76923076923076927</v>
      </c>
      <c r="QN42" s="4">
        <v>-3.7100000000000026</v>
      </c>
      <c r="QO42" s="5">
        <v>0.55555555555555558</v>
      </c>
      <c r="QP42" s="4">
        <v>-36.21</v>
      </c>
      <c r="QQ42" s="5">
        <v>0.2857142857142857</v>
      </c>
      <c r="QR42" s="4">
        <v>-50.910000000000011</v>
      </c>
      <c r="QS42" s="5">
        <v>0.4</v>
      </c>
      <c r="QT42" s="4"/>
      <c r="QU42" s="5"/>
      <c r="QV42" s="4">
        <v>-21.529999999999998</v>
      </c>
      <c r="QW42" s="5">
        <v>0.5</v>
      </c>
      <c r="QX42" s="4">
        <v>4.7899999999999991</v>
      </c>
      <c r="QY42" s="5">
        <v>0.5</v>
      </c>
      <c r="QZ42" s="4"/>
      <c r="RA42" s="5"/>
      <c r="RB42" s="4">
        <v>0.68000000000000327</v>
      </c>
      <c r="RC42" s="5">
        <v>0.66666666666666663</v>
      </c>
      <c r="RD42" s="4">
        <v>21.61</v>
      </c>
      <c r="RE42" s="5">
        <v>0.83333333333333337</v>
      </c>
      <c r="RF42" s="4">
        <v>-12.260000000000002</v>
      </c>
      <c r="RG42" s="5">
        <v>0.45454545454545453</v>
      </c>
      <c r="RH42" s="4">
        <v>-55.25</v>
      </c>
      <c r="RI42" s="5">
        <v>0.1111111111111111</v>
      </c>
      <c r="RJ42" s="4">
        <v>-6.7399999999999984</v>
      </c>
      <c r="RK42" s="5">
        <v>0.5</v>
      </c>
      <c r="RL42" s="4">
        <v>-9.4499999999999993</v>
      </c>
      <c r="RM42" s="5">
        <v>0.66666666666666663</v>
      </c>
      <c r="RN42" s="4">
        <v>-54.480000000000004</v>
      </c>
      <c r="RO42" s="5">
        <v>0.27272727272727271</v>
      </c>
      <c r="RP42" s="4">
        <v>-51.499999999999993</v>
      </c>
      <c r="RQ42" s="5">
        <v>0.25</v>
      </c>
      <c r="RR42" s="4">
        <v>8.01</v>
      </c>
      <c r="RS42" s="5">
        <v>1</v>
      </c>
      <c r="RT42" s="4">
        <v>2.5600000000000014</v>
      </c>
      <c r="RU42" s="5">
        <v>0.75</v>
      </c>
      <c r="RV42" s="4">
        <v>-64.150000000000006</v>
      </c>
      <c r="RW42" s="5">
        <v>0.25</v>
      </c>
      <c r="RX42" s="4">
        <v>-18.470000000000002</v>
      </c>
      <c r="RY42" s="5">
        <v>0.44444444444444442</v>
      </c>
      <c r="RZ42" s="4">
        <v>11.89</v>
      </c>
      <c r="SA42" s="5">
        <v>0.8571428571428571</v>
      </c>
      <c r="SB42" s="4">
        <v>11.959999999999999</v>
      </c>
      <c r="SC42" s="5">
        <v>1</v>
      </c>
      <c r="SD42" s="4">
        <v>17.29</v>
      </c>
      <c r="SE42" s="5">
        <v>0.66666666666666663</v>
      </c>
      <c r="SF42" s="4"/>
      <c r="SG42" s="5"/>
      <c r="SH42" s="4">
        <v>-18.860000000000003</v>
      </c>
      <c r="SI42" s="5">
        <v>0.375</v>
      </c>
      <c r="SJ42" s="4">
        <v>3.259999999999998</v>
      </c>
      <c r="SK42" s="5">
        <v>0.77777777777777779</v>
      </c>
      <c r="SL42" s="4">
        <v>-13.230000000000002</v>
      </c>
      <c r="SM42" s="5">
        <v>0.58333333333333337</v>
      </c>
      <c r="SN42" s="4">
        <v>-0.61999999999999955</v>
      </c>
      <c r="SO42" s="5">
        <v>0.58333333333333337</v>
      </c>
      <c r="SP42" s="4">
        <v>-26.08</v>
      </c>
      <c r="SQ42" s="5">
        <v>0.33333333333333331</v>
      </c>
      <c r="SR42" s="4">
        <v>10.95</v>
      </c>
      <c r="SS42" s="5">
        <v>1</v>
      </c>
      <c r="ST42" s="4">
        <v>30.730000000000004</v>
      </c>
      <c r="SU42" s="5">
        <v>0.88888888888888884</v>
      </c>
      <c r="SV42" s="4">
        <v>-19.899999999999999</v>
      </c>
      <c r="SW42" s="5">
        <v>0.375</v>
      </c>
      <c r="SX42" s="4"/>
      <c r="SY42" s="5"/>
      <c r="SZ42" s="4">
        <v>-13.740000000000006</v>
      </c>
      <c r="TA42" s="5">
        <v>0.5</v>
      </c>
      <c r="TB42" s="4">
        <v>-30.04</v>
      </c>
      <c r="TC42" s="5">
        <v>0.5</v>
      </c>
      <c r="TD42" s="4">
        <v>14.599999999999998</v>
      </c>
      <c r="TE42" s="5">
        <v>0.8</v>
      </c>
      <c r="TF42" s="4">
        <v>0</v>
      </c>
      <c r="TG42" s="5" t="e">
        <v>#DIV/0!</v>
      </c>
      <c r="TH42" s="4">
        <v>4.7100000000000009</v>
      </c>
      <c r="TI42" s="5">
        <v>0.5</v>
      </c>
      <c r="TJ42" s="4">
        <v>8.1000000000000014</v>
      </c>
      <c r="TK42" s="5">
        <v>1</v>
      </c>
      <c r="TL42" s="4">
        <v>16.55</v>
      </c>
      <c r="TM42" s="5">
        <v>1</v>
      </c>
      <c r="TN42" s="4"/>
      <c r="TO42" s="5"/>
      <c r="TP42" s="4">
        <v>-27.759999999999998</v>
      </c>
      <c r="TQ42" s="5">
        <v>0.44444444444444442</v>
      </c>
      <c r="TR42" s="4">
        <v>-77.8</v>
      </c>
      <c r="TS42" s="5">
        <v>0.125</v>
      </c>
      <c r="TT42" s="4">
        <v>-9.89</v>
      </c>
      <c r="TU42" s="5">
        <v>0.6</v>
      </c>
      <c r="TV42" s="4">
        <v>-8.0999999999999979</v>
      </c>
      <c r="TW42" s="5">
        <v>0.625</v>
      </c>
      <c r="TX42" s="4">
        <v>-37.659999999999997</v>
      </c>
      <c r="TY42" s="5">
        <v>0.44444444444444442</v>
      </c>
      <c r="TZ42" s="4">
        <v>-13.259999999999998</v>
      </c>
      <c r="UA42" s="5">
        <v>0.63636363636363635</v>
      </c>
      <c r="UB42" s="4">
        <v>-17.630000000000006</v>
      </c>
      <c r="UC42" s="5">
        <v>0.625</v>
      </c>
      <c r="UD42" s="4">
        <v>4.4100000000000019</v>
      </c>
      <c r="UE42" s="5">
        <v>0.8</v>
      </c>
      <c r="UF42" s="4">
        <v>-4.3099999999999996</v>
      </c>
      <c r="UG42" s="5">
        <v>0.66666666666666663</v>
      </c>
      <c r="UH42" s="4">
        <v>4.0199999999999996</v>
      </c>
      <c r="UI42" s="5">
        <v>1</v>
      </c>
      <c r="UJ42" s="4">
        <v>-12.559999999999999</v>
      </c>
      <c r="UK42" s="5">
        <v>0.5714285714285714</v>
      </c>
      <c r="UL42" s="4">
        <v>-30.89</v>
      </c>
      <c r="UM42" s="5">
        <v>0.44444444444444442</v>
      </c>
      <c r="UN42" s="4">
        <v>16.529999999999998</v>
      </c>
      <c r="UO42" s="5">
        <v>0.61538461538461542</v>
      </c>
      <c r="UP42" s="4">
        <v>0.53999999999999915</v>
      </c>
      <c r="UQ42" s="5">
        <v>0.66666666666666663</v>
      </c>
      <c r="UR42" s="4">
        <v>-29.81</v>
      </c>
      <c r="US42" s="5">
        <v>0.4</v>
      </c>
      <c r="UT42" s="4">
        <v>20.5</v>
      </c>
      <c r="UU42" s="5">
        <v>1</v>
      </c>
      <c r="UV42" s="4">
        <v>-5.2799999999999976</v>
      </c>
      <c r="UW42" s="5">
        <v>0.75</v>
      </c>
      <c r="UX42" s="4">
        <v>-48.53</v>
      </c>
      <c r="UY42" s="5">
        <v>0.27272727272727271</v>
      </c>
      <c r="UZ42" s="4"/>
      <c r="VA42" s="5"/>
      <c r="VB42" s="4">
        <v>7.6700000000000008</v>
      </c>
      <c r="VC42" s="5">
        <v>0.66666666666666663</v>
      </c>
      <c r="VD42" s="4">
        <v>2.8099999999999987</v>
      </c>
      <c r="VE42" s="5">
        <v>0.69230769230769229</v>
      </c>
      <c r="VF42" s="4">
        <v>13.29</v>
      </c>
      <c r="VG42" s="5">
        <v>0.8</v>
      </c>
      <c r="VH42" s="4">
        <v>7.45</v>
      </c>
      <c r="VI42" s="5">
        <v>0.7142857142857143</v>
      </c>
      <c r="VJ42" s="4">
        <v>-6.3500000000000005</v>
      </c>
      <c r="VK42" s="5">
        <v>0.66666666666666663</v>
      </c>
      <c r="VL42" s="4">
        <v>-6.46</v>
      </c>
      <c r="VM42" s="5">
        <v>0.4</v>
      </c>
      <c r="VN42" s="4">
        <v>10.91</v>
      </c>
      <c r="VO42" s="5">
        <v>0.7142857142857143</v>
      </c>
      <c r="VP42" s="4">
        <v>-12.409999999999998</v>
      </c>
      <c r="VQ42" s="5">
        <v>0.6</v>
      </c>
      <c r="VR42" s="4"/>
      <c r="VS42" s="5"/>
      <c r="VT42" s="4">
        <v>12.249999999999998</v>
      </c>
      <c r="VU42" s="5">
        <v>0.8571428571428571</v>
      </c>
      <c r="VV42" s="4">
        <v>-27.180000000000003</v>
      </c>
      <c r="VW42" s="5">
        <v>0.375</v>
      </c>
      <c r="VX42" s="4">
        <v>-2.8100000000000014</v>
      </c>
      <c r="VY42" s="5">
        <v>0.75</v>
      </c>
      <c r="VZ42" s="4">
        <v>19.159999999999997</v>
      </c>
      <c r="WA42" s="5">
        <v>0.7</v>
      </c>
      <c r="WB42" s="4">
        <v>-74.41</v>
      </c>
      <c r="WC42" s="5">
        <v>0.22222222222222221</v>
      </c>
      <c r="WD42" s="4">
        <v>-12.84</v>
      </c>
      <c r="WE42" s="5">
        <v>0.61538461538461542</v>
      </c>
      <c r="WF42" s="4">
        <v>-53.119999999999983</v>
      </c>
      <c r="WG42" s="5">
        <v>0.5</v>
      </c>
      <c r="WH42" s="4">
        <v>2.9000000000000004</v>
      </c>
      <c r="WI42" s="5">
        <v>0.8</v>
      </c>
      <c r="WJ42" s="4">
        <v>15.769999999999998</v>
      </c>
      <c r="WK42" s="5">
        <v>0.75</v>
      </c>
      <c r="WL42" s="4">
        <v>8.1699999999999982</v>
      </c>
      <c r="WM42" s="5">
        <v>0.66666666666666663</v>
      </c>
      <c r="WN42" s="4">
        <v>-13.670000000000002</v>
      </c>
      <c r="WO42" s="5">
        <v>0.5</v>
      </c>
      <c r="WP42" s="4">
        <v>12.77</v>
      </c>
      <c r="WQ42" s="5">
        <v>1</v>
      </c>
      <c r="WR42" s="4">
        <v>13.170000000000002</v>
      </c>
      <c r="WS42" s="5">
        <v>0.63636363636363635</v>
      </c>
      <c r="WT42" s="4">
        <v>-18.570000000000004</v>
      </c>
      <c r="WU42" s="5">
        <v>0.46153846153846156</v>
      </c>
      <c r="WV42" s="4">
        <v>-28.540000000000006</v>
      </c>
      <c r="WW42" s="5">
        <v>0.33333333333333331</v>
      </c>
      <c r="WX42" s="4">
        <v>20.359999999999996</v>
      </c>
      <c r="WY42" s="5">
        <v>0.81818181818181823</v>
      </c>
      <c r="WZ42" s="4">
        <v>-48.72</v>
      </c>
      <c r="XA42" s="5">
        <v>0.2857142857142857</v>
      </c>
      <c r="XB42" s="4">
        <v>18.23</v>
      </c>
      <c r="XC42" s="5">
        <v>1</v>
      </c>
      <c r="XD42" s="4"/>
      <c r="XE42" s="5"/>
      <c r="XF42" s="4">
        <v>-8.0300000000000011</v>
      </c>
      <c r="XG42" s="5">
        <v>0.33333333333333331</v>
      </c>
      <c r="XH42" s="4">
        <v>3.1300000000000012</v>
      </c>
      <c r="XI42" s="5">
        <v>0.77777777777777779</v>
      </c>
      <c r="XJ42" s="4">
        <v>12.15</v>
      </c>
      <c r="XK42" s="5">
        <v>1</v>
      </c>
      <c r="XL42" s="4">
        <v>-29.839999999999996</v>
      </c>
      <c r="XM42" s="5">
        <v>0.4</v>
      </c>
      <c r="XN42" s="4">
        <v>-18.520000000000003</v>
      </c>
      <c r="XO42" s="5">
        <v>0.66666666666666663</v>
      </c>
      <c r="XP42" s="4">
        <v>9.11</v>
      </c>
      <c r="XQ42" s="5">
        <v>1</v>
      </c>
      <c r="XR42" s="4">
        <v>-27.749999999999996</v>
      </c>
      <c r="XS42" s="5">
        <v>0.58333333333333337</v>
      </c>
      <c r="XT42" s="4">
        <v>2.3000000000000007</v>
      </c>
      <c r="XU42" s="5">
        <v>0.66666666666666663</v>
      </c>
      <c r="XV42" s="4">
        <v>-27.25</v>
      </c>
      <c r="XW42" s="5">
        <v>0.42857142857142855</v>
      </c>
    </row>
    <row r="43" spans="2:647" x14ac:dyDescent="0.25">
      <c r="B43" s="755"/>
      <c r="C43" s="730" t="s">
        <v>11</v>
      </c>
      <c r="D43" s="757" t="s">
        <v>14</v>
      </c>
      <c r="E43" s="757"/>
      <c r="F43" s="448">
        <v>0.1</v>
      </c>
      <c r="G43" s="767" t="s">
        <v>5</v>
      </c>
      <c r="H43" s="450">
        <v>-0.90666666666666684</v>
      </c>
      <c r="I43" s="1">
        <v>0.4</v>
      </c>
      <c r="J43" s="450">
        <v>-7.4099999999999993</v>
      </c>
      <c r="K43" s="1">
        <v>0.13333333333333333</v>
      </c>
      <c r="L43" s="450"/>
      <c r="M43" s="1"/>
      <c r="N43" s="450">
        <v>-2.0733333333333337</v>
      </c>
      <c r="O43" s="1">
        <v>0.4</v>
      </c>
      <c r="P43" s="450">
        <v>0.53666666666666663</v>
      </c>
      <c r="Q43" s="1">
        <v>0.46666666666666667</v>
      </c>
      <c r="R43" s="450">
        <v>1.0266666666666666</v>
      </c>
      <c r="S43" s="1">
        <v>0.26666666666666666</v>
      </c>
      <c r="T43" s="450"/>
      <c r="U43" s="1"/>
      <c r="V43" s="450">
        <v>0.11333333333333369</v>
      </c>
      <c r="W43" s="1">
        <v>0.46153846153846156</v>
      </c>
      <c r="X43" s="450"/>
      <c r="Y43" s="1"/>
      <c r="Z43" s="450">
        <v>-4.4666666666666668</v>
      </c>
      <c r="AA43" s="1">
        <v>0.33333333333333331</v>
      </c>
      <c r="AB43" s="450"/>
      <c r="AC43" s="1"/>
      <c r="AD43" s="450">
        <v>9.14</v>
      </c>
      <c r="AE43" s="1">
        <v>0.6</v>
      </c>
      <c r="AF43" s="450"/>
      <c r="AG43" s="1"/>
      <c r="AH43" s="450">
        <v>3.3233333333333319</v>
      </c>
      <c r="AI43" s="1">
        <v>0.46666666666666667</v>
      </c>
      <c r="AJ43" s="450">
        <v>3.1966666666666659</v>
      </c>
      <c r="AK43" s="1">
        <v>0.53333333333333333</v>
      </c>
      <c r="AL43" s="450">
        <v>-2.5533333333333332</v>
      </c>
      <c r="AM43" s="1">
        <v>0.4</v>
      </c>
      <c r="AN43" s="450"/>
      <c r="AO43" s="1"/>
      <c r="AP43" s="450">
        <v>-5.8</v>
      </c>
      <c r="AQ43" s="1">
        <v>0.46666666666666667</v>
      </c>
      <c r="AR43" s="450">
        <v>-5.3366666666666669</v>
      </c>
      <c r="AS43" s="1">
        <v>0.46666666666666667</v>
      </c>
      <c r="AT43" s="450"/>
      <c r="AU43" s="1"/>
      <c r="AV43" s="450">
        <v>2.3499999999999996</v>
      </c>
      <c r="AW43" s="1">
        <v>0.6</v>
      </c>
      <c r="AX43" s="450">
        <v>1.4166666666666667</v>
      </c>
      <c r="AY43" s="1">
        <v>0.5714285714285714</v>
      </c>
      <c r="AZ43" s="450">
        <v>-6.5933333333333337</v>
      </c>
      <c r="BA43" s="1">
        <v>0.26666666666666666</v>
      </c>
      <c r="BB43" s="450">
        <v>-1.5566666666666669</v>
      </c>
      <c r="BC43" s="1">
        <v>0.5</v>
      </c>
      <c r="BD43" s="450"/>
      <c r="BE43" s="1"/>
      <c r="BF43" s="450">
        <v>-2.85</v>
      </c>
      <c r="BG43" s="1">
        <v>0.2857142857142857</v>
      </c>
      <c r="BH43" s="450">
        <v>-1.8266666666666671</v>
      </c>
      <c r="BI43" s="1">
        <v>0.4</v>
      </c>
      <c r="BJ43" s="450">
        <v>-6.0566666666666675</v>
      </c>
      <c r="BK43" s="1">
        <v>0.33333333333333331</v>
      </c>
      <c r="BL43" s="450">
        <v>-2.1133333333333328</v>
      </c>
      <c r="BM43" s="1">
        <v>0.4</v>
      </c>
      <c r="BN43" s="450"/>
      <c r="BO43" s="1"/>
      <c r="BP43" s="450">
        <v>-4.2366666666666672</v>
      </c>
      <c r="BQ43" s="1">
        <v>0.2</v>
      </c>
      <c r="BR43" s="450">
        <v>-2.4700000000000002</v>
      </c>
      <c r="BS43" s="1">
        <v>0.4</v>
      </c>
      <c r="BT43" s="450"/>
      <c r="BU43" s="1"/>
      <c r="BV43" s="450"/>
      <c r="BW43" s="1"/>
      <c r="BX43" s="450">
        <v>-0.80999999999999994</v>
      </c>
      <c r="BY43" s="1">
        <v>0.4</v>
      </c>
      <c r="BZ43" s="450">
        <v>-2.54</v>
      </c>
      <c r="CA43" s="1">
        <v>0.4</v>
      </c>
      <c r="CB43" s="450">
        <v>-5.6666666666666941E-2</v>
      </c>
      <c r="CC43" s="1">
        <v>0.33333333333333331</v>
      </c>
      <c r="CD43" s="450">
        <v>-1.1166666666666671</v>
      </c>
      <c r="CE43" s="1">
        <v>0.53333333333333333</v>
      </c>
      <c r="CF43" s="450">
        <v>-4.9066666666666663</v>
      </c>
      <c r="CG43" s="1">
        <v>0.33333333333333331</v>
      </c>
      <c r="CH43" s="450"/>
      <c r="CI43" s="1"/>
      <c r="CJ43" s="450">
        <v>-5.78</v>
      </c>
      <c r="CK43" s="1">
        <v>0.26666666666666666</v>
      </c>
      <c r="CL43" s="450">
        <v>0.47666666666666629</v>
      </c>
      <c r="CM43" s="1">
        <v>0.42857142857142855</v>
      </c>
      <c r="CN43" s="450"/>
      <c r="CO43" s="1"/>
      <c r="CP43" s="450">
        <v>-3.2099999999999995</v>
      </c>
      <c r="CQ43" s="1">
        <v>0.4</v>
      </c>
      <c r="CR43" s="450">
        <v>0.90666666666666684</v>
      </c>
      <c r="CS43" s="1">
        <v>0.5</v>
      </c>
      <c r="CT43" s="450">
        <v>2.5133333333333336</v>
      </c>
      <c r="CU43" s="1">
        <v>0.42857142857142855</v>
      </c>
      <c r="CV43" s="450">
        <v>-7.3166666666666664</v>
      </c>
      <c r="CW43" s="1">
        <v>0.4</v>
      </c>
      <c r="CX43" s="450">
        <v>0.47000000000000003</v>
      </c>
      <c r="CY43" s="1">
        <v>0.42857142857142855</v>
      </c>
      <c r="CZ43" s="450">
        <v>-3.6066666666666674</v>
      </c>
      <c r="DA43" s="1">
        <v>0.53333333333333333</v>
      </c>
      <c r="DB43" s="450">
        <v>9.1266666666666669</v>
      </c>
      <c r="DC43" s="1">
        <v>0.6</v>
      </c>
      <c r="DD43" s="450">
        <v>-3.0166666666666671</v>
      </c>
      <c r="DE43" s="1">
        <v>0.46153846153846156</v>
      </c>
      <c r="DF43" s="450">
        <v>4.1500000000000004</v>
      </c>
      <c r="DG43" s="1">
        <v>0.46666666666666667</v>
      </c>
      <c r="DH43" s="450">
        <v>5.5333333333333341</v>
      </c>
      <c r="DI43" s="1">
        <v>0.46666666666666667</v>
      </c>
      <c r="DJ43" s="450">
        <v>-4.8933333333333326</v>
      </c>
      <c r="DK43" s="1">
        <v>0.33333333333333331</v>
      </c>
      <c r="DL43" s="450">
        <v>-9.3400000000000016</v>
      </c>
      <c r="DM43" s="1">
        <v>0.4</v>
      </c>
      <c r="DN43" s="450">
        <v>0.70333333333333348</v>
      </c>
      <c r="DO43" s="1">
        <v>0.46666666666666667</v>
      </c>
      <c r="DP43" s="450">
        <v>-1.5366666666666664</v>
      </c>
      <c r="DQ43" s="1">
        <v>0.33333333333333331</v>
      </c>
      <c r="DR43" s="450"/>
      <c r="DS43" s="1"/>
      <c r="DT43" s="450"/>
      <c r="DU43" s="1"/>
      <c r="DV43" s="450">
        <v>-7.0133333333333319</v>
      </c>
      <c r="DW43" s="1">
        <v>0.4</v>
      </c>
      <c r="DX43" s="450">
        <v>-7.0133333333333319</v>
      </c>
      <c r="DY43" s="1">
        <v>0.4</v>
      </c>
      <c r="DZ43" s="450">
        <v>-4.0066666666666659</v>
      </c>
      <c r="EA43" s="1">
        <v>0.2857142857142857</v>
      </c>
      <c r="EB43" s="450">
        <v>-0.836666666666666</v>
      </c>
      <c r="EC43" s="1">
        <v>0.46666666666666667</v>
      </c>
      <c r="ED43" s="450">
        <v>-2.1933333333333334</v>
      </c>
      <c r="EE43" s="1">
        <v>0.4</v>
      </c>
      <c r="EF43" s="450">
        <v>-5.98</v>
      </c>
      <c r="EG43" s="1">
        <v>0.4</v>
      </c>
      <c r="EH43" s="450">
        <v>4.6066666666666665</v>
      </c>
      <c r="EI43" s="1">
        <v>0.73333333333333328</v>
      </c>
      <c r="EJ43" s="450">
        <v>-1.5933333333333335</v>
      </c>
      <c r="EK43" s="1">
        <v>0.42857142857142855</v>
      </c>
      <c r="EL43" s="450"/>
      <c r="EM43" s="1"/>
      <c r="EN43" s="450">
        <v>0.90333333333333377</v>
      </c>
      <c r="EO43" s="1">
        <v>0.46666666666666667</v>
      </c>
      <c r="EP43" s="450"/>
      <c r="EQ43" s="1"/>
      <c r="ER43" s="450">
        <v>-1.5366666666666671</v>
      </c>
      <c r="ES43" s="1">
        <v>0.5</v>
      </c>
      <c r="ET43" s="450">
        <v>-5.1733333333333329</v>
      </c>
      <c r="EU43" s="1">
        <v>0.33333333333333331</v>
      </c>
      <c r="EV43" s="450">
        <v>-4.206666666666667</v>
      </c>
      <c r="EW43" s="1">
        <v>0.53333333333333333</v>
      </c>
      <c r="EX43" s="450">
        <v>1.2133333333333327</v>
      </c>
      <c r="EY43" s="1">
        <v>0.53333333333333333</v>
      </c>
      <c r="EZ43" s="450">
        <v>0.27333333333333304</v>
      </c>
      <c r="FA43" s="1">
        <v>0.53333333333333333</v>
      </c>
      <c r="FB43" s="450">
        <v>1.9199999999999997</v>
      </c>
      <c r="FC43" s="1">
        <v>0.66666666666666663</v>
      </c>
      <c r="FD43" s="450">
        <v>-6.83</v>
      </c>
      <c r="FE43" s="1">
        <v>0.2</v>
      </c>
      <c r="FF43" s="450">
        <v>-4.3500000000000005</v>
      </c>
      <c r="FG43" s="1">
        <v>0.21428571428571427</v>
      </c>
      <c r="FH43" s="450">
        <v>-1.6</v>
      </c>
      <c r="FI43" s="1">
        <v>0.46666666666666667</v>
      </c>
      <c r="FJ43" s="450">
        <v>-0.25999999999999979</v>
      </c>
      <c r="FK43" s="1">
        <v>0.4</v>
      </c>
      <c r="FL43" s="450">
        <v>7.1200000000000019</v>
      </c>
      <c r="FM43" s="1">
        <v>0.66666666666666663</v>
      </c>
      <c r="FN43" s="450">
        <v>2.8</v>
      </c>
      <c r="FO43" s="1">
        <v>0.6</v>
      </c>
      <c r="FP43" s="450">
        <v>-4.74</v>
      </c>
      <c r="FQ43" s="1">
        <v>0.4</v>
      </c>
      <c r="FR43" s="450">
        <v>-3.54</v>
      </c>
      <c r="FS43" s="1">
        <v>0.4</v>
      </c>
      <c r="FT43" s="450">
        <v>-4.2600000000000007</v>
      </c>
      <c r="FU43" s="1">
        <v>0.4</v>
      </c>
      <c r="FV43" s="450">
        <v>2.9999999999999694E-2</v>
      </c>
      <c r="FW43" s="1">
        <v>0.42857142857142855</v>
      </c>
      <c r="FX43" s="450">
        <v>-2.2699999999999996</v>
      </c>
      <c r="FY43" s="1">
        <v>0.33333333333333331</v>
      </c>
      <c r="FZ43" s="450">
        <v>-4.9000000000000004</v>
      </c>
      <c r="GA43" s="1">
        <v>0.33333333333333331</v>
      </c>
      <c r="GB43" s="450">
        <v>-5.089999999999999</v>
      </c>
      <c r="GC43" s="1">
        <v>0.2</v>
      </c>
      <c r="GD43" s="450">
        <v>-0.78000000000000014</v>
      </c>
      <c r="GE43" s="1">
        <v>0.38461538461538464</v>
      </c>
      <c r="GF43" s="450">
        <v>-2.57</v>
      </c>
      <c r="GG43" s="1">
        <v>0.46666666666666667</v>
      </c>
      <c r="GH43" s="450">
        <v>-1.41</v>
      </c>
      <c r="GI43" s="1">
        <v>0.33333333333333331</v>
      </c>
      <c r="GJ43" s="450">
        <v>-3.57</v>
      </c>
      <c r="GK43" s="1">
        <v>0.35714285714285715</v>
      </c>
      <c r="GL43" s="450">
        <v>-0.82000000000000028</v>
      </c>
      <c r="GM43" s="1">
        <v>0.4</v>
      </c>
      <c r="GN43" s="450">
        <v>0.80999999999999983</v>
      </c>
      <c r="GO43" s="1">
        <v>0.5</v>
      </c>
      <c r="GP43" s="450">
        <v>-1.4899999999999998</v>
      </c>
      <c r="GQ43" s="1">
        <v>0.2857142857142857</v>
      </c>
      <c r="GR43" s="450">
        <v>-3.5700000000000003</v>
      </c>
      <c r="GS43" s="1">
        <v>0.4</v>
      </c>
      <c r="GT43" s="450">
        <v>-3.5899999999999994</v>
      </c>
      <c r="GU43" s="1">
        <v>0.46666666666666667</v>
      </c>
      <c r="GV43" s="450">
        <v>-0.97000000000000008</v>
      </c>
      <c r="GW43" s="1">
        <v>0.53333333333333333</v>
      </c>
      <c r="GX43" s="450">
        <v>-5.9</v>
      </c>
      <c r="GY43" s="1">
        <v>0.33333333333333331</v>
      </c>
      <c r="GZ43" s="450">
        <v>-2.2000000000000002</v>
      </c>
      <c r="HA43" s="1">
        <v>0.46666666666666667</v>
      </c>
      <c r="HB43" s="450">
        <v>1.0600000000000003</v>
      </c>
      <c r="HC43" s="1">
        <v>0.66666666666666663</v>
      </c>
      <c r="HD43" s="450">
        <v>-0.4900000000000001</v>
      </c>
      <c r="HE43" s="1">
        <v>0.46666666666666667</v>
      </c>
      <c r="HF43" s="450">
        <v>1.95</v>
      </c>
      <c r="HG43" s="1">
        <v>0.53333333333333333</v>
      </c>
      <c r="HH43" s="450">
        <v>1.149999999999999</v>
      </c>
      <c r="HI43" s="1">
        <v>0.53333333333333333</v>
      </c>
      <c r="HJ43" s="450">
        <v>-4.8599999999999994</v>
      </c>
      <c r="HK43" s="1">
        <v>0.13333333333333333</v>
      </c>
      <c r="HL43" s="450">
        <v>-1.99</v>
      </c>
      <c r="HM43" s="1">
        <v>0.33333333333333331</v>
      </c>
      <c r="HN43" s="450">
        <v>-4.62</v>
      </c>
      <c r="HO43" s="1">
        <v>0.13333333333333333</v>
      </c>
      <c r="HP43" s="450">
        <v>-0.62</v>
      </c>
      <c r="HQ43" s="1">
        <v>0.42857142857142855</v>
      </c>
      <c r="HR43" s="450">
        <v>-2.17</v>
      </c>
      <c r="HS43" s="1">
        <v>0.4</v>
      </c>
      <c r="HT43" s="450">
        <v>1.6099999999999999</v>
      </c>
      <c r="HU43" s="1">
        <v>0.33333333333333331</v>
      </c>
      <c r="HV43" s="450">
        <v>-3.0400000000000009</v>
      </c>
      <c r="HW43" s="1">
        <v>0.2857142857142857</v>
      </c>
      <c r="HX43" s="450">
        <v>-3.5199999999999996</v>
      </c>
      <c r="HY43" s="1">
        <v>0.46666666666666667</v>
      </c>
      <c r="HZ43" s="450"/>
      <c r="IA43" s="1"/>
      <c r="IB43" s="450">
        <v>-6.95</v>
      </c>
      <c r="IC43" s="1">
        <v>0.26666666666666666</v>
      </c>
      <c r="ID43" s="450">
        <v>-7.1800000000000015</v>
      </c>
      <c r="IE43" s="1">
        <v>0.33333333333333331</v>
      </c>
      <c r="IF43" s="450">
        <v>-3.5799999999999996</v>
      </c>
      <c r="IG43" s="1">
        <v>0.26666666666666666</v>
      </c>
      <c r="IH43" s="450">
        <v>-3.34</v>
      </c>
      <c r="II43" s="1">
        <v>0.33333333333333331</v>
      </c>
      <c r="IJ43" s="450">
        <v>-4.16</v>
      </c>
      <c r="IK43" s="1">
        <v>0.46666666666666667</v>
      </c>
      <c r="IL43" s="450">
        <v>-4.54</v>
      </c>
      <c r="IM43" s="1">
        <v>0.26666666666666666</v>
      </c>
      <c r="IN43" s="450">
        <v>1.2599999999999998</v>
      </c>
      <c r="IO43" s="1">
        <v>0.35714285714285715</v>
      </c>
      <c r="IP43" s="450">
        <v>3</v>
      </c>
      <c r="IQ43" s="1">
        <v>0.5714285714285714</v>
      </c>
      <c r="IR43" s="450"/>
      <c r="IS43" s="1"/>
      <c r="IT43" s="450"/>
      <c r="IU43" s="1"/>
      <c r="IV43" s="450">
        <v>-2.6300000000000008</v>
      </c>
      <c r="IW43" s="1">
        <v>0.4</v>
      </c>
      <c r="IX43" s="450"/>
      <c r="IY43" s="1"/>
      <c r="IZ43" s="450"/>
      <c r="JA43" s="1"/>
      <c r="JB43" s="450">
        <v>-4.71</v>
      </c>
      <c r="JC43" s="1">
        <v>0.4</v>
      </c>
      <c r="JD43" s="450"/>
      <c r="JE43" s="1"/>
      <c r="JF43" s="450">
        <v>-5.4099999999999993</v>
      </c>
      <c r="JG43" s="1">
        <v>0.2</v>
      </c>
      <c r="JH43" s="450">
        <v>-2.3000000000000007</v>
      </c>
      <c r="JI43" s="1">
        <v>0.33333333333333331</v>
      </c>
      <c r="JJ43" s="450">
        <v>-1.69</v>
      </c>
      <c r="JK43" s="1">
        <v>0.4</v>
      </c>
      <c r="JL43" s="450"/>
      <c r="JM43" s="1"/>
      <c r="JN43" s="450">
        <v>-7.7299999999999995</v>
      </c>
      <c r="JO43" s="1">
        <v>0.26666666666666666</v>
      </c>
      <c r="JP43" s="450">
        <v>-1.8899999999999997</v>
      </c>
      <c r="JQ43" s="1">
        <v>0.26666666666666666</v>
      </c>
      <c r="JR43" s="450">
        <v>-6.3</v>
      </c>
      <c r="JS43" s="1">
        <v>0.13333333333333333</v>
      </c>
      <c r="JT43" s="450"/>
      <c r="JU43" s="1"/>
      <c r="JV43" s="450"/>
      <c r="JW43" s="1"/>
      <c r="JX43" s="450">
        <v>-4.59</v>
      </c>
      <c r="JY43" s="1">
        <v>0.33333333333333331</v>
      </c>
      <c r="JZ43" s="450">
        <v>1.79</v>
      </c>
      <c r="KA43" s="1">
        <v>0.53333333333333333</v>
      </c>
      <c r="KB43" s="450">
        <v>-1.26</v>
      </c>
      <c r="KC43" s="1">
        <v>0.5</v>
      </c>
      <c r="KD43" s="450">
        <v>-0.3399999999999993</v>
      </c>
      <c r="KE43" s="1">
        <v>0.4</v>
      </c>
      <c r="KF43" s="450">
        <v>1.08</v>
      </c>
      <c r="KG43" s="1">
        <v>0.53333333333333333</v>
      </c>
      <c r="KH43" s="450">
        <v>-4.3899999999999997</v>
      </c>
      <c r="KI43" s="1">
        <v>0.33333333333333331</v>
      </c>
      <c r="KJ43" s="450">
        <v>-2.64</v>
      </c>
      <c r="KK43" s="1">
        <v>0.26666666666666666</v>
      </c>
      <c r="KL43" s="450">
        <v>-2.4699999999999998</v>
      </c>
      <c r="KM43" s="1">
        <v>0.26666666666666666</v>
      </c>
      <c r="KN43" s="450">
        <v>-0.52000000000000013</v>
      </c>
      <c r="KO43" s="1">
        <v>0.53333333333333333</v>
      </c>
      <c r="KP43" s="450">
        <v>-0.21000000000000024</v>
      </c>
      <c r="KQ43" s="1">
        <v>0.4</v>
      </c>
      <c r="KR43" s="450">
        <v>-4.25</v>
      </c>
      <c r="KS43" s="1">
        <v>0.13333333333333333</v>
      </c>
      <c r="KT43" s="450"/>
      <c r="KU43" s="1"/>
      <c r="KV43" s="450">
        <v>-3.6199999999999997</v>
      </c>
      <c r="KW43" s="1">
        <v>0.26666666666666666</v>
      </c>
      <c r="KX43" s="450">
        <v>-6.2499999999999991</v>
      </c>
      <c r="KY43" s="1">
        <v>0.33333333333333331</v>
      </c>
      <c r="KZ43" s="450">
        <v>-5.5599999999999987</v>
      </c>
      <c r="LA43" s="1">
        <v>0.46666666666666667</v>
      </c>
      <c r="LB43" s="450">
        <v>-6.9900000000000011</v>
      </c>
      <c r="LC43" s="1">
        <v>0.53333333333333333</v>
      </c>
      <c r="LD43" s="450">
        <v>-3.0300000000000002</v>
      </c>
      <c r="LE43" s="1">
        <v>0.46666666666666667</v>
      </c>
      <c r="LF43" s="450">
        <v>-4.9000000000000012</v>
      </c>
      <c r="LG43" s="1">
        <v>0.46666666666666667</v>
      </c>
      <c r="LH43" s="450">
        <v>4.9399999999999995</v>
      </c>
      <c r="LI43" s="1">
        <v>0.6</v>
      </c>
      <c r="LJ43" s="450">
        <v>-3.8099999999999996</v>
      </c>
      <c r="LK43" s="1">
        <v>0.46666666666666667</v>
      </c>
      <c r="LL43" s="450"/>
      <c r="LM43" s="1"/>
      <c r="LN43" s="450">
        <v>8.629999999999999</v>
      </c>
      <c r="LO43" s="1">
        <v>0.73333333333333328</v>
      </c>
      <c r="LP43" s="450">
        <v>-4.0500000000000007</v>
      </c>
      <c r="LQ43" s="1">
        <v>0.53333333333333333</v>
      </c>
      <c r="LR43" s="450">
        <v>-5.17</v>
      </c>
      <c r="LS43" s="1">
        <v>0.53333333333333333</v>
      </c>
      <c r="LT43" s="450">
        <v>-12.93</v>
      </c>
      <c r="LU43" s="1">
        <v>0.33333333333333331</v>
      </c>
      <c r="LV43" s="450">
        <v>-17.61</v>
      </c>
      <c r="LW43" s="1">
        <v>0.2857142857142857</v>
      </c>
      <c r="LX43" s="450">
        <v>7.0700000000000021</v>
      </c>
      <c r="LY43" s="1">
        <v>0.6</v>
      </c>
      <c r="LZ43" s="450">
        <v>-3.0000000000000013</v>
      </c>
      <c r="MA43" s="1">
        <v>0.5625</v>
      </c>
      <c r="MB43" s="450">
        <v>-12.04</v>
      </c>
      <c r="MC43" s="1">
        <v>0.4</v>
      </c>
      <c r="MD43" s="450">
        <v>-9.58</v>
      </c>
      <c r="ME43" s="1">
        <v>0.46153846153846156</v>
      </c>
      <c r="MF43" s="450">
        <v>-7.3100000000000005</v>
      </c>
      <c r="MG43" s="1">
        <v>0.5</v>
      </c>
      <c r="MH43" s="450">
        <v>-10.050000000000001</v>
      </c>
      <c r="MI43" s="1">
        <v>0.2857142857142857</v>
      </c>
      <c r="MJ43" s="450">
        <v>-7.66</v>
      </c>
      <c r="MK43" s="1">
        <v>0.5714285714285714</v>
      </c>
      <c r="ML43" s="450">
        <v>-17.690000000000001</v>
      </c>
      <c r="MM43" s="1">
        <v>0.25</v>
      </c>
      <c r="MN43" s="450">
        <v>-11.829999999999998</v>
      </c>
      <c r="MO43" s="1">
        <v>0.5</v>
      </c>
      <c r="MP43" s="450">
        <v>5.83</v>
      </c>
      <c r="MQ43" s="1">
        <v>0.5625</v>
      </c>
      <c r="MR43" s="450">
        <v>-13.78</v>
      </c>
      <c r="MS43" s="1">
        <v>6.6666666666666666E-2</v>
      </c>
      <c r="MT43" s="450">
        <v>3.2799999999999994</v>
      </c>
      <c r="MU43" s="1">
        <v>0.46666666666666667</v>
      </c>
      <c r="MV43" s="450">
        <v>-0.8400000000000003</v>
      </c>
      <c r="MW43" s="1">
        <v>0.625</v>
      </c>
      <c r="MX43" s="450">
        <v>6.0900000000000007</v>
      </c>
      <c r="MY43" s="1">
        <v>0.46666666666666667</v>
      </c>
      <c r="MZ43" s="450">
        <v>-4.0200000000000005</v>
      </c>
      <c r="NA43" s="1">
        <v>0.33333333333333331</v>
      </c>
      <c r="NB43" s="450">
        <v>3.48</v>
      </c>
      <c r="NC43" s="1">
        <v>0.66666666666666663</v>
      </c>
      <c r="ND43" s="450">
        <v>-12.89</v>
      </c>
      <c r="NE43" s="1">
        <v>0.26666666666666666</v>
      </c>
      <c r="NF43" s="450">
        <v>-3.2</v>
      </c>
      <c r="NG43" s="1">
        <v>0.6</v>
      </c>
      <c r="NH43" s="450">
        <v>-3.2</v>
      </c>
      <c r="NI43" s="1">
        <v>0.6</v>
      </c>
      <c r="NJ43" s="450">
        <v>1.04</v>
      </c>
      <c r="NK43" s="1">
        <v>0.53333333333333333</v>
      </c>
      <c r="NL43" s="450"/>
      <c r="NM43" s="1"/>
      <c r="NN43" s="450">
        <v>1.1499999999999999</v>
      </c>
      <c r="NO43" s="1">
        <v>0.6428571428571429</v>
      </c>
      <c r="NP43" s="450">
        <v>2.74</v>
      </c>
      <c r="NQ43" s="1">
        <v>0.81818181818181823</v>
      </c>
      <c r="NR43" s="450">
        <v>7.7799999999999994</v>
      </c>
      <c r="NS43" s="1">
        <v>0.72727272727272729</v>
      </c>
      <c r="NT43" s="450">
        <v>-3.76</v>
      </c>
      <c r="NU43" s="1">
        <v>0.30769230769230771</v>
      </c>
      <c r="NV43" s="450">
        <v>4.2700000000000005</v>
      </c>
      <c r="NW43" s="1">
        <v>0.6</v>
      </c>
      <c r="NX43" s="450">
        <v>13.380000000000003</v>
      </c>
      <c r="NY43" s="1">
        <v>0.76923076923076927</v>
      </c>
      <c r="NZ43" s="450">
        <v>1.5700000000000007</v>
      </c>
      <c r="OA43" s="1">
        <v>0.63636363636363635</v>
      </c>
      <c r="OB43" s="450">
        <v>5.85</v>
      </c>
      <c r="OC43" s="1">
        <v>0.69230769230769229</v>
      </c>
      <c r="OD43" s="450">
        <v>2.31</v>
      </c>
      <c r="OE43" s="1">
        <v>0.5714285714285714</v>
      </c>
      <c r="OF43" s="450">
        <v>-0.87</v>
      </c>
      <c r="OG43" s="1">
        <v>0.58333333333333337</v>
      </c>
      <c r="OH43" s="450">
        <v>-3.3000000000000007</v>
      </c>
      <c r="OI43" s="1">
        <v>0.1111111111111111</v>
      </c>
      <c r="OJ43" s="450">
        <v>-4.9799999999999986</v>
      </c>
      <c r="OK43" s="1">
        <v>0.5</v>
      </c>
      <c r="OL43" s="450">
        <v>0.44000000000000006</v>
      </c>
      <c r="OM43" s="1">
        <v>0.38461538461538464</v>
      </c>
      <c r="ON43" s="450">
        <v>1.07</v>
      </c>
      <c r="OO43" s="1">
        <v>0.53333333333333333</v>
      </c>
      <c r="OP43" s="450">
        <v>-2.68</v>
      </c>
      <c r="OQ43" s="1">
        <v>0.4</v>
      </c>
      <c r="OR43" s="450">
        <v>-2.5800000000000005</v>
      </c>
      <c r="OS43" s="1">
        <v>0.3125</v>
      </c>
      <c r="OT43" s="450">
        <v>0.18</v>
      </c>
      <c r="OU43" s="1">
        <v>0.5625</v>
      </c>
      <c r="OV43" s="450">
        <v>-2.48</v>
      </c>
      <c r="OW43" s="1">
        <v>0.4</v>
      </c>
      <c r="OX43" s="450">
        <v>1.1300000000000003</v>
      </c>
      <c r="OY43" s="1">
        <v>0.46666666666666667</v>
      </c>
      <c r="OZ43" s="450">
        <v>-3.7300000000000013</v>
      </c>
      <c r="PA43" s="1">
        <v>0.375</v>
      </c>
      <c r="PB43" s="450">
        <v>-5.98</v>
      </c>
      <c r="PC43" s="1">
        <v>0.5</v>
      </c>
      <c r="PD43" s="450">
        <v>-6.0499999999999989</v>
      </c>
      <c r="PE43" s="1">
        <v>0.375</v>
      </c>
      <c r="PF43" s="450">
        <v>-9.6100000000000012</v>
      </c>
      <c r="PG43" s="1">
        <v>0.2</v>
      </c>
      <c r="PH43" s="450">
        <v>7.4599999999999991</v>
      </c>
      <c r="PI43" s="1">
        <v>0.6</v>
      </c>
      <c r="PJ43" s="450">
        <v>0.10999999999999932</v>
      </c>
      <c r="PK43" s="1">
        <v>0.46666666666666667</v>
      </c>
      <c r="PL43" s="450"/>
      <c r="PM43" s="1"/>
      <c r="PN43" s="450"/>
      <c r="PO43" s="1"/>
      <c r="PP43" s="450">
        <v>2.7300000000000004</v>
      </c>
      <c r="PQ43" s="1">
        <v>0.53333333333333333</v>
      </c>
      <c r="PR43" s="450"/>
      <c r="PS43" s="1"/>
      <c r="PT43" s="450">
        <v>1.3800000000000003</v>
      </c>
      <c r="PU43" s="1">
        <v>0.625</v>
      </c>
      <c r="PV43" s="450">
        <v>-1.3199999999999998</v>
      </c>
      <c r="PW43" s="1">
        <v>0.4375</v>
      </c>
      <c r="PX43" s="450">
        <v>6.63</v>
      </c>
      <c r="PY43" s="1">
        <v>0.73333333333333328</v>
      </c>
      <c r="PZ43" s="450">
        <v>-1.6100000000000003</v>
      </c>
      <c r="QA43" s="1">
        <v>0.53333333333333333</v>
      </c>
      <c r="QB43" s="450">
        <v>-2.8499999999999996</v>
      </c>
      <c r="QC43" s="1">
        <v>0.33333333333333331</v>
      </c>
      <c r="QD43" s="450">
        <v>-7.4500000000000011</v>
      </c>
      <c r="QE43" s="1">
        <v>0.4</v>
      </c>
      <c r="QF43" s="450">
        <v>-10.129999999999999</v>
      </c>
      <c r="QG43" s="1">
        <v>0.13333333333333333</v>
      </c>
      <c r="QH43" s="450">
        <v>-7.6000000000000005</v>
      </c>
      <c r="QI43" s="1">
        <v>0.33333333333333331</v>
      </c>
      <c r="QJ43" s="450">
        <v>-0.16999999999999951</v>
      </c>
      <c r="QK43" s="1">
        <v>0.4</v>
      </c>
      <c r="QL43" s="450">
        <v>-11.49</v>
      </c>
      <c r="QM43" s="1">
        <v>0.125</v>
      </c>
      <c r="QN43" s="450">
        <v>-4.8999999999999995</v>
      </c>
      <c r="QO43" s="1">
        <v>0.46666666666666667</v>
      </c>
      <c r="QP43" s="450">
        <v>-0.90999999999999992</v>
      </c>
      <c r="QQ43" s="1">
        <v>0.53333333333333333</v>
      </c>
      <c r="QR43" s="450">
        <v>-5.5399999999999991</v>
      </c>
      <c r="QS43" s="1">
        <v>0.375</v>
      </c>
      <c r="QT43" s="450"/>
      <c r="QU43" s="1"/>
      <c r="QV43" s="450">
        <v>-2.5299999999999994</v>
      </c>
      <c r="QW43" s="1">
        <v>0.46666666666666667</v>
      </c>
      <c r="QX43" s="450">
        <v>-5.5</v>
      </c>
      <c r="QY43" s="1">
        <v>0.26666666666666666</v>
      </c>
      <c r="QZ43" s="450">
        <v>-0.79999999999999982</v>
      </c>
      <c r="RA43" s="1">
        <v>0.375</v>
      </c>
      <c r="RB43" s="450">
        <v>0.35999999999999988</v>
      </c>
      <c r="RC43" s="1">
        <v>0.53333333333333333</v>
      </c>
      <c r="RD43" s="450">
        <v>-1.5800000000000003</v>
      </c>
      <c r="RE43" s="1">
        <v>0.3125</v>
      </c>
      <c r="RF43" s="450">
        <v>1.0899999999999999</v>
      </c>
      <c r="RG43" s="1">
        <v>0.6</v>
      </c>
      <c r="RH43" s="450">
        <v>-5.7299999999999986</v>
      </c>
      <c r="RI43" s="1">
        <v>0.26666666666666666</v>
      </c>
      <c r="RJ43" s="450">
        <v>-6.27</v>
      </c>
      <c r="RK43" s="1">
        <v>0.1875</v>
      </c>
      <c r="RL43" s="450"/>
      <c r="RM43" s="1"/>
      <c r="RN43" s="450">
        <v>0.1499999999999998</v>
      </c>
      <c r="RO43" s="1">
        <v>0.46666666666666667</v>
      </c>
      <c r="RP43" s="450">
        <v>-0.7400000000000001</v>
      </c>
      <c r="RQ43" s="1">
        <v>0.46666666666666667</v>
      </c>
      <c r="RR43" s="450">
        <v>3.6799999999999988</v>
      </c>
      <c r="RS43" s="1">
        <v>0.46666666666666667</v>
      </c>
      <c r="RT43" s="450">
        <v>-4.1899999999999995</v>
      </c>
      <c r="RU43" s="1">
        <v>0.5</v>
      </c>
      <c r="RV43" s="450">
        <v>4.0600000000000005</v>
      </c>
      <c r="RW43" s="1">
        <v>0.5</v>
      </c>
      <c r="RX43" s="450">
        <v>-6.9800000000000013</v>
      </c>
      <c r="RY43" s="1">
        <v>0.26666666666666666</v>
      </c>
      <c r="RZ43" s="450">
        <v>1.4200000000000002</v>
      </c>
      <c r="SA43" s="1">
        <v>0.5625</v>
      </c>
      <c r="SB43" s="450">
        <v>-9.9099999999999984</v>
      </c>
      <c r="SC43" s="1">
        <v>0.25</v>
      </c>
      <c r="SD43" s="450">
        <v>-2.02</v>
      </c>
      <c r="SE43" s="1">
        <v>0.5625</v>
      </c>
      <c r="SF43" s="450">
        <v>-4.6899999999999986</v>
      </c>
      <c r="SG43" s="1">
        <v>0.46666666666666667</v>
      </c>
      <c r="SH43" s="450">
        <v>-9.9999999999999867E-2</v>
      </c>
      <c r="SI43" s="1">
        <v>0.6</v>
      </c>
      <c r="SJ43" s="452">
        <v>1.68</v>
      </c>
      <c r="SK43" s="1">
        <v>0.6</v>
      </c>
      <c r="SL43" s="457">
        <v>-0.36000000000000026</v>
      </c>
      <c r="SM43" s="1">
        <v>0.4375</v>
      </c>
      <c r="SN43" s="459">
        <v>3.94</v>
      </c>
      <c r="SO43" s="1">
        <v>0.66666666666666663</v>
      </c>
      <c r="SP43" s="461">
        <v>-1.79</v>
      </c>
      <c r="SQ43" s="1">
        <v>0.4375</v>
      </c>
      <c r="SR43" s="463">
        <v>2.9200000000000004</v>
      </c>
      <c r="SS43" s="1">
        <v>0.5</v>
      </c>
      <c r="ST43" s="464">
        <v>-2.44</v>
      </c>
      <c r="SU43" s="1">
        <v>0.33333333333333331</v>
      </c>
      <c r="SV43" s="466">
        <v>-1.6800000000000002</v>
      </c>
      <c r="SW43" s="1">
        <v>0.5714285714285714</v>
      </c>
      <c r="SX43" s="467">
        <v>2.9399999999999995</v>
      </c>
      <c r="SY43" s="1">
        <v>0.66666666666666663</v>
      </c>
      <c r="SZ43" s="469">
        <v>7.3</v>
      </c>
      <c r="TA43" s="1">
        <v>0.8666666666666667</v>
      </c>
      <c r="TB43" s="471">
        <v>-2.17</v>
      </c>
      <c r="TC43" s="1">
        <v>0.3125</v>
      </c>
      <c r="TD43" s="472">
        <v>-4.8600000000000012</v>
      </c>
      <c r="TE43" s="1">
        <v>0.46666666666666667</v>
      </c>
      <c r="TF43" s="474">
        <v>-1.2700000000000007</v>
      </c>
      <c r="TG43" s="1">
        <v>0.375</v>
      </c>
      <c r="TH43" s="488">
        <v>-1.5699999999999998</v>
      </c>
      <c r="TI43" s="1">
        <v>0.46666666666666667</v>
      </c>
      <c r="TJ43" s="489">
        <v>-10.149999999999999</v>
      </c>
      <c r="TK43" s="1">
        <v>0.33333333333333331</v>
      </c>
      <c r="TL43" s="490">
        <v>1.3100000000000003</v>
      </c>
      <c r="TM43" s="1">
        <v>0.5</v>
      </c>
      <c r="TN43" s="495">
        <v>-4.58</v>
      </c>
      <c r="TO43" s="1">
        <v>0.53333333333333333</v>
      </c>
      <c r="TP43" s="500">
        <v>1.0300000000000002</v>
      </c>
      <c r="TQ43" s="1">
        <v>0.5</v>
      </c>
      <c r="TR43" s="511">
        <v>-7.49</v>
      </c>
      <c r="TS43" s="1">
        <v>0.3125</v>
      </c>
      <c r="TT43" s="515">
        <v>-5.01</v>
      </c>
      <c r="TU43" s="1">
        <v>0.4</v>
      </c>
      <c r="TV43" s="518">
        <v>-11.74</v>
      </c>
      <c r="TW43" s="1">
        <v>0.125</v>
      </c>
      <c r="TX43" s="521"/>
      <c r="TY43" s="1"/>
      <c r="TZ43" s="524">
        <v>-1.7799999999999991</v>
      </c>
      <c r="UA43" s="1">
        <v>0.625</v>
      </c>
      <c r="UB43" s="527">
        <v>5.6700000000000017</v>
      </c>
      <c r="UC43" s="1">
        <v>0.625</v>
      </c>
      <c r="UD43" s="530">
        <v>3.9599999999999995</v>
      </c>
      <c r="UE43" s="1">
        <v>0.5</v>
      </c>
      <c r="UF43" s="533">
        <v>1.819999999999999</v>
      </c>
      <c r="UG43" s="1">
        <v>0.4375</v>
      </c>
      <c r="UH43" s="536">
        <v>2.6900000000000004</v>
      </c>
      <c r="UI43" s="1">
        <v>0.625</v>
      </c>
      <c r="UJ43" s="539">
        <v>-5.97</v>
      </c>
      <c r="UK43" s="1">
        <v>0.3125</v>
      </c>
      <c r="UL43" s="540">
        <v>-3.7899999999999996</v>
      </c>
      <c r="UM43" s="1">
        <v>0.3125</v>
      </c>
      <c r="UN43" s="543">
        <v>5.0000000000000044E-2</v>
      </c>
      <c r="UO43" s="1">
        <v>0.33333333333333331</v>
      </c>
      <c r="UP43" s="544">
        <v>-1.5199999999999998</v>
      </c>
      <c r="UQ43" s="1">
        <v>0.6875</v>
      </c>
      <c r="UR43" s="551">
        <v>-9.5</v>
      </c>
      <c r="US43" s="1">
        <v>0.3125</v>
      </c>
      <c r="UT43" s="551">
        <v>-1.25</v>
      </c>
      <c r="UU43" s="1">
        <v>0.5625</v>
      </c>
      <c r="UV43" s="562">
        <v>-3.0100000000000002</v>
      </c>
      <c r="UW43" s="1">
        <v>0.4375</v>
      </c>
      <c r="UX43" s="566">
        <v>0.72999999999999976</v>
      </c>
      <c r="UY43" s="1">
        <v>0.4375</v>
      </c>
      <c r="UZ43" s="568">
        <v>-2.9999999999999916E-2</v>
      </c>
      <c r="VA43" s="1">
        <v>0.5</v>
      </c>
      <c r="VB43" s="572">
        <v>2.2199999999999998</v>
      </c>
      <c r="VC43" s="1">
        <v>0.5625</v>
      </c>
      <c r="VD43" s="576">
        <v>1.3599999999999999</v>
      </c>
      <c r="VE43" s="1">
        <v>0.5</v>
      </c>
      <c r="VF43" s="580">
        <v>-7.25</v>
      </c>
      <c r="VG43" s="1">
        <v>0.25</v>
      </c>
      <c r="VH43" s="584">
        <v>-5.2600000000000007</v>
      </c>
      <c r="VI43" s="1">
        <v>0.375</v>
      </c>
      <c r="VJ43" s="589">
        <v>1.07</v>
      </c>
      <c r="VK43" s="1">
        <v>0.5625</v>
      </c>
      <c r="VL43" s="593">
        <v>0.76999999999999957</v>
      </c>
      <c r="VM43" s="1">
        <v>0.5</v>
      </c>
      <c r="VN43" s="597">
        <v>-6.73</v>
      </c>
      <c r="VO43" s="1">
        <v>0.3125</v>
      </c>
      <c r="VP43" s="601">
        <v>-3.6099999999999994</v>
      </c>
      <c r="VQ43" s="1">
        <v>0.3125</v>
      </c>
      <c r="VR43" s="603">
        <v>-4.12</v>
      </c>
      <c r="VS43" s="1">
        <v>0.3125</v>
      </c>
      <c r="VT43" s="607">
        <v>-0.64000000000000046</v>
      </c>
      <c r="VU43" s="1">
        <v>0.5</v>
      </c>
      <c r="VV43" s="609">
        <v>-4.4599999999999991</v>
      </c>
      <c r="VW43" s="1">
        <v>0.5</v>
      </c>
      <c r="VX43" s="613">
        <v>1.25</v>
      </c>
      <c r="VY43" s="1">
        <v>0.5625</v>
      </c>
      <c r="VZ43" s="617">
        <v>0.64999999999999991</v>
      </c>
      <c r="WA43" s="1">
        <v>0.4375</v>
      </c>
      <c r="WB43" s="619"/>
      <c r="WC43" s="1"/>
      <c r="WD43" s="624">
        <v>-2.4500000000000006</v>
      </c>
      <c r="WE43" s="1">
        <v>0.375</v>
      </c>
      <c r="WF43" s="626">
        <v>-10.64</v>
      </c>
      <c r="WG43" s="1">
        <v>0.1875</v>
      </c>
      <c r="WH43" s="630">
        <v>-6.1899999999999995</v>
      </c>
      <c r="WI43" s="1">
        <v>0.3125</v>
      </c>
      <c r="WJ43" s="636">
        <v>-6.56</v>
      </c>
      <c r="WK43" s="1">
        <v>0.4375</v>
      </c>
      <c r="WL43" s="638">
        <v>-3.1399999999999997</v>
      </c>
      <c r="WM43" s="1">
        <v>0.1875</v>
      </c>
      <c r="WN43" s="642">
        <v>-6.33</v>
      </c>
      <c r="WO43" s="1">
        <v>0.1875</v>
      </c>
      <c r="WP43" s="646">
        <v>-0.64</v>
      </c>
      <c r="WQ43" s="1">
        <v>0.5</v>
      </c>
      <c r="WR43" s="652">
        <v>-3.59</v>
      </c>
      <c r="WS43" s="1">
        <v>0.5</v>
      </c>
      <c r="WT43" s="659">
        <v>-5.8099999999999987</v>
      </c>
      <c r="WU43" s="1">
        <v>0.25</v>
      </c>
      <c r="WV43" s="659">
        <v>-2.9900000000000011</v>
      </c>
      <c r="WW43" s="1">
        <v>0.375</v>
      </c>
      <c r="WX43" s="672">
        <v>-7.7200000000000006</v>
      </c>
      <c r="WY43" s="1">
        <v>0.25</v>
      </c>
      <c r="WZ43" s="677"/>
      <c r="XA43" s="1"/>
      <c r="XB43" s="681">
        <v>-6.1700000000000008</v>
      </c>
      <c r="XC43" s="1">
        <v>0.3125</v>
      </c>
      <c r="XD43" s="683">
        <v>-4.33</v>
      </c>
      <c r="XE43" s="1">
        <v>0.53333333333333333</v>
      </c>
      <c r="XF43" s="687">
        <v>-2.2799999999999985</v>
      </c>
      <c r="XG43" s="1">
        <v>0.4375</v>
      </c>
      <c r="XH43" s="689">
        <v>3.6100000000000003</v>
      </c>
      <c r="XI43" s="1">
        <v>0.5625</v>
      </c>
      <c r="XJ43" s="696">
        <v>-5.080000000000001</v>
      </c>
      <c r="XK43" s="1">
        <v>0.375</v>
      </c>
      <c r="XL43" s="696">
        <v>-5.080000000000001</v>
      </c>
      <c r="XM43" s="1">
        <v>0.3125</v>
      </c>
      <c r="XN43" s="696">
        <v>4.8600000000000012</v>
      </c>
      <c r="XO43" s="1">
        <v>0.5625</v>
      </c>
      <c r="XP43" s="700">
        <v>-4.07</v>
      </c>
      <c r="XQ43" s="1">
        <v>0.5</v>
      </c>
      <c r="XR43" s="705">
        <v>-11.090000000000002</v>
      </c>
      <c r="XS43" s="1">
        <v>0.34375</v>
      </c>
      <c r="XT43" s="709">
        <v>-2.82</v>
      </c>
      <c r="XU43" s="1">
        <v>0.375</v>
      </c>
      <c r="XV43" s="715"/>
      <c r="XW43" s="1"/>
    </row>
    <row r="44" spans="2:647" x14ac:dyDescent="0.25">
      <c r="B44" s="755"/>
      <c r="C44" s="764"/>
      <c r="D44" s="757" t="s">
        <v>15</v>
      </c>
      <c r="E44" s="757"/>
      <c r="F44" s="448">
        <v>0.2</v>
      </c>
      <c r="G44" s="768"/>
      <c r="H44" s="450">
        <v>2.7453846153846158</v>
      </c>
      <c r="I44" s="1">
        <v>0.46666666666666667</v>
      </c>
      <c r="J44" s="450">
        <v>-2.971538461538461</v>
      </c>
      <c r="K44" s="1">
        <v>0.45454545454545453</v>
      </c>
      <c r="L44" s="450"/>
      <c r="M44" s="1"/>
      <c r="N44" s="450">
        <v>-0.83076923076923093</v>
      </c>
      <c r="O44" s="1">
        <v>0.375</v>
      </c>
      <c r="P44" s="450">
        <v>-0.63846153846153808</v>
      </c>
      <c r="Q44" s="1">
        <v>0.33333333333333331</v>
      </c>
      <c r="R44" s="450">
        <v>-4.9230769230769272E-2</v>
      </c>
      <c r="S44" s="1">
        <v>0.45454545454545453</v>
      </c>
      <c r="T44" s="450"/>
      <c r="U44" s="1"/>
      <c r="V44" s="450">
        <v>-3.907692307692308</v>
      </c>
      <c r="W44" s="1">
        <v>0.3</v>
      </c>
      <c r="X44" s="450"/>
      <c r="Y44" s="1"/>
      <c r="Z44" s="450">
        <v>-5.6915384615384621</v>
      </c>
      <c r="AA44" s="1">
        <v>0.41666666666666669</v>
      </c>
      <c r="AB44" s="450"/>
      <c r="AC44" s="1"/>
      <c r="AD44" s="450">
        <v>4.2415384615384619</v>
      </c>
      <c r="AE44" s="1">
        <v>0.81818181818181823</v>
      </c>
      <c r="AF44" s="450"/>
      <c r="AG44" s="1"/>
      <c r="AH44" s="450">
        <v>2.223846153846154</v>
      </c>
      <c r="AI44" s="1">
        <v>0.66666666666666663</v>
      </c>
      <c r="AJ44" s="450">
        <v>0.66230769230769237</v>
      </c>
      <c r="AK44" s="1">
        <v>0.5</v>
      </c>
      <c r="AL44" s="450">
        <v>-1.3476923076923073</v>
      </c>
      <c r="AM44" s="1">
        <v>0.375</v>
      </c>
      <c r="AN44" s="450"/>
      <c r="AO44" s="1"/>
      <c r="AP44" s="450">
        <v>-0.38307692307692337</v>
      </c>
      <c r="AQ44" s="1">
        <v>0.5714285714285714</v>
      </c>
      <c r="AR44" s="450">
        <v>-2.7292307692307696</v>
      </c>
      <c r="AS44" s="1">
        <v>0.33333333333333331</v>
      </c>
      <c r="AT44" s="450"/>
      <c r="AU44" s="1"/>
      <c r="AV44" s="450">
        <v>1.47</v>
      </c>
      <c r="AW44" s="1">
        <v>0.75</v>
      </c>
      <c r="AX44" s="450">
        <v>-5.6438461538461535</v>
      </c>
      <c r="AY44" s="1">
        <v>0.16666666666666666</v>
      </c>
      <c r="AZ44" s="450">
        <v>-3.2069230769230774</v>
      </c>
      <c r="BA44" s="1">
        <v>0.33333333333333331</v>
      </c>
      <c r="BB44" s="450">
        <v>-1.6069230769230765</v>
      </c>
      <c r="BC44" s="1">
        <v>0.375</v>
      </c>
      <c r="BD44" s="450"/>
      <c r="BE44" s="1"/>
      <c r="BF44" s="450">
        <v>-6.3533333333333344</v>
      </c>
      <c r="BG44" s="1">
        <v>0.4</v>
      </c>
      <c r="BH44" s="450">
        <v>-3.1753333333333336</v>
      </c>
      <c r="BI44" s="1">
        <v>0.375</v>
      </c>
      <c r="BJ44" s="450">
        <v>4.3866666666666667</v>
      </c>
      <c r="BK44" s="1">
        <v>0.8</v>
      </c>
      <c r="BL44" s="450">
        <v>1.2246666666666668</v>
      </c>
      <c r="BM44" s="1">
        <v>0.66666666666666663</v>
      </c>
      <c r="BN44" s="450"/>
      <c r="BO44" s="1"/>
      <c r="BP44" s="450">
        <v>-3.8580000000000001</v>
      </c>
      <c r="BQ44" s="1">
        <v>0.3</v>
      </c>
      <c r="BR44" s="450">
        <v>1.6673333333333331</v>
      </c>
      <c r="BS44" s="1">
        <v>0.8</v>
      </c>
      <c r="BT44" s="450"/>
      <c r="BU44" s="1"/>
      <c r="BV44" s="450"/>
      <c r="BW44" s="1"/>
      <c r="BX44" s="450">
        <v>-3.5973333333333333</v>
      </c>
      <c r="BY44" s="1">
        <v>0.41666666666666669</v>
      </c>
      <c r="BZ44" s="450">
        <v>-1.284</v>
      </c>
      <c r="CA44" s="1">
        <v>0.45454545454545453</v>
      </c>
      <c r="CB44" s="450">
        <v>2.016</v>
      </c>
      <c r="CC44" s="1">
        <v>0.75</v>
      </c>
      <c r="CD44" s="450">
        <v>1.9466666666666665</v>
      </c>
      <c r="CE44" s="1">
        <v>0.625</v>
      </c>
      <c r="CF44" s="450">
        <v>-6.3066666666666666</v>
      </c>
      <c r="CG44" s="1">
        <v>0.4</v>
      </c>
      <c r="CH44" s="450"/>
      <c r="CI44" s="1"/>
      <c r="CJ44" s="450">
        <v>-4.6740000000000004</v>
      </c>
      <c r="CK44" s="1">
        <v>0.25</v>
      </c>
      <c r="CL44" s="450">
        <v>2.1453333333333333</v>
      </c>
      <c r="CM44" s="1">
        <v>0.7142857142857143</v>
      </c>
      <c r="CN44" s="450"/>
      <c r="CO44" s="1"/>
      <c r="CP44" s="450">
        <v>-1.0006666666666666</v>
      </c>
      <c r="CQ44" s="1">
        <v>0.33333333333333331</v>
      </c>
      <c r="CR44" s="450">
        <v>-1.2473333333333334</v>
      </c>
      <c r="CS44" s="1">
        <v>0.33333333333333331</v>
      </c>
      <c r="CT44" s="450">
        <v>0.29733333333333317</v>
      </c>
      <c r="CU44" s="1">
        <v>0.5</v>
      </c>
      <c r="CV44" s="450">
        <v>0.30933333333333335</v>
      </c>
      <c r="CW44" s="1">
        <v>0.63636363636363635</v>
      </c>
      <c r="CX44" s="450">
        <v>-1.3306666666666667</v>
      </c>
      <c r="CY44" s="1">
        <v>0.625</v>
      </c>
      <c r="CZ44" s="450">
        <v>2.9346666666666672</v>
      </c>
      <c r="DA44" s="1">
        <v>0.69230769230769229</v>
      </c>
      <c r="DB44" s="450">
        <v>-2.1773333333333329</v>
      </c>
      <c r="DC44" s="1">
        <v>0.54545454545454541</v>
      </c>
      <c r="DD44" s="450">
        <v>-2.4839999999999995</v>
      </c>
      <c r="DE44" s="1">
        <v>0.4</v>
      </c>
      <c r="DF44" s="450">
        <v>-1.2486666666666664</v>
      </c>
      <c r="DG44" s="1">
        <v>0.6</v>
      </c>
      <c r="DH44" s="450">
        <v>1.6733333333333333</v>
      </c>
      <c r="DI44" s="1">
        <v>0.8</v>
      </c>
      <c r="DJ44" s="450">
        <v>0.35600000000000009</v>
      </c>
      <c r="DK44" s="1">
        <v>0.6</v>
      </c>
      <c r="DL44" s="450">
        <v>-5.4506666666666659</v>
      </c>
      <c r="DM44" s="1">
        <v>0.2857142857142857</v>
      </c>
      <c r="DN44" s="450">
        <v>-3.5833333333333335</v>
      </c>
      <c r="DO44" s="1">
        <v>0.3</v>
      </c>
      <c r="DP44" s="450">
        <v>-2.6399999999999997</v>
      </c>
      <c r="DQ44" s="1">
        <v>0.33333333333333331</v>
      </c>
      <c r="DR44" s="450">
        <v>0.27888888888888885</v>
      </c>
      <c r="DS44" s="1">
        <v>0.5</v>
      </c>
      <c r="DT44" s="450"/>
      <c r="DU44" s="1"/>
      <c r="DV44" s="450">
        <v>-6.4853333333333332</v>
      </c>
      <c r="DW44" s="1">
        <v>0.2857142857142857</v>
      </c>
      <c r="DX44" s="450">
        <v>-6.4853333333333332</v>
      </c>
      <c r="DY44" s="1">
        <v>0.2857142857142857</v>
      </c>
      <c r="DZ44" s="450">
        <v>-0.8626666666666668</v>
      </c>
      <c r="EA44" s="1">
        <v>0.2857142857142857</v>
      </c>
      <c r="EB44" s="450">
        <v>-0.68333333333333335</v>
      </c>
      <c r="EC44" s="1">
        <v>0.33333333333333331</v>
      </c>
      <c r="ED44" s="450">
        <v>4.2473333333333336</v>
      </c>
      <c r="EE44" s="1">
        <v>0.8</v>
      </c>
      <c r="EF44" s="450">
        <v>-6.416666666666667</v>
      </c>
      <c r="EG44" s="1">
        <v>0.25</v>
      </c>
      <c r="EH44" s="450">
        <v>1.3833333333333333</v>
      </c>
      <c r="EI44" s="1">
        <v>0.66666666666666663</v>
      </c>
      <c r="EJ44" s="450">
        <v>1.5613333333333337</v>
      </c>
      <c r="EK44" s="1">
        <v>0.75</v>
      </c>
      <c r="EL44" s="450"/>
      <c r="EM44" s="1"/>
      <c r="EN44" s="450">
        <v>-6.8000000000000324E-2</v>
      </c>
      <c r="EO44" s="1">
        <v>0.63636363636363635</v>
      </c>
      <c r="EP44" s="450"/>
      <c r="EQ44" s="1"/>
      <c r="ER44" s="450">
        <v>-2.8773333333333331</v>
      </c>
      <c r="ES44" s="1">
        <v>0.5</v>
      </c>
      <c r="ET44" s="450">
        <v>-0.78533333333333344</v>
      </c>
      <c r="EU44" s="1">
        <v>0.5</v>
      </c>
      <c r="EV44" s="450">
        <v>2.0133333333333332</v>
      </c>
      <c r="EW44" s="1">
        <v>1</v>
      </c>
      <c r="EX44" s="450">
        <v>-0.14533333333333356</v>
      </c>
      <c r="EY44" s="1">
        <v>0.55555555555555558</v>
      </c>
      <c r="EZ44" s="450">
        <v>-2.1080000000000005</v>
      </c>
      <c r="FA44" s="1">
        <v>0.42857142857142855</v>
      </c>
      <c r="FB44" s="450">
        <v>-1.77</v>
      </c>
      <c r="FC44" s="1">
        <v>0.33333333333333331</v>
      </c>
      <c r="FD44" s="450">
        <v>5.2</v>
      </c>
      <c r="FE44" s="1">
        <v>0.83333333333333337</v>
      </c>
      <c r="FF44" s="450">
        <v>3.4699999999999998</v>
      </c>
      <c r="FG44" s="1">
        <v>0.66666666666666663</v>
      </c>
      <c r="FH44" s="450">
        <v>-6.2099999999999982</v>
      </c>
      <c r="FI44" s="1">
        <v>0.44444444444444442</v>
      </c>
      <c r="FJ44" s="450">
        <v>-5.31</v>
      </c>
      <c r="FK44" s="1">
        <v>0.42857142857142855</v>
      </c>
      <c r="FL44" s="450">
        <v>-4.3599999999999994</v>
      </c>
      <c r="FM44" s="1">
        <v>0.55555555555555558</v>
      </c>
      <c r="FN44" s="450">
        <v>2.6799999999999997</v>
      </c>
      <c r="FO44" s="1">
        <v>0.5</v>
      </c>
      <c r="FP44" s="450">
        <v>-3.5100000000000002</v>
      </c>
      <c r="FQ44" s="1">
        <v>0.58333333333333337</v>
      </c>
      <c r="FR44" s="450">
        <v>0.89000000000000012</v>
      </c>
      <c r="FS44" s="1">
        <v>0.66666666666666663</v>
      </c>
      <c r="FT44" s="450">
        <v>2.0999999999999996</v>
      </c>
      <c r="FU44" s="1">
        <v>0.75</v>
      </c>
      <c r="FV44" s="450">
        <v>-0.33000000000000029</v>
      </c>
      <c r="FW44" s="1">
        <v>0.5714285714285714</v>
      </c>
      <c r="FX44" s="450">
        <v>-0.15000000000000013</v>
      </c>
      <c r="FY44" s="1">
        <v>0.8</v>
      </c>
      <c r="FZ44" s="450">
        <v>-4.79</v>
      </c>
      <c r="GA44" s="1">
        <v>0.5</v>
      </c>
      <c r="GB44" s="450">
        <v>-10.77</v>
      </c>
      <c r="GC44" s="1">
        <v>0</v>
      </c>
      <c r="GD44" s="450">
        <v>4.3000000000000007</v>
      </c>
      <c r="GE44" s="1">
        <v>1</v>
      </c>
      <c r="GF44" s="450">
        <v>-7.35</v>
      </c>
      <c r="GG44" s="1">
        <v>0.14285714285714285</v>
      </c>
      <c r="GH44" s="450">
        <v>-12.43</v>
      </c>
      <c r="GI44" s="1">
        <v>0.25</v>
      </c>
      <c r="GJ44" s="450">
        <v>0.7799999999999998</v>
      </c>
      <c r="GK44" s="1">
        <v>0.66666666666666663</v>
      </c>
      <c r="GL44" s="450">
        <v>-3.88</v>
      </c>
      <c r="GM44" s="1">
        <v>0.5</v>
      </c>
      <c r="GN44" s="450">
        <v>-5.73</v>
      </c>
      <c r="GO44" s="1">
        <v>0.5</v>
      </c>
      <c r="GP44" s="450">
        <v>-1.0700000000000003</v>
      </c>
      <c r="GQ44" s="1">
        <v>0.375</v>
      </c>
      <c r="GR44" s="450">
        <v>-2.7399999999999998</v>
      </c>
      <c r="GS44" s="1">
        <v>0.4</v>
      </c>
      <c r="GT44" s="450">
        <v>-5.2100000000000009</v>
      </c>
      <c r="GU44" s="1">
        <v>0.25</v>
      </c>
      <c r="GV44" s="450">
        <v>5.22</v>
      </c>
      <c r="GW44" s="1">
        <v>0.8571428571428571</v>
      </c>
      <c r="GX44" s="450">
        <v>-4.3</v>
      </c>
      <c r="GY44" s="1">
        <v>0</v>
      </c>
      <c r="GZ44" s="450">
        <v>-3.8500000000000005</v>
      </c>
      <c r="HA44" s="1">
        <v>0.2</v>
      </c>
      <c r="HB44" s="450">
        <v>-5.08</v>
      </c>
      <c r="HC44" s="1">
        <v>0.5</v>
      </c>
      <c r="HD44" s="450">
        <v>-1.1499999999999999</v>
      </c>
      <c r="HE44" s="1">
        <v>0.4</v>
      </c>
      <c r="HF44" s="450">
        <v>-0.7799999999999998</v>
      </c>
      <c r="HG44" s="1">
        <v>0.4</v>
      </c>
      <c r="HH44" s="450">
        <v>5.6000000000000005</v>
      </c>
      <c r="HI44" s="1">
        <v>0.75</v>
      </c>
      <c r="HJ44" s="450">
        <v>-0.87000000000000011</v>
      </c>
      <c r="HK44" s="1">
        <v>0.5</v>
      </c>
      <c r="HL44" s="450">
        <v>-1.36</v>
      </c>
      <c r="HM44" s="1">
        <v>0.55555555555555558</v>
      </c>
      <c r="HN44" s="450">
        <v>-3.4999999999999991</v>
      </c>
      <c r="HO44" s="1">
        <v>0.6</v>
      </c>
      <c r="HP44" s="450">
        <v>-4.05</v>
      </c>
      <c r="HQ44" s="1">
        <v>0.33333333333333331</v>
      </c>
      <c r="HR44" s="450">
        <v>1.3399999999999994</v>
      </c>
      <c r="HS44" s="1">
        <v>0.5</v>
      </c>
      <c r="HT44" s="450">
        <v>-1.39</v>
      </c>
      <c r="HU44" s="1">
        <v>0.42857142857142855</v>
      </c>
      <c r="HV44" s="450">
        <v>2.59</v>
      </c>
      <c r="HW44" s="1">
        <v>1</v>
      </c>
      <c r="HX44" s="450">
        <v>-0.79999999999999982</v>
      </c>
      <c r="HY44" s="1">
        <v>0.55555555555555558</v>
      </c>
      <c r="HZ44" s="450"/>
      <c r="IA44" s="1"/>
      <c r="IB44" s="450">
        <v>-10.29</v>
      </c>
      <c r="IC44" s="1">
        <v>0.2857142857142857</v>
      </c>
      <c r="ID44" s="450">
        <v>5.3499999999999988</v>
      </c>
      <c r="IE44" s="1">
        <v>0.83333333333333337</v>
      </c>
      <c r="IF44" s="450">
        <v>-6.6899999999999995</v>
      </c>
      <c r="IG44" s="1">
        <v>0</v>
      </c>
      <c r="IH44" s="450">
        <v>-0.61</v>
      </c>
      <c r="II44" s="1">
        <v>0.66666666666666663</v>
      </c>
      <c r="IJ44" s="450">
        <v>2.4399999999999995</v>
      </c>
      <c r="IK44" s="1">
        <v>0.8</v>
      </c>
      <c r="IL44" s="450">
        <v>-5.2100000000000009</v>
      </c>
      <c r="IM44" s="1">
        <v>0.5</v>
      </c>
      <c r="IN44" s="450">
        <v>1.6700000000000002</v>
      </c>
      <c r="IO44" s="1">
        <v>1</v>
      </c>
      <c r="IP44" s="450">
        <v>-1.4600000000000002</v>
      </c>
      <c r="IQ44" s="1">
        <v>0.5</v>
      </c>
      <c r="IR44" s="450"/>
      <c r="IS44" s="1"/>
      <c r="IT44" s="450"/>
      <c r="IU44" s="1"/>
      <c r="IV44" s="450">
        <v>5.8000000000000007</v>
      </c>
      <c r="IW44" s="1">
        <v>0.625</v>
      </c>
      <c r="IX44" s="450"/>
      <c r="IY44" s="1"/>
      <c r="IZ44" s="450"/>
      <c r="JA44" s="1"/>
      <c r="JB44" s="450">
        <v>-2.3499999999999996</v>
      </c>
      <c r="JC44" s="1">
        <v>0.4</v>
      </c>
      <c r="JD44" s="450"/>
      <c r="JE44" s="1"/>
      <c r="JF44" s="450">
        <v>4.7300000000000004</v>
      </c>
      <c r="JG44" s="1">
        <v>1</v>
      </c>
      <c r="JH44" s="450">
        <v>-1.9900000000000004</v>
      </c>
      <c r="JI44" s="1">
        <v>0.5</v>
      </c>
      <c r="JJ44" s="450">
        <v>-0.32000000000000028</v>
      </c>
      <c r="JK44" s="1">
        <v>0.66666666666666663</v>
      </c>
      <c r="JL44" s="450"/>
      <c r="JM44" s="1"/>
      <c r="JN44" s="450">
        <v>4.9399999999999995</v>
      </c>
      <c r="JO44" s="1">
        <v>1</v>
      </c>
      <c r="JP44" s="450">
        <v>-2.7800000000000002</v>
      </c>
      <c r="JQ44" s="1">
        <v>0.2857142857142857</v>
      </c>
      <c r="JR44" s="450">
        <v>0.12000000000000011</v>
      </c>
      <c r="JS44" s="1">
        <v>0.33333333333333331</v>
      </c>
      <c r="JT44" s="450"/>
      <c r="JU44" s="1"/>
      <c r="JV44" s="450"/>
      <c r="JW44" s="1"/>
      <c r="JX44" s="450">
        <v>0.96000000000000019</v>
      </c>
      <c r="JY44" s="1">
        <v>0.5</v>
      </c>
      <c r="JZ44" s="450">
        <v>3</v>
      </c>
      <c r="KA44" s="1">
        <v>1</v>
      </c>
      <c r="KB44" s="450">
        <v>-6.83</v>
      </c>
      <c r="KC44" s="1">
        <v>0.2</v>
      </c>
      <c r="KD44" s="450">
        <v>5.05</v>
      </c>
      <c r="KE44" s="1">
        <v>0.8</v>
      </c>
      <c r="KF44" s="450">
        <v>0.31000000000000005</v>
      </c>
      <c r="KG44" s="1">
        <v>0.5</v>
      </c>
      <c r="KH44" s="450">
        <v>-10.11</v>
      </c>
      <c r="KI44" s="1">
        <v>0.22222222222222221</v>
      </c>
      <c r="KJ44" s="450">
        <v>-0.85999999999999965</v>
      </c>
      <c r="KK44" s="1">
        <v>0.25</v>
      </c>
      <c r="KL44" s="450">
        <v>-8.4700000000000006</v>
      </c>
      <c r="KM44" s="1">
        <v>0</v>
      </c>
      <c r="KN44" s="450">
        <v>-2.92</v>
      </c>
      <c r="KO44" s="1">
        <v>0.33333333333333331</v>
      </c>
      <c r="KP44" s="450">
        <v>-7.34</v>
      </c>
      <c r="KQ44" s="1">
        <v>0</v>
      </c>
      <c r="KR44" s="450">
        <v>0.81000000000000028</v>
      </c>
      <c r="KS44" s="1">
        <v>0.8</v>
      </c>
      <c r="KT44" s="450"/>
      <c r="KU44" s="1"/>
      <c r="KV44" s="450">
        <v>5.26</v>
      </c>
      <c r="KW44" s="1">
        <v>0.83333333333333337</v>
      </c>
      <c r="KX44" s="450">
        <v>1.8699999999999999</v>
      </c>
      <c r="KY44" s="1">
        <v>0.66666666666666663</v>
      </c>
      <c r="KZ44" s="450">
        <v>-9.69</v>
      </c>
      <c r="LA44" s="1">
        <v>0</v>
      </c>
      <c r="LB44" s="450">
        <v>-1.46</v>
      </c>
      <c r="LC44" s="1">
        <v>0.5</v>
      </c>
      <c r="LD44" s="450">
        <v>-0.8199999999999994</v>
      </c>
      <c r="LE44" s="1">
        <v>0.6</v>
      </c>
      <c r="LF44" s="450">
        <v>3.4399999999999995</v>
      </c>
      <c r="LG44" s="1">
        <v>0.8</v>
      </c>
      <c r="LH44" s="450">
        <v>-7.5300000000000011</v>
      </c>
      <c r="LI44" s="1">
        <v>0.42857142857142855</v>
      </c>
      <c r="LJ44" s="450">
        <v>-2.8600000000000003</v>
      </c>
      <c r="LK44" s="1">
        <v>0.5714285714285714</v>
      </c>
      <c r="LL44" s="450"/>
      <c r="LM44" s="1"/>
      <c r="LN44" s="450">
        <v>6.5600000000000005</v>
      </c>
      <c r="LO44" s="1">
        <v>0.8571428571428571</v>
      </c>
      <c r="LP44" s="450">
        <v>-6.9300000000000015</v>
      </c>
      <c r="LQ44" s="1">
        <v>0.5</v>
      </c>
      <c r="LR44" s="450">
        <v>4.8900000000000006</v>
      </c>
      <c r="LS44" s="1">
        <v>1</v>
      </c>
      <c r="LT44" s="450">
        <v>8.18</v>
      </c>
      <c r="LU44" s="1">
        <v>1</v>
      </c>
      <c r="LV44" s="450">
        <v>6.08</v>
      </c>
      <c r="LW44" s="1">
        <v>0.8</v>
      </c>
      <c r="LX44" s="450">
        <v>-2.7399999999999998</v>
      </c>
      <c r="LY44" s="1">
        <v>0.6</v>
      </c>
      <c r="LZ44" s="450">
        <v>1.7199999999999998</v>
      </c>
      <c r="MA44" s="1">
        <v>0.7142857142857143</v>
      </c>
      <c r="MB44" s="450">
        <v>2.0199999999999996</v>
      </c>
      <c r="MC44" s="1">
        <v>0.7142857142857143</v>
      </c>
      <c r="MD44" s="450">
        <v>1.2100000000000002</v>
      </c>
      <c r="ME44" s="1">
        <v>0.75</v>
      </c>
      <c r="MF44" s="450"/>
      <c r="MG44" s="1"/>
      <c r="MH44" s="450">
        <v>-2.9699999999999998</v>
      </c>
      <c r="MI44" s="1">
        <v>0.5714285714285714</v>
      </c>
      <c r="MJ44" s="450">
        <v>0.34999999999999987</v>
      </c>
      <c r="MK44" s="1">
        <v>0.66666666666666663</v>
      </c>
      <c r="ML44" s="450">
        <v>-8.02</v>
      </c>
      <c r="MM44" s="1">
        <v>0.42857142857142855</v>
      </c>
      <c r="MN44" s="450">
        <v>-6.54</v>
      </c>
      <c r="MO44" s="1">
        <v>0.54545454545454541</v>
      </c>
      <c r="MP44" s="450">
        <v>-4.75</v>
      </c>
      <c r="MQ44" s="1">
        <v>0.33333333333333331</v>
      </c>
      <c r="MR44" s="450">
        <v>-13.159999999999998</v>
      </c>
      <c r="MS44" s="1">
        <v>0.2857142857142857</v>
      </c>
      <c r="MT44" s="450">
        <v>-7.0200000000000005</v>
      </c>
      <c r="MU44" s="1">
        <v>0.25</v>
      </c>
      <c r="MV44" s="450">
        <v>6.75</v>
      </c>
      <c r="MW44" s="1">
        <v>0.8</v>
      </c>
      <c r="MX44" s="450">
        <v>-5.66</v>
      </c>
      <c r="MY44" s="1">
        <v>0.25</v>
      </c>
      <c r="MZ44" s="450">
        <v>-9.5500000000000007</v>
      </c>
      <c r="NA44" s="1">
        <v>0.44444444444444442</v>
      </c>
      <c r="NB44" s="450">
        <v>-1.5599999999999998</v>
      </c>
      <c r="NC44" s="1">
        <v>0.6</v>
      </c>
      <c r="ND44" s="450">
        <v>-1.6099999999999999</v>
      </c>
      <c r="NE44" s="1">
        <v>0.5</v>
      </c>
      <c r="NF44" s="450">
        <v>-9.7000000000000028</v>
      </c>
      <c r="NG44" s="1">
        <v>0.44444444444444442</v>
      </c>
      <c r="NH44" s="450">
        <v>-9.7000000000000028</v>
      </c>
      <c r="NI44" s="1">
        <v>0.44444444444444442</v>
      </c>
      <c r="NJ44" s="450">
        <v>-2.29</v>
      </c>
      <c r="NK44" s="1">
        <v>0.6</v>
      </c>
      <c r="NL44" s="450"/>
      <c r="NM44" s="1"/>
      <c r="NN44" s="450">
        <v>0.7400000000000001</v>
      </c>
      <c r="NO44" s="1">
        <v>0.5</v>
      </c>
      <c r="NP44" s="450">
        <v>4.9800000000000004</v>
      </c>
      <c r="NQ44" s="1">
        <v>1</v>
      </c>
      <c r="NR44" s="450">
        <v>7.9999999999999849E-2</v>
      </c>
      <c r="NS44" s="1">
        <v>0.66666666666666663</v>
      </c>
      <c r="NT44" s="450">
        <v>-3.24</v>
      </c>
      <c r="NU44" s="1">
        <v>0</v>
      </c>
      <c r="NV44" s="450">
        <v>6.56</v>
      </c>
      <c r="NW44" s="1">
        <v>1</v>
      </c>
      <c r="NX44" s="450">
        <v>4.87</v>
      </c>
      <c r="NY44" s="1">
        <v>1</v>
      </c>
      <c r="NZ44" s="450">
        <v>-9.5299999999999994</v>
      </c>
      <c r="OA44" s="1">
        <v>0.25</v>
      </c>
      <c r="OB44" s="450">
        <v>0.65999999999999992</v>
      </c>
      <c r="OC44" s="1">
        <v>0.6</v>
      </c>
      <c r="OD44" s="450">
        <v>5.3200000000000012</v>
      </c>
      <c r="OE44" s="1">
        <v>0.8571428571428571</v>
      </c>
      <c r="OF44" s="450">
        <v>0.20999999999999996</v>
      </c>
      <c r="OG44" s="1">
        <v>0.7142857142857143</v>
      </c>
      <c r="OH44" s="450">
        <v>-4.92</v>
      </c>
      <c r="OI44" s="1">
        <v>0.5</v>
      </c>
      <c r="OJ44" s="450">
        <v>4.93</v>
      </c>
      <c r="OK44" s="1">
        <v>0.75</v>
      </c>
      <c r="OL44" s="450">
        <v>-6.9300000000000006</v>
      </c>
      <c r="OM44" s="1">
        <v>0.33333333333333331</v>
      </c>
      <c r="ON44" s="450">
        <v>-1.1399999999999999</v>
      </c>
      <c r="OO44" s="1">
        <v>0.625</v>
      </c>
      <c r="OP44" s="450">
        <v>4.45</v>
      </c>
      <c r="OQ44" s="1">
        <v>0.75</v>
      </c>
      <c r="OR44" s="450">
        <v>-0.36999999999999944</v>
      </c>
      <c r="OS44" s="1">
        <v>0.66666666666666663</v>
      </c>
      <c r="OT44" s="450">
        <v>-3.41</v>
      </c>
      <c r="OU44" s="1">
        <v>0.4</v>
      </c>
      <c r="OV44" s="450">
        <v>-11.49</v>
      </c>
      <c r="OW44" s="1">
        <v>0.16666666666666666</v>
      </c>
      <c r="OX44" s="450">
        <v>-15.91</v>
      </c>
      <c r="OY44" s="1">
        <v>0.14285714285714285</v>
      </c>
      <c r="OZ44" s="450">
        <v>11.36</v>
      </c>
      <c r="PA44" s="1">
        <v>1</v>
      </c>
      <c r="PB44" s="450">
        <v>1.7000000000000004</v>
      </c>
      <c r="PC44" s="1">
        <v>0.66666666666666663</v>
      </c>
      <c r="PD44" s="450">
        <v>8.2799999999999994</v>
      </c>
      <c r="PE44" s="1">
        <v>1</v>
      </c>
      <c r="PF44" s="450">
        <v>-9.84</v>
      </c>
      <c r="PG44" s="1">
        <v>0</v>
      </c>
      <c r="PH44" s="450">
        <v>1.61</v>
      </c>
      <c r="PI44" s="1">
        <v>1</v>
      </c>
      <c r="PJ44" s="450">
        <v>0.89000000000000057</v>
      </c>
      <c r="PK44" s="1">
        <v>0.55555555555555558</v>
      </c>
      <c r="PL44" s="450"/>
      <c r="PM44" s="1"/>
      <c r="PN44" s="450"/>
      <c r="PO44" s="1"/>
      <c r="PP44" s="450">
        <v>2.34</v>
      </c>
      <c r="PQ44" s="1">
        <v>0.75</v>
      </c>
      <c r="PR44" s="450"/>
      <c r="PS44" s="1"/>
      <c r="PT44" s="450">
        <v>-3.22</v>
      </c>
      <c r="PU44" s="1">
        <v>0.5</v>
      </c>
      <c r="PV44" s="450">
        <v>-4.8500000000000005</v>
      </c>
      <c r="PW44" s="1">
        <v>0.33333333333333331</v>
      </c>
      <c r="PX44" s="450">
        <v>5.0200000000000005</v>
      </c>
      <c r="PY44" s="1">
        <v>0.83333333333333337</v>
      </c>
      <c r="PZ44" s="450">
        <v>-3.2</v>
      </c>
      <c r="QA44" s="1">
        <v>0</v>
      </c>
      <c r="QB44" s="450">
        <v>-1.9999999999999574E-2</v>
      </c>
      <c r="QC44" s="1">
        <v>0.6</v>
      </c>
      <c r="QD44" s="450">
        <v>4.84</v>
      </c>
      <c r="QE44" s="1">
        <v>0.83333333333333337</v>
      </c>
      <c r="QF44" s="450">
        <v>-3.04</v>
      </c>
      <c r="QG44" s="1">
        <v>0.33333333333333331</v>
      </c>
      <c r="QH44" s="450">
        <v>3.62</v>
      </c>
      <c r="QI44" s="1">
        <v>0.75</v>
      </c>
      <c r="QJ44" s="450">
        <v>-2.9999999999999805E-2</v>
      </c>
      <c r="QK44" s="1">
        <v>0.66666666666666663</v>
      </c>
      <c r="QL44" s="450">
        <v>-10.61</v>
      </c>
      <c r="QM44" s="1">
        <v>0</v>
      </c>
      <c r="QN44" s="450">
        <v>-0.88000000000000034</v>
      </c>
      <c r="QO44" s="1">
        <v>0.5</v>
      </c>
      <c r="QP44" s="450">
        <v>-1.06</v>
      </c>
      <c r="QQ44" s="1">
        <v>0.5</v>
      </c>
      <c r="QR44" s="450">
        <v>4.76</v>
      </c>
      <c r="QS44" s="1">
        <v>0.66666666666666663</v>
      </c>
      <c r="QT44" s="450"/>
      <c r="QU44" s="1"/>
      <c r="QV44" s="450">
        <v>-6.26</v>
      </c>
      <c r="QW44" s="1">
        <v>0</v>
      </c>
      <c r="QX44" s="450">
        <v>-3.1300000000000003</v>
      </c>
      <c r="QY44" s="1">
        <v>0.4</v>
      </c>
      <c r="QZ44" s="450">
        <v>-7.69</v>
      </c>
      <c r="RA44" s="1">
        <v>0.25</v>
      </c>
      <c r="RB44" s="450">
        <v>-3.2100000000000004</v>
      </c>
      <c r="RC44" s="1">
        <v>0.42857142857142855</v>
      </c>
      <c r="RD44" s="450">
        <v>-2.87</v>
      </c>
      <c r="RE44" s="1">
        <v>0.5</v>
      </c>
      <c r="RF44" s="450">
        <v>-2.1</v>
      </c>
      <c r="RG44" s="1">
        <v>0.5</v>
      </c>
      <c r="RH44" s="450">
        <v>3.3</v>
      </c>
      <c r="RI44" s="1">
        <v>1</v>
      </c>
      <c r="RJ44" s="450">
        <v>-10.379999999999999</v>
      </c>
      <c r="RK44" s="1">
        <v>0.33333333333333331</v>
      </c>
      <c r="RL44" s="450"/>
      <c r="RM44" s="1"/>
      <c r="RN44" s="450">
        <v>2.8</v>
      </c>
      <c r="RO44" s="1">
        <v>0.83333333333333337</v>
      </c>
      <c r="RP44" s="450">
        <v>-9.4</v>
      </c>
      <c r="RQ44" s="1">
        <v>0.4</v>
      </c>
      <c r="RR44" s="450">
        <v>-0.13999999999999968</v>
      </c>
      <c r="RS44" s="1">
        <v>0.66666666666666663</v>
      </c>
      <c r="RT44" s="450">
        <v>4.92</v>
      </c>
      <c r="RU44" s="1">
        <v>1</v>
      </c>
      <c r="RV44" s="450">
        <v>-2.5299999999999998</v>
      </c>
      <c r="RW44" s="1">
        <v>0.42857142857142855</v>
      </c>
      <c r="RX44" s="450">
        <v>-8.2800000000000011</v>
      </c>
      <c r="RY44" s="1">
        <v>0.2</v>
      </c>
      <c r="RZ44" s="450">
        <v>4.8</v>
      </c>
      <c r="SA44" s="1">
        <v>1</v>
      </c>
      <c r="SB44" s="450">
        <v>3.3200000000000003</v>
      </c>
      <c r="SC44" s="1">
        <v>0.72727272727272729</v>
      </c>
      <c r="SD44" s="450">
        <v>-5.8600000000000012</v>
      </c>
      <c r="SE44" s="1">
        <v>0.44444444444444442</v>
      </c>
      <c r="SF44" s="450">
        <v>-4.8100000000000005</v>
      </c>
      <c r="SG44" s="1">
        <v>0.5</v>
      </c>
      <c r="SH44" s="450">
        <v>2.39</v>
      </c>
      <c r="SI44" s="1">
        <v>0.66666666666666663</v>
      </c>
      <c r="SJ44" s="452">
        <v>8.3699999999999992</v>
      </c>
      <c r="SK44" s="1">
        <v>1</v>
      </c>
      <c r="SL44" s="457">
        <v>-1.0999999999999999</v>
      </c>
      <c r="SM44" s="1">
        <v>0.42857142857142855</v>
      </c>
      <c r="SN44" s="459">
        <v>0</v>
      </c>
      <c r="SO44" s="1">
        <v>0.66666666666666663</v>
      </c>
      <c r="SP44" s="461">
        <v>-6.120000000000001</v>
      </c>
      <c r="SQ44" s="1">
        <v>0.2</v>
      </c>
      <c r="SR44" s="463">
        <v>3.6599999999999997</v>
      </c>
      <c r="SS44" s="1">
        <v>0.66666666666666663</v>
      </c>
      <c r="ST44" s="464">
        <v>-1.3599999999999999</v>
      </c>
      <c r="SU44" s="1">
        <v>0.66666666666666663</v>
      </c>
      <c r="SV44" s="466">
        <v>0.20000000000000018</v>
      </c>
      <c r="SW44" s="1">
        <v>0.66666666666666663</v>
      </c>
      <c r="SX44" s="467">
        <v>5.0200000000000005</v>
      </c>
      <c r="SY44" s="1">
        <v>0.77777777777777779</v>
      </c>
      <c r="SZ44" s="469">
        <v>-1.23</v>
      </c>
      <c r="TA44" s="1">
        <v>0.5</v>
      </c>
      <c r="TB44" s="471">
        <v>-1.59</v>
      </c>
      <c r="TC44" s="1">
        <v>0.5</v>
      </c>
      <c r="TD44" s="472">
        <v>-4.51</v>
      </c>
      <c r="TE44" s="1">
        <v>0.25</v>
      </c>
      <c r="TF44" s="474">
        <v>-10.76</v>
      </c>
      <c r="TG44" s="1">
        <v>0</v>
      </c>
      <c r="TH44" s="488">
        <v>-8.36</v>
      </c>
      <c r="TI44" s="1">
        <v>0.2857142857142857</v>
      </c>
      <c r="TJ44" s="489">
        <v>-0.92000000000000015</v>
      </c>
      <c r="TK44" s="1">
        <v>0.66666666666666663</v>
      </c>
      <c r="TL44" s="490">
        <v>-1.4700000000000004</v>
      </c>
      <c r="TM44" s="1">
        <v>0.6</v>
      </c>
      <c r="TN44" s="495">
        <v>-12.090000000000002</v>
      </c>
      <c r="TO44" s="1">
        <v>0.2857142857142857</v>
      </c>
      <c r="TP44" s="500">
        <v>-2.5</v>
      </c>
      <c r="TQ44" s="1">
        <v>0.6</v>
      </c>
      <c r="TR44" s="511">
        <v>4.18</v>
      </c>
      <c r="TS44" s="1">
        <v>0.75</v>
      </c>
      <c r="TT44" s="515">
        <v>-6.7500000000000009</v>
      </c>
      <c r="TU44" s="1">
        <v>0.375</v>
      </c>
      <c r="TV44" s="518">
        <v>5.03</v>
      </c>
      <c r="TW44" s="1">
        <v>1</v>
      </c>
      <c r="TX44" s="521"/>
      <c r="TY44" s="1"/>
      <c r="TZ44" s="524">
        <v>-4.9200000000000008</v>
      </c>
      <c r="UA44" s="1">
        <v>0.2857142857142857</v>
      </c>
      <c r="UB44" s="527">
        <v>-1.55</v>
      </c>
      <c r="UC44" s="1">
        <v>0.5</v>
      </c>
      <c r="UD44" s="530">
        <v>4.37</v>
      </c>
      <c r="UE44" s="1">
        <v>0.66666666666666663</v>
      </c>
      <c r="UF44" s="533">
        <v>3.24</v>
      </c>
      <c r="UG44" s="1">
        <v>1</v>
      </c>
      <c r="UH44" s="536">
        <v>0.45999999999999996</v>
      </c>
      <c r="UI44" s="1">
        <v>0.75</v>
      </c>
      <c r="UJ44" s="539">
        <v>-5.16</v>
      </c>
      <c r="UK44" s="1">
        <v>0.33333333333333331</v>
      </c>
      <c r="UL44" s="540">
        <v>-6.5399999999999991</v>
      </c>
      <c r="UM44" s="1">
        <v>0.4</v>
      </c>
      <c r="UN44" s="543">
        <v>1.149999999999999</v>
      </c>
      <c r="UO44" s="1">
        <v>0.5</v>
      </c>
      <c r="UP44" s="544">
        <v>1.5</v>
      </c>
      <c r="UQ44" s="1">
        <v>0.6</v>
      </c>
      <c r="UR44" s="551">
        <v>0.99</v>
      </c>
      <c r="US44" s="1">
        <v>1</v>
      </c>
      <c r="UT44" s="551">
        <v>-5.9499999999999993</v>
      </c>
      <c r="UU44" s="1">
        <v>0.33333333333333331</v>
      </c>
      <c r="UV44" s="562">
        <v>4.0500000000000007</v>
      </c>
      <c r="UW44" s="1">
        <v>0.8</v>
      </c>
      <c r="UX44" s="566">
        <v>2.67</v>
      </c>
      <c r="UY44" s="1">
        <v>0.8</v>
      </c>
      <c r="UZ44" s="568">
        <v>-0.3999999999999998</v>
      </c>
      <c r="VA44" s="1">
        <v>0.75</v>
      </c>
      <c r="VB44" s="572">
        <v>0.42999999999999994</v>
      </c>
      <c r="VC44" s="1">
        <v>0.66666666666666663</v>
      </c>
      <c r="VD44" s="576">
        <v>-4.8000000000000007</v>
      </c>
      <c r="VE44" s="1">
        <v>0.2</v>
      </c>
      <c r="VF44" s="580">
        <v>0.94000000000000017</v>
      </c>
      <c r="VG44" s="1">
        <v>0.75</v>
      </c>
      <c r="VH44" s="584">
        <v>-0.2</v>
      </c>
      <c r="VI44" s="1">
        <v>0</v>
      </c>
      <c r="VJ44" s="589">
        <v>4.49</v>
      </c>
      <c r="VK44" s="1">
        <v>0.7142857142857143</v>
      </c>
      <c r="VL44" s="593">
        <v>-5.67</v>
      </c>
      <c r="VM44" s="1">
        <v>0.33333333333333331</v>
      </c>
      <c r="VN44" s="597">
        <v>-8.09</v>
      </c>
      <c r="VO44" s="1">
        <v>0.33333333333333331</v>
      </c>
      <c r="VP44" s="601">
        <v>1.0699999999999998</v>
      </c>
      <c r="VQ44" s="1">
        <v>0.625</v>
      </c>
      <c r="VR44" s="603">
        <v>-0.84000000000000052</v>
      </c>
      <c r="VS44" s="1">
        <v>0.5</v>
      </c>
      <c r="VT44" s="607">
        <v>-4.5699999999999994</v>
      </c>
      <c r="VU44" s="1">
        <v>0.5</v>
      </c>
      <c r="VV44" s="609">
        <v>-3.43</v>
      </c>
      <c r="VW44" s="1">
        <v>0.16666666666666666</v>
      </c>
      <c r="VX44" s="613">
        <v>5.8500000000000005</v>
      </c>
      <c r="VY44" s="1">
        <v>0.83333333333333337</v>
      </c>
      <c r="VZ44" s="617"/>
      <c r="WA44" s="1"/>
      <c r="WB44" s="619"/>
      <c r="WC44" s="1"/>
      <c r="WD44" s="624">
        <v>-9.4300000000000015</v>
      </c>
      <c r="WE44" s="1">
        <v>0.2</v>
      </c>
      <c r="WF44" s="626">
        <v>-1.9700000000000002</v>
      </c>
      <c r="WG44" s="1">
        <v>0.5</v>
      </c>
      <c r="WH44" s="630">
        <v>-0.89999999999999991</v>
      </c>
      <c r="WI44" s="1">
        <v>0.5</v>
      </c>
      <c r="WJ44" s="636">
        <v>-5.39</v>
      </c>
      <c r="WK44" s="1">
        <v>0.42857142857142855</v>
      </c>
      <c r="WL44" s="638">
        <v>-3.7800000000000002</v>
      </c>
      <c r="WM44" s="1">
        <v>0.33333333333333331</v>
      </c>
      <c r="WN44" s="642">
        <v>-4.93</v>
      </c>
      <c r="WO44" s="1">
        <v>0.42857142857142855</v>
      </c>
      <c r="WP44" s="646">
        <v>5.8599999999999994</v>
      </c>
      <c r="WQ44" s="1">
        <v>0.8</v>
      </c>
      <c r="WR44" s="652">
        <v>0.83000000000000007</v>
      </c>
      <c r="WS44" s="1">
        <v>0.625</v>
      </c>
      <c r="WT44" s="659">
        <v>-2.16</v>
      </c>
      <c r="WU44" s="1">
        <v>0.5</v>
      </c>
      <c r="WV44" s="659">
        <v>-3.02</v>
      </c>
      <c r="WW44" s="1">
        <v>0.6</v>
      </c>
      <c r="WX44" s="672">
        <v>0.87000000000000011</v>
      </c>
      <c r="WY44" s="1">
        <v>0.5</v>
      </c>
      <c r="WZ44" s="677"/>
      <c r="XA44" s="1"/>
      <c r="XB44" s="681">
        <v>-4.4400000000000004</v>
      </c>
      <c r="XC44" s="1">
        <v>0.4</v>
      </c>
      <c r="XD44" s="683">
        <v>-2.38</v>
      </c>
      <c r="XE44" s="1">
        <v>0.55555555555555558</v>
      </c>
      <c r="XF44" s="687">
        <v>-5.71</v>
      </c>
      <c r="XG44" s="1">
        <v>0.5</v>
      </c>
      <c r="XH44" s="689">
        <v>2.8900000000000006</v>
      </c>
      <c r="XI44" s="1">
        <v>0.66666666666666663</v>
      </c>
      <c r="XJ44" s="696">
        <v>-9.68</v>
      </c>
      <c r="XK44" s="1">
        <v>0.33333333333333331</v>
      </c>
      <c r="XL44" s="696">
        <v>-8.68</v>
      </c>
      <c r="XM44" s="1">
        <v>0</v>
      </c>
      <c r="XN44" s="696">
        <v>-0.12000000000000055</v>
      </c>
      <c r="XO44" s="1">
        <v>0.5714285714285714</v>
      </c>
      <c r="XP44" s="700">
        <v>-2.0000000000000018E-2</v>
      </c>
      <c r="XQ44" s="1">
        <v>0.5</v>
      </c>
      <c r="XR44" s="705">
        <v>-18.05</v>
      </c>
      <c r="XS44" s="1">
        <v>0.45</v>
      </c>
      <c r="XT44" s="709">
        <v>0.63000000000000034</v>
      </c>
      <c r="XU44" s="1">
        <v>0.5714285714285714</v>
      </c>
      <c r="XV44" s="715"/>
      <c r="XW44" s="1"/>
    </row>
    <row r="45" spans="2:647" x14ac:dyDescent="0.25">
      <c r="B45" s="755"/>
      <c r="C45" s="764"/>
      <c r="D45" s="757" t="s">
        <v>13</v>
      </c>
      <c r="E45" s="757"/>
      <c r="F45" s="448">
        <v>0.3</v>
      </c>
      <c r="G45" s="768"/>
      <c r="H45" s="450">
        <v>2.7381818181818183</v>
      </c>
      <c r="I45" s="1">
        <v>0.46666666666666667</v>
      </c>
      <c r="J45" s="450">
        <v>-9.0172727272727276</v>
      </c>
      <c r="K45" s="1">
        <v>0.33333333333333331</v>
      </c>
      <c r="L45" s="450"/>
      <c r="M45" s="1"/>
      <c r="N45" s="450">
        <v>3.3427272727272732</v>
      </c>
      <c r="O45" s="1">
        <v>0.66666666666666663</v>
      </c>
      <c r="P45" s="450">
        <v>-4.7045454545454541</v>
      </c>
      <c r="Q45" s="1">
        <v>0.2</v>
      </c>
      <c r="R45" s="450">
        <v>9.4545454545454627E-2</v>
      </c>
      <c r="S45" s="1">
        <v>0.4</v>
      </c>
      <c r="T45" s="450"/>
      <c r="U45" s="1"/>
      <c r="V45" s="450">
        <v>0.55727272727272692</v>
      </c>
      <c r="W45" s="1">
        <v>0.53846153846153844</v>
      </c>
      <c r="X45" s="450"/>
      <c r="Y45" s="1"/>
      <c r="Z45" s="450">
        <v>-5.8800000000000008</v>
      </c>
      <c r="AA45" s="1">
        <v>0.46666666666666667</v>
      </c>
      <c r="AB45" s="450"/>
      <c r="AC45" s="1"/>
      <c r="AD45" s="450">
        <v>4.7581818181818187</v>
      </c>
      <c r="AE45" s="1">
        <v>0.73333333333333328</v>
      </c>
      <c r="AF45" s="450"/>
      <c r="AG45" s="1"/>
      <c r="AH45" s="450">
        <v>5.418181818181818</v>
      </c>
      <c r="AI45" s="1">
        <v>0.73333333333333328</v>
      </c>
      <c r="AJ45" s="450">
        <v>1.9736363636363634</v>
      </c>
      <c r="AK45" s="1">
        <v>0.53333333333333333</v>
      </c>
      <c r="AL45" s="450">
        <v>-0.41</v>
      </c>
      <c r="AM45" s="1">
        <v>0.53333333333333333</v>
      </c>
      <c r="AN45" s="450"/>
      <c r="AO45" s="1"/>
      <c r="AP45" s="450">
        <v>-5.0890909090909098</v>
      </c>
      <c r="AQ45" s="1">
        <v>0.46666666666666667</v>
      </c>
      <c r="AR45" s="450">
        <v>-4.3609090909090904</v>
      </c>
      <c r="AS45" s="1">
        <v>0.4</v>
      </c>
      <c r="AT45" s="450"/>
      <c r="AU45" s="1"/>
      <c r="AV45" s="450">
        <v>3.5709090909090908</v>
      </c>
      <c r="AW45" s="1">
        <v>0.6</v>
      </c>
      <c r="AX45" s="450">
        <v>-3.5354545454545456</v>
      </c>
      <c r="AY45" s="1">
        <v>0.42857142857142855</v>
      </c>
      <c r="AZ45" s="450">
        <v>1.7790909090909091</v>
      </c>
      <c r="BA45" s="1">
        <v>0.6</v>
      </c>
      <c r="BB45" s="450">
        <v>-7.4472727272727273</v>
      </c>
      <c r="BC45" s="1">
        <v>0.21428571428571427</v>
      </c>
      <c r="BD45" s="450"/>
      <c r="BE45" s="1"/>
      <c r="BF45" s="450">
        <v>-8.4707692307692319</v>
      </c>
      <c r="BG45" s="1">
        <v>0.35714285714285715</v>
      </c>
      <c r="BH45" s="450">
        <v>-5.974615384615384</v>
      </c>
      <c r="BI45" s="1">
        <v>0.4</v>
      </c>
      <c r="BJ45" s="450">
        <v>2.0776923076923075</v>
      </c>
      <c r="BK45" s="1">
        <v>0.73333333333333328</v>
      </c>
      <c r="BL45" s="450">
        <v>-1.1669230769230776</v>
      </c>
      <c r="BM45" s="1">
        <v>0.6</v>
      </c>
      <c r="BN45" s="450"/>
      <c r="BO45" s="1"/>
      <c r="BP45" s="450">
        <v>-4.0200000000000014</v>
      </c>
      <c r="BQ45" s="1">
        <v>0.4</v>
      </c>
      <c r="BR45" s="450">
        <v>-1.8630769230769231</v>
      </c>
      <c r="BS45" s="1">
        <v>0.4</v>
      </c>
      <c r="BT45" s="450"/>
      <c r="BU45" s="1"/>
      <c r="BV45" s="450"/>
      <c r="BW45" s="1"/>
      <c r="BX45" s="450">
        <v>-4.4484615384615385</v>
      </c>
      <c r="BY45" s="1">
        <v>0.46666666666666667</v>
      </c>
      <c r="BZ45" s="450">
        <v>-3.5469230769230768</v>
      </c>
      <c r="CA45" s="1">
        <v>0.46666666666666667</v>
      </c>
      <c r="CB45" s="450">
        <v>-5.0769230769230749</v>
      </c>
      <c r="CC45" s="1">
        <v>0.33333333333333331</v>
      </c>
      <c r="CD45" s="450">
        <v>-2.0730769230769233</v>
      </c>
      <c r="CE45" s="1">
        <v>0.33333333333333331</v>
      </c>
      <c r="CF45" s="450">
        <v>-6.9638461538461538</v>
      </c>
      <c r="CG45" s="1">
        <v>0.46</v>
      </c>
      <c r="CH45" s="450"/>
      <c r="CI45" s="1"/>
      <c r="CJ45" s="450">
        <v>-6.4692307692307676</v>
      </c>
      <c r="CK45" s="1">
        <v>0.33333333333333331</v>
      </c>
      <c r="CL45" s="450">
        <v>3.3930769230769227</v>
      </c>
      <c r="CM45" s="1">
        <v>0.6428571428571429</v>
      </c>
      <c r="CN45" s="450"/>
      <c r="CO45" s="1"/>
      <c r="CP45" s="450">
        <v>-1.5907692307692307</v>
      </c>
      <c r="CQ45" s="1">
        <v>0.46666666666666667</v>
      </c>
      <c r="CR45" s="450">
        <v>-2.4853846153846155</v>
      </c>
      <c r="CS45" s="1">
        <v>0.2857142857142857</v>
      </c>
      <c r="CT45" s="450">
        <v>-1.9300000000000002</v>
      </c>
      <c r="CU45" s="1">
        <v>0.5714285714285714</v>
      </c>
      <c r="CV45" s="450">
        <v>2.3469230769230767</v>
      </c>
      <c r="CW45" s="1">
        <v>0.73333333333333328</v>
      </c>
      <c r="CX45" s="450">
        <v>-2.7846153846153845</v>
      </c>
      <c r="CY45" s="1">
        <v>0.6428571428571429</v>
      </c>
      <c r="CZ45" s="450">
        <v>2.2146153846153842</v>
      </c>
      <c r="DA45" s="1">
        <v>0.66666666666666663</v>
      </c>
      <c r="DB45" s="450">
        <v>-2.8223076923076915</v>
      </c>
      <c r="DC45" s="1">
        <v>0.6</v>
      </c>
      <c r="DD45" s="450">
        <v>-0.77538461538461512</v>
      </c>
      <c r="DE45" s="1">
        <v>0.53846153846153844</v>
      </c>
      <c r="DF45" s="450">
        <v>-5.1907692307692308</v>
      </c>
      <c r="DG45" s="1">
        <v>0.53333333333333333</v>
      </c>
      <c r="DH45" s="450">
        <v>-6.8023076923076919</v>
      </c>
      <c r="DI45" s="1">
        <v>0.46666666666666667</v>
      </c>
      <c r="DJ45" s="450">
        <v>0.52307692307692344</v>
      </c>
      <c r="DK45" s="1">
        <v>0.66666666666666663</v>
      </c>
      <c r="DL45" s="450">
        <v>-2.1115384615384611</v>
      </c>
      <c r="DM45" s="1">
        <v>0.6</v>
      </c>
      <c r="DN45" s="450">
        <v>-3.3861538461538463</v>
      </c>
      <c r="DO45" s="1">
        <v>0.4</v>
      </c>
      <c r="DP45" s="450">
        <v>-1.2453846153846153</v>
      </c>
      <c r="DQ45" s="1">
        <v>0.53333333333333333</v>
      </c>
      <c r="DR45" s="450">
        <v>2.5575000000000001</v>
      </c>
      <c r="DS45" s="1">
        <v>0.61875000000000002</v>
      </c>
      <c r="DT45" s="450"/>
      <c r="DU45" s="1"/>
      <c r="DV45" s="450">
        <v>-10.318461538461539</v>
      </c>
      <c r="DW45" s="1">
        <v>0.4</v>
      </c>
      <c r="DX45" s="450">
        <v>-10.318461538461539</v>
      </c>
      <c r="DY45" s="1">
        <v>0.4</v>
      </c>
      <c r="DZ45" s="450">
        <v>-1.2176923076923081</v>
      </c>
      <c r="EA45" s="1">
        <v>0.42857142857142855</v>
      </c>
      <c r="EB45" s="450">
        <v>1.1792307692307691</v>
      </c>
      <c r="EC45" s="1">
        <v>0.46666666666666667</v>
      </c>
      <c r="ED45" s="450">
        <v>1.1338461538461537</v>
      </c>
      <c r="EE45" s="1">
        <v>0.66666666666666663</v>
      </c>
      <c r="EF45" s="450">
        <v>-5.1692307692307686</v>
      </c>
      <c r="EG45" s="1">
        <v>0.46666666666666667</v>
      </c>
      <c r="EH45" s="450">
        <v>4.0261538461538455</v>
      </c>
      <c r="EI45" s="1">
        <v>0.73333333333333328</v>
      </c>
      <c r="EJ45" s="450">
        <v>3.678461538461538</v>
      </c>
      <c r="EK45" s="1">
        <v>0.70714285714285718</v>
      </c>
      <c r="EL45" s="450"/>
      <c r="EM45" s="1"/>
      <c r="EN45" s="450">
        <v>-1.8969230769230774</v>
      </c>
      <c r="EO45" s="1">
        <v>0.53333333333333333</v>
      </c>
      <c r="EP45" s="450"/>
      <c r="EQ45" s="1"/>
      <c r="ER45" s="450">
        <v>-1.7261538461538466</v>
      </c>
      <c r="ES45" s="1">
        <v>0.5</v>
      </c>
      <c r="ET45" s="450">
        <v>-6.9230769230769262E-2</v>
      </c>
      <c r="EU45" s="1">
        <v>0.6</v>
      </c>
      <c r="EV45" s="450">
        <v>-1.9584615384615394</v>
      </c>
      <c r="EW45" s="1">
        <v>0.6</v>
      </c>
      <c r="EX45" s="450">
        <v>-4.1315384615384616</v>
      </c>
      <c r="EY45" s="1">
        <v>0.46666666666666667</v>
      </c>
      <c r="EZ45" s="450">
        <v>2.5576923076923075</v>
      </c>
      <c r="FA45" s="1">
        <v>0.66666666666666663</v>
      </c>
      <c r="FB45" s="450">
        <v>-8.19</v>
      </c>
      <c r="FC45" s="1">
        <v>0.46666666666666667</v>
      </c>
      <c r="FD45" s="450">
        <v>19.05</v>
      </c>
      <c r="FE45" s="1">
        <v>0.8</v>
      </c>
      <c r="FF45" s="450">
        <v>-4.6100000000000012</v>
      </c>
      <c r="FG45" s="1">
        <v>0.5714285714285714</v>
      </c>
      <c r="FH45" s="450">
        <v>-9.5599999999999987</v>
      </c>
      <c r="FI45" s="1">
        <v>0.46666666666666667</v>
      </c>
      <c r="FJ45" s="450">
        <v>1.0699999999999994</v>
      </c>
      <c r="FK45" s="1">
        <v>0.6</v>
      </c>
      <c r="FL45" s="450">
        <v>-2.9999999999999996</v>
      </c>
      <c r="FM45" s="1">
        <v>0.66666666666666663</v>
      </c>
      <c r="FN45" s="450">
        <v>2.3600000000000008</v>
      </c>
      <c r="FO45" s="1">
        <v>0.46666666666666667</v>
      </c>
      <c r="FP45" s="450">
        <v>-18.13</v>
      </c>
      <c r="FQ45" s="1">
        <v>0.53333333333333333</v>
      </c>
      <c r="FR45" s="450">
        <v>-18.920000000000002</v>
      </c>
      <c r="FS45" s="1">
        <v>0.46666666666666667</v>
      </c>
      <c r="FT45" s="450">
        <v>-5.8199999999999994</v>
      </c>
      <c r="FU45" s="1">
        <v>0.66666666666666663</v>
      </c>
      <c r="FV45" s="450">
        <v>-8.1900000000000013</v>
      </c>
      <c r="FW45" s="1">
        <v>0.5</v>
      </c>
      <c r="FX45" s="450">
        <v>2.7800000000000011</v>
      </c>
      <c r="FY45" s="1">
        <v>0.66666666666666663</v>
      </c>
      <c r="FZ45" s="450">
        <v>0.29999999999999982</v>
      </c>
      <c r="GA45" s="1">
        <v>0.53333333333333333</v>
      </c>
      <c r="GB45" s="450">
        <v>-20.86</v>
      </c>
      <c r="GC45" s="1">
        <v>0.26666666666666666</v>
      </c>
      <c r="GD45" s="450">
        <v>10.11</v>
      </c>
      <c r="GE45" s="1">
        <v>0.76923076923076927</v>
      </c>
      <c r="GF45" s="450">
        <v>-21.009999999999998</v>
      </c>
      <c r="GG45" s="1">
        <v>0.2</v>
      </c>
      <c r="GH45" s="450">
        <v>-17.399999999999999</v>
      </c>
      <c r="GI45" s="1">
        <v>0.46666666666666667</v>
      </c>
      <c r="GJ45" s="450">
        <v>-4.6199999999999992</v>
      </c>
      <c r="GK45" s="1">
        <v>0.5714285714285714</v>
      </c>
      <c r="GL45" s="450">
        <v>-10.57</v>
      </c>
      <c r="GM45" s="1">
        <v>0.46666666666666667</v>
      </c>
      <c r="GN45" s="450">
        <v>-21.740000000000002</v>
      </c>
      <c r="GO45" s="1">
        <v>0.35714285714285715</v>
      </c>
      <c r="GP45" s="450">
        <v>4.3800000000000008</v>
      </c>
      <c r="GQ45" s="1">
        <v>0.5</v>
      </c>
      <c r="GR45" s="450">
        <v>-3.2899999999999996</v>
      </c>
      <c r="GS45" s="1">
        <v>0.53333333333333333</v>
      </c>
      <c r="GT45" s="450">
        <v>-22.46</v>
      </c>
      <c r="GU45" s="1">
        <v>0.4</v>
      </c>
      <c r="GV45" s="450">
        <v>-7.21</v>
      </c>
      <c r="GW45" s="1">
        <v>0.53333333333333333</v>
      </c>
      <c r="GX45" s="450">
        <v>-24.05</v>
      </c>
      <c r="GY45" s="1">
        <v>0.33333333333333331</v>
      </c>
      <c r="GZ45" s="450">
        <v>-12.679999999999998</v>
      </c>
      <c r="HA45" s="1">
        <v>0.33333333333333331</v>
      </c>
      <c r="HB45" s="450">
        <v>-13.27</v>
      </c>
      <c r="HC45" s="1">
        <v>0.46666666666666667</v>
      </c>
      <c r="HD45" s="450">
        <v>-9.26</v>
      </c>
      <c r="HE45" s="1">
        <v>0.4</v>
      </c>
      <c r="HF45" s="450">
        <v>0.6399999999999979</v>
      </c>
      <c r="HG45" s="1">
        <v>0.53333333333333333</v>
      </c>
      <c r="HH45" s="450">
        <v>13.46</v>
      </c>
      <c r="HI45" s="1">
        <v>0.6</v>
      </c>
      <c r="HJ45" s="450">
        <v>-12.95</v>
      </c>
      <c r="HK45" s="1">
        <v>0.33333333333333331</v>
      </c>
      <c r="HL45" s="450">
        <v>-4.6899999999999995</v>
      </c>
      <c r="HM45" s="1">
        <v>0.46666666666666667</v>
      </c>
      <c r="HN45" s="450">
        <v>-11.530000000000001</v>
      </c>
      <c r="HO45" s="1">
        <v>0.46666666666666667</v>
      </c>
      <c r="HP45" s="450">
        <v>-17.16</v>
      </c>
      <c r="HQ45" s="1">
        <v>0.21428571428571427</v>
      </c>
      <c r="HR45" s="450">
        <v>-7.69</v>
      </c>
      <c r="HS45" s="1">
        <v>0.33333333333333331</v>
      </c>
      <c r="HT45" s="450">
        <v>-6.0699999999999994</v>
      </c>
      <c r="HU45" s="1">
        <v>0.4</v>
      </c>
      <c r="HV45" s="450">
        <v>5.43</v>
      </c>
      <c r="HW45" s="1">
        <v>0.7142857142857143</v>
      </c>
      <c r="HX45" s="450">
        <v>-1.7999999999999996</v>
      </c>
      <c r="HY45" s="1">
        <v>0.53333333333333333</v>
      </c>
      <c r="HZ45" s="450"/>
      <c r="IA45" s="1"/>
      <c r="IB45" s="450">
        <v>-17.09</v>
      </c>
      <c r="IC45" s="1">
        <v>0.4</v>
      </c>
      <c r="ID45" s="450">
        <v>-4.0999999999999996</v>
      </c>
      <c r="IE45" s="1">
        <v>0.6</v>
      </c>
      <c r="IF45" s="450">
        <v>-14.13</v>
      </c>
      <c r="IG45" s="1">
        <v>0.33333333333333331</v>
      </c>
      <c r="IH45" s="450">
        <v>-19.360000000000003</v>
      </c>
      <c r="II45" s="1">
        <v>0.26666666666666666</v>
      </c>
      <c r="IJ45" s="450">
        <v>-7.1999999999999993</v>
      </c>
      <c r="IK45" s="1">
        <v>0.53333333333333333</v>
      </c>
      <c r="IL45" s="450">
        <v>-26.630000000000003</v>
      </c>
      <c r="IM45" s="1">
        <v>0.4</v>
      </c>
      <c r="IN45" s="450">
        <v>24.39</v>
      </c>
      <c r="IO45" s="1">
        <v>0.8571428571428571</v>
      </c>
      <c r="IP45" s="450">
        <v>-12.509999999999998</v>
      </c>
      <c r="IQ45" s="1">
        <v>0.42857142857142855</v>
      </c>
      <c r="IR45" s="450"/>
      <c r="IS45" s="1"/>
      <c r="IT45" s="450"/>
      <c r="IU45" s="1"/>
      <c r="IV45" s="450">
        <v>-2.12</v>
      </c>
      <c r="IW45" s="1">
        <v>0.4</v>
      </c>
      <c r="IX45" s="450"/>
      <c r="IY45" s="1"/>
      <c r="IZ45" s="450"/>
      <c r="JA45" s="1"/>
      <c r="JB45" s="450">
        <v>-11.469999999999999</v>
      </c>
      <c r="JC45" s="1">
        <v>0.4</v>
      </c>
      <c r="JD45" s="450"/>
      <c r="JE45" s="1"/>
      <c r="JF45" s="450">
        <v>-4.7699999999999996</v>
      </c>
      <c r="JG45" s="1">
        <v>0.53333333333333333</v>
      </c>
      <c r="JH45" s="450">
        <v>2.71</v>
      </c>
      <c r="JI45" s="1">
        <v>0.53333333333333333</v>
      </c>
      <c r="JJ45" s="450">
        <v>-7.1999999999999984</v>
      </c>
      <c r="JK45" s="1">
        <v>0.6</v>
      </c>
      <c r="JL45" s="450"/>
      <c r="JM45" s="1"/>
      <c r="JN45" s="450">
        <v>-4.42</v>
      </c>
      <c r="JO45" s="1">
        <v>0.46666666666666667</v>
      </c>
      <c r="JP45" s="450">
        <v>-13.960000000000003</v>
      </c>
      <c r="JQ45" s="1">
        <v>0.26666666666666666</v>
      </c>
      <c r="JR45" s="450">
        <v>-4.0499999999999989</v>
      </c>
      <c r="JS45" s="1">
        <v>0.46666666666666667</v>
      </c>
      <c r="JT45" s="450"/>
      <c r="JU45" s="1"/>
      <c r="JV45" s="450"/>
      <c r="JW45" s="1"/>
      <c r="JX45" s="450">
        <v>1.3399999999999999</v>
      </c>
      <c r="JY45" s="1">
        <v>0.53333333333333333</v>
      </c>
      <c r="JZ45" s="450">
        <v>1.3300000000000012</v>
      </c>
      <c r="KA45" s="1">
        <v>0.53333333333333333</v>
      </c>
      <c r="KB45" s="450">
        <v>-9.84</v>
      </c>
      <c r="KC45" s="1">
        <v>0.5</v>
      </c>
      <c r="KD45" s="450">
        <v>4.33</v>
      </c>
      <c r="KE45" s="1">
        <v>0.6</v>
      </c>
      <c r="KF45" s="450">
        <v>9.8999999999999968</v>
      </c>
      <c r="KG45" s="1">
        <v>0.66666666666666663</v>
      </c>
      <c r="KH45" s="450">
        <v>-28.610000000000003</v>
      </c>
      <c r="KI45" s="1">
        <v>0.13333333333333333</v>
      </c>
      <c r="KJ45" s="450">
        <v>-4.12</v>
      </c>
      <c r="KK45" s="1">
        <v>0.33333333333333331</v>
      </c>
      <c r="KL45" s="450">
        <v>-19.55</v>
      </c>
      <c r="KM45" s="1">
        <v>0.46666666666666667</v>
      </c>
      <c r="KN45" s="450">
        <v>-7.2199999999999989</v>
      </c>
      <c r="KO45" s="1">
        <v>0.6</v>
      </c>
      <c r="KP45" s="450">
        <v>-4.72</v>
      </c>
      <c r="KQ45" s="1">
        <v>0.46666666666666667</v>
      </c>
      <c r="KR45" s="450">
        <v>5.84</v>
      </c>
      <c r="KS45" s="1">
        <v>0.66666666666666663</v>
      </c>
      <c r="KT45" s="450"/>
      <c r="KU45" s="1"/>
      <c r="KV45" s="450">
        <v>1.4800000000000006</v>
      </c>
      <c r="KW45" s="1">
        <v>0.66666666666666663</v>
      </c>
      <c r="KX45" s="450">
        <v>-14.419999999999998</v>
      </c>
      <c r="KY45" s="1">
        <v>0.53333333333333333</v>
      </c>
      <c r="KZ45" s="450">
        <v>-16.339999999999996</v>
      </c>
      <c r="LA45" s="1">
        <v>0.53333333333333333</v>
      </c>
      <c r="LB45" s="450">
        <v>8.0299999999999994</v>
      </c>
      <c r="LC45" s="1">
        <v>0.73333333333333328</v>
      </c>
      <c r="LD45" s="450">
        <v>-26.290000000000003</v>
      </c>
      <c r="LE45" s="1">
        <v>0.4</v>
      </c>
      <c r="LF45" s="450">
        <v>0</v>
      </c>
      <c r="LG45" s="1">
        <v>0.66666666666666663</v>
      </c>
      <c r="LH45" s="450">
        <v>-20.980000000000004</v>
      </c>
      <c r="LI45" s="1">
        <v>0.53333333333333333</v>
      </c>
      <c r="LJ45" s="450">
        <v>-8.74</v>
      </c>
      <c r="LK45" s="1">
        <v>0.6</v>
      </c>
      <c r="LL45" s="450"/>
      <c r="LM45" s="1"/>
      <c r="LN45" s="450">
        <v>12.379999999999999</v>
      </c>
      <c r="LO45" s="1">
        <v>0.8</v>
      </c>
      <c r="LP45" s="450">
        <v>9.3800000000000008</v>
      </c>
      <c r="LQ45" s="1">
        <v>0.73333333333333328</v>
      </c>
      <c r="LR45" s="450">
        <v>11.839999999999998</v>
      </c>
      <c r="LS45" s="1">
        <v>0.8</v>
      </c>
      <c r="LT45" s="450">
        <v>19.060000000000002</v>
      </c>
      <c r="LU45" s="1">
        <v>0.8666666666666667</v>
      </c>
      <c r="LV45" s="450">
        <v>15.370000000000003</v>
      </c>
      <c r="LW45" s="1">
        <v>0.7142857142857143</v>
      </c>
      <c r="LX45" s="450">
        <v>-4.7700000000000022</v>
      </c>
      <c r="LY45" s="1">
        <v>0.66666666666666663</v>
      </c>
      <c r="LZ45" s="450">
        <v>-20.869999999999997</v>
      </c>
      <c r="MA45" s="1">
        <v>0.5625</v>
      </c>
      <c r="MB45" s="450">
        <v>-21.620000000000005</v>
      </c>
      <c r="MC45" s="1">
        <v>0.53333333333333333</v>
      </c>
      <c r="MD45" s="450">
        <v>14.16</v>
      </c>
      <c r="ME45" s="1">
        <v>0.84615384615384615</v>
      </c>
      <c r="MF45" s="450">
        <v>-10.71</v>
      </c>
      <c r="MG45" s="1">
        <v>0.5714285714285714</v>
      </c>
      <c r="MH45" s="450">
        <v>20.71</v>
      </c>
      <c r="MI45" s="1">
        <v>0.8571428571428571</v>
      </c>
      <c r="MJ45" s="450">
        <v>-8.7300000000000022</v>
      </c>
      <c r="MK45" s="1">
        <v>0.6428571428571429</v>
      </c>
      <c r="ML45" s="450">
        <v>-11.529999999999998</v>
      </c>
      <c r="MM45" s="1">
        <v>0.625</v>
      </c>
      <c r="MN45" s="450">
        <v>-3.17</v>
      </c>
      <c r="MO45" s="1">
        <v>0.6875</v>
      </c>
      <c r="MP45" s="450">
        <v>23.190000000000005</v>
      </c>
      <c r="MQ45" s="1">
        <v>0.875</v>
      </c>
      <c r="MR45" s="450">
        <v>-22.12</v>
      </c>
      <c r="MS45" s="1">
        <v>0.53333333333333333</v>
      </c>
      <c r="MT45" s="450">
        <v>-25.529999999999998</v>
      </c>
      <c r="MU45" s="1">
        <v>0.46666666666666667</v>
      </c>
      <c r="MV45" s="450">
        <v>20.880000000000003</v>
      </c>
      <c r="MW45" s="1">
        <v>0.8666666666666667</v>
      </c>
      <c r="MX45" s="450">
        <v>-13.620000000000001</v>
      </c>
      <c r="MY45" s="1">
        <v>0.6</v>
      </c>
      <c r="MZ45" s="450">
        <v>-13.89</v>
      </c>
      <c r="NA45" s="1">
        <v>0.6</v>
      </c>
      <c r="NB45" s="450">
        <v>-2.8800000000000003</v>
      </c>
      <c r="NC45" s="1">
        <v>0.66666666666666663</v>
      </c>
      <c r="ND45" s="450">
        <v>-10.259999999999998</v>
      </c>
      <c r="NE45" s="1">
        <v>0.6</v>
      </c>
      <c r="NF45" s="450">
        <v>-5.8699999999999992</v>
      </c>
      <c r="NG45" s="1">
        <v>0.66666666666666663</v>
      </c>
      <c r="NH45" s="450">
        <v>-5.8699999999999992</v>
      </c>
      <c r="NI45" s="1">
        <v>0.66666666666666663</v>
      </c>
      <c r="NJ45" s="450">
        <v>-4.4799999999999995</v>
      </c>
      <c r="NK45" s="1">
        <v>0.66666666666666663</v>
      </c>
      <c r="NL45" s="450"/>
      <c r="NM45" s="1"/>
      <c r="NN45" s="450">
        <v>7.7800000000000011</v>
      </c>
      <c r="NO45" s="1">
        <v>0.66666666666666663</v>
      </c>
      <c r="NP45" s="450">
        <v>11.5</v>
      </c>
      <c r="NQ45" s="1">
        <v>0.9</v>
      </c>
      <c r="NR45" s="450">
        <v>16.480000000000004</v>
      </c>
      <c r="NS45" s="1">
        <v>0.88888888888888884</v>
      </c>
      <c r="NT45" s="450">
        <v>1.46</v>
      </c>
      <c r="NU45" s="1">
        <v>0.5</v>
      </c>
      <c r="NV45" s="450">
        <v>2.4799999999999995</v>
      </c>
      <c r="NW45" s="1">
        <v>0.66666666666666663</v>
      </c>
      <c r="NX45" s="450">
        <v>13.520000000000003</v>
      </c>
      <c r="NY45" s="1">
        <v>0.81818181818181823</v>
      </c>
      <c r="NZ45" s="450">
        <v>-16.760000000000002</v>
      </c>
      <c r="OA45" s="1">
        <v>0.5</v>
      </c>
      <c r="OB45" s="450">
        <v>22.87</v>
      </c>
      <c r="OC45" s="1">
        <v>0.90909090909090906</v>
      </c>
      <c r="OD45" s="450">
        <v>22.740000000000002</v>
      </c>
      <c r="OE45" s="1">
        <v>0.92307692307692313</v>
      </c>
      <c r="OF45" s="450">
        <v>7.9500000000000011</v>
      </c>
      <c r="OG45" s="1">
        <v>0.76923076923076927</v>
      </c>
      <c r="OH45" s="450">
        <v>-19.96</v>
      </c>
      <c r="OI45" s="1">
        <v>0.36363636363636365</v>
      </c>
      <c r="OJ45" s="450">
        <v>-1.3100000000000007</v>
      </c>
      <c r="OK45" s="1">
        <v>0.625</v>
      </c>
      <c r="OL45" s="450">
        <v>-4.1699999999999973</v>
      </c>
      <c r="OM45" s="1">
        <v>0.61538461538461542</v>
      </c>
      <c r="ON45" s="450">
        <v>-21.05</v>
      </c>
      <c r="OO45" s="1">
        <v>0.53333333333333333</v>
      </c>
      <c r="OP45" s="450">
        <v>2.0199999999999996</v>
      </c>
      <c r="OQ45" s="1">
        <v>0.73333333333333328</v>
      </c>
      <c r="OR45" s="450">
        <v>-17.760000000000002</v>
      </c>
      <c r="OS45" s="1">
        <v>0.4375</v>
      </c>
      <c r="OT45" s="450">
        <v>1.7299999999999982</v>
      </c>
      <c r="OU45" s="1">
        <v>0.625</v>
      </c>
      <c r="OV45" s="450">
        <v>-19.120000000000005</v>
      </c>
      <c r="OW45" s="1">
        <v>0.46666666666666667</v>
      </c>
      <c r="OX45" s="450">
        <v>-27.97</v>
      </c>
      <c r="OY45" s="1">
        <v>0.33333333333333331</v>
      </c>
      <c r="OZ45" s="450">
        <v>-0.92000000000000082</v>
      </c>
      <c r="PA45" s="1">
        <v>0.6875</v>
      </c>
      <c r="PB45" s="450">
        <v>9.9399999999999959</v>
      </c>
      <c r="PC45" s="1">
        <v>0.6875</v>
      </c>
      <c r="PD45" s="450">
        <v>-2.0799999999999987</v>
      </c>
      <c r="PE45" s="1">
        <v>0.625</v>
      </c>
      <c r="PF45" s="450">
        <v>-37.409999999999997</v>
      </c>
      <c r="PG45" s="1">
        <v>0.33333333333333331</v>
      </c>
      <c r="PH45" s="450">
        <v>-12.62</v>
      </c>
      <c r="PI45" s="1">
        <v>0.53333333333333333</v>
      </c>
      <c r="PJ45" s="450">
        <v>3.080000000000001</v>
      </c>
      <c r="PK45" s="1">
        <v>0.6</v>
      </c>
      <c r="PL45" s="450"/>
      <c r="PM45" s="1"/>
      <c r="PN45" s="450"/>
      <c r="PO45" s="1"/>
      <c r="PP45" s="450">
        <v>15.100000000000005</v>
      </c>
      <c r="PQ45" s="1">
        <v>0.73333333333333328</v>
      </c>
      <c r="PR45" s="450"/>
      <c r="PS45" s="1"/>
      <c r="PT45" s="450">
        <v>-28.949999999999996</v>
      </c>
      <c r="PU45" s="1">
        <v>0.4375</v>
      </c>
      <c r="PV45" s="450">
        <v>-26.489999999999995</v>
      </c>
      <c r="PW45" s="1">
        <v>0.4375</v>
      </c>
      <c r="PX45" s="450">
        <v>-11.89</v>
      </c>
      <c r="PY45" s="1">
        <v>0.6</v>
      </c>
      <c r="PZ45" s="450">
        <v>-17.57</v>
      </c>
      <c r="QA45" s="1">
        <v>0.53333333333333333</v>
      </c>
      <c r="QB45" s="450">
        <v>11.659999999999997</v>
      </c>
      <c r="QC45" s="1">
        <v>0.73333333333333328</v>
      </c>
      <c r="QD45" s="450">
        <v>7.0500000000000007</v>
      </c>
      <c r="QE45" s="1">
        <v>0.66666666666666663</v>
      </c>
      <c r="QF45" s="450">
        <v>-19.2</v>
      </c>
      <c r="QG45" s="1">
        <v>0.46666666666666667</v>
      </c>
      <c r="QH45" s="450">
        <v>3.669999999999999</v>
      </c>
      <c r="QI45" s="1">
        <v>0.46666666666666667</v>
      </c>
      <c r="QJ45" s="450">
        <v>4.2899999999999991</v>
      </c>
      <c r="QK45" s="1">
        <v>0.6</v>
      </c>
      <c r="QL45" s="450">
        <v>-25.249999999999993</v>
      </c>
      <c r="QM45" s="1">
        <v>0.375</v>
      </c>
      <c r="QN45" s="450">
        <v>-12.41</v>
      </c>
      <c r="QO45" s="1">
        <v>0.46666666666666667</v>
      </c>
      <c r="QP45" s="450">
        <v>-12.68</v>
      </c>
      <c r="QQ45" s="1">
        <v>0.4</v>
      </c>
      <c r="QR45" s="450">
        <v>9.56</v>
      </c>
      <c r="QS45" s="1">
        <v>0.6875</v>
      </c>
      <c r="QT45" s="450"/>
      <c r="QU45" s="1"/>
      <c r="QV45" s="450">
        <v>-10.569999999999999</v>
      </c>
      <c r="QW45" s="1">
        <v>0.53333333333333333</v>
      </c>
      <c r="QX45" s="450">
        <v>-7.16</v>
      </c>
      <c r="QY45" s="1">
        <v>0.33333333333333331</v>
      </c>
      <c r="QZ45" s="450">
        <v>-16.159999999999997</v>
      </c>
      <c r="RA45" s="1">
        <v>0.375</v>
      </c>
      <c r="RB45" s="450">
        <v>-11.74</v>
      </c>
      <c r="RC45" s="1">
        <v>0.4</v>
      </c>
      <c r="RD45" s="450">
        <v>-22.900000000000002</v>
      </c>
      <c r="RE45" s="1">
        <v>0.3125</v>
      </c>
      <c r="RF45" s="450">
        <v>-19.799999999999997</v>
      </c>
      <c r="RG45" s="1">
        <v>0.4</v>
      </c>
      <c r="RH45" s="450">
        <v>10.869999999999997</v>
      </c>
      <c r="RI45" s="1">
        <v>0.73333333333333328</v>
      </c>
      <c r="RJ45" s="450">
        <v>-19.420000000000002</v>
      </c>
      <c r="RK45" s="1">
        <v>0.3125</v>
      </c>
      <c r="RL45" s="450"/>
      <c r="RM45" s="1"/>
      <c r="RN45" s="450">
        <v>2.5200000000000014</v>
      </c>
      <c r="RO45" s="1">
        <v>0.6</v>
      </c>
      <c r="RP45" s="450">
        <v>-15.64</v>
      </c>
      <c r="RQ45" s="1">
        <v>0.46666666666666667</v>
      </c>
      <c r="RR45" s="450">
        <v>12.009999999999998</v>
      </c>
      <c r="RS45" s="1">
        <v>0.73333333333333328</v>
      </c>
      <c r="RT45" s="450">
        <v>-10.299999999999999</v>
      </c>
      <c r="RU45" s="1">
        <v>0.5625</v>
      </c>
      <c r="RV45" s="450">
        <v>-11.38</v>
      </c>
      <c r="RW45" s="1">
        <v>0.5</v>
      </c>
      <c r="RX45" s="450">
        <v>-15.19</v>
      </c>
      <c r="RY45" s="1">
        <v>0.53333333333333333</v>
      </c>
      <c r="RZ45" s="450">
        <v>-18.409999999999997</v>
      </c>
      <c r="SA45" s="1">
        <v>0.5</v>
      </c>
      <c r="SB45" s="450">
        <v>3.4399999999999995</v>
      </c>
      <c r="SC45" s="1">
        <v>0.6875</v>
      </c>
      <c r="SD45" s="450">
        <v>-12.719999999999999</v>
      </c>
      <c r="SE45" s="1">
        <v>0.5</v>
      </c>
      <c r="SF45" s="450">
        <v>-6.9799999999999969</v>
      </c>
      <c r="SG45" s="1">
        <v>0.6</v>
      </c>
      <c r="SH45" s="450">
        <v>-12.540000000000001</v>
      </c>
      <c r="SI45" s="1">
        <v>0.53333333333333333</v>
      </c>
      <c r="SJ45" s="452">
        <v>5.2999999999999989</v>
      </c>
      <c r="SK45" s="1">
        <v>0.73333333333333328</v>
      </c>
      <c r="SL45" s="457">
        <v>-3.4000000000000004</v>
      </c>
      <c r="SM45" s="1">
        <v>0.5</v>
      </c>
      <c r="SN45" s="459">
        <v>11.520000000000001</v>
      </c>
      <c r="SO45" s="1">
        <v>0.73333333333333328</v>
      </c>
      <c r="SP45" s="461">
        <v>-26.500000000000007</v>
      </c>
      <c r="SQ45" s="1">
        <v>0.25</v>
      </c>
      <c r="SR45" s="463">
        <v>-7.2299999999999986</v>
      </c>
      <c r="SS45" s="1">
        <v>0.5</v>
      </c>
      <c r="ST45" s="464">
        <v>-1.4699999999999998</v>
      </c>
      <c r="SU45" s="1">
        <v>0.53333333333333333</v>
      </c>
      <c r="SV45" s="466">
        <v>-3.49</v>
      </c>
      <c r="SW45" s="1">
        <v>0.5714285714285714</v>
      </c>
      <c r="SX45" s="467">
        <v>-5.3099999999999987</v>
      </c>
      <c r="SY45" s="1">
        <v>0.6</v>
      </c>
      <c r="SZ45" s="469">
        <v>-9.740000000000002</v>
      </c>
      <c r="TA45" s="1">
        <v>0.4</v>
      </c>
      <c r="TB45" s="471">
        <v>-2.0699999999999985</v>
      </c>
      <c r="TC45" s="1">
        <v>0.5625</v>
      </c>
      <c r="TD45" s="472">
        <v>-6.5699999999999967</v>
      </c>
      <c r="TE45" s="1">
        <v>0.6</v>
      </c>
      <c r="TF45" s="474">
        <v>-11.14</v>
      </c>
      <c r="TG45" s="1">
        <v>0.4375</v>
      </c>
      <c r="TH45" s="488">
        <v>-26.020000000000003</v>
      </c>
      <c r="TI45" s="1">
        <v>0.33333333333333331</v>
      </c>
      <c r="TJ45" s="489">
        <v>-0.97000000000000053</v>
      </c>
      <c r="TK45" s="1">
        <v>0.66666666666666663</v>
      </c>
      <c r="TL45" s="490">
        <v>-10.899999999999995</v>
      </c>
      <c r="TM45" s="1">
        <v>0.5625</v>
      </c>
      <c r="TN45" s="495">
        <v>-29.06</v>
      </c>
      <c r="TO45" s="1">
        <v>0.4</v>
      </c>
      <c r="TP45" s="500">
        <v>7.5600000000000005</v>
      </c>
      <c r="TQ45" s="1">
        <v>0.6875</v>
      </c>
      <c r="TR45" s="511">
        <v>1.2100000000000013</v>
      </c>
      <c r="TS45" s="1">
        <v>0.6875</v>
      </c>
      <c r="TT45" s="515">
        <v>-4.5199999999999969</v>
      </c>
      <c r="TU45" s="1">
        <v>0.53333333333333333</v>
      </c>
      <c r="TV45" s="518">
        <v>5.5900000000000025</v>
      </c>
      <c r="TW45" s="1">
        <v>0.75</v>
      </c>
      <c r="TX45" s="521"/>
      <c r="TY45" s="1"/>
      <c r="TZ45" s="524">
        <v>-15.000000000000002</v>
      </c>
      <c r="UA45" s="1">
        <v>0.3125</v>
      </c>
      <c r="UB45" s="527">
        <v>-2.5199999999999982</v>
      </c>
      <c r="UC45" s="1">
        <v>0.625</v>
      </c>
      <c r="UD45" s="530">
        <v>-2.9900000000000011</v>
      </c>
      <c r="UE45" s="1">
        <v>0.5625</v>
      </c>
      <c r="UF45" s="533">
        <v>19.660000000000004</v>
      </c>
      <c r="UG45" s="1">
        <v>0.75</v>
      </c>
      <c r="UH45" s="536">
        <v>4.87</v>
      </c>
      <c r="UI45" s="1">
        <v>0.75</v>
      </c>
      <c r="UJ45" s="539">
        <v>-26.01</v>
      </c>
      <c r="UK45" s="1">
        <v>0.3125</v>
      </c>
      <c r="UL45" s="540">
        <v>-20.91</v>
      </c>
      <c r="UM45" s="1">
        <v>0.4375</v>
      </c>
      <c r="UN45" s="543">
        <v>-2.999999999999825E-2</v>
      </c>
      <c r="UO45" s="1">
        <v>0.53333333333333333</v>
      </c>
      <c r="UP45" s="544">
        <v>3.1899999999999995</v>
      </c>
      <c r="UQ45" s="1">
        <v>0.5625</v>
      </c>
      <c r="UR45" s="551">
        <v>-33.58</v>
      </c>
      <c r="US45" s="1">
        <v>0.3125</v>
      </c>
      <c r="UT45" s="551">
        <v>4.3499999999999988</v>
      </c>
      <c r="UU45" s="1">
        <v>0.625</v>
      </c>
      <c r="UV45" s="562">
        <v>15.57</v>
      </c>
      <c r="UW45" s="1">
        <v>0.75</v>
      </c>
      <c r="UX45" s="566">
        <v>2.9600000000000009</v>
      </c>
      <c r="UY45" s="1">
        <v>0.5625</v>
      </c>
      <c r="UZ45" s="568">
        <v>5.9500000000000011</v>
      </c>
      <c r="VA45" s="1">
        <v>0.6428571428571429</v>
      </c>
      <c r="VB45" s="572">
        <v>-4.8900000000000006</v>
      </c>
      <c r="VC45" s="1">
        <v>0.5</v>
      </c>
      <c r="VD45" s="576">
        <v>1.3600000000000003</v>
      </c>
      <c r="VE45" s="1">
        <v>0.625</v>
      </c>
      <c r="VF45" s="580">
        <v>-13.110000000000001</v>
      </c>
      <c r="VG45" s="1">
        <v>0.4375</v>
      </c>
      <c r="VH45" s="584">
        <v>-11.66</v>
      </c>
      <c r="VI45" s="1">
        <v>0.4375</v>
      </c>
      <c r="VJ45" s="589">
        <v>1.7000000000000008</v>
      </c>
      <c r="VK45" s="1">
        <v>0.625</v>
      </c>
      <c r="VL45" s="593">
        <v>-16.630000000000003</v>
      </c>
      <c r="VM45" s="1">
        <v>0.375</v>
      </c>
      <c r="VN45" s="597">
        <v>-17.41</v>
      </c>
      <c r="VO45" s="1">
        <v>0.375</v>
      </c>
      <c r="VP45" s="601">
        <v>-15.290000000000001</v>
      </c>
      <c r="VQ45" s="1">
        <v>0.5</v>
      </c>
      <c r="VR45" s="603">
        <v>-7.169999999999999</v>
      </c>
      <c r="VS45" s="1">
        <v>0.5</v>
      </c>
      <c r="VT45" s="607">
        <v>-20.71</v>
      </c>
      <c r="VU45" s="1">
        <v>0.5</v>
      </c>
      <c r="VV45" s="609">
        <v>-2.65</v>
      </c>
      <c r="VW45" s="1">
        <v>0.5625</v>
      </c>
      <c r="VX45" s="613">
        <v>4.7399999999999993</v>
      </c>
      <c r="VY45" s="1">
        <v>0.5625</v>
      </c>
      <c r="VZ45" s="617">
        <v>-4.9099999999999975</v>
      </c>
      <c r="WA45" s="1">
        <v>0.5</v>
      </c>
      <c r="WB45" s="619"/>
      <c r="WC45" s="1"/>
      <c r="WD45" s="624">
        <v>-12.249999999999998</v>
      </c>
      <c r="WE45" s="1">
        <v>0.5625</v>
      </c>
      <c r="WF45" s="626">
        <v>-19.25</v>
      </c>
      <c r="WG45" s="1">
        <v>0.5625</v>
      </c>
      <c r="WH45" s="630">
        <v>-12.69</v>
      </c>
      <c r="WI45" s="1">
        <v>0.375</v>
      </c>
      <c r="WJ45" s="636">
        <v>-22.9</v>
      </c>
      <c r="WK45" s="1">
        <v>0.4375</v>
      </c>
      <c r="WL45" s="638">
        <v>-9.35</v>
      </c>
      <c r="WM45" s="1">
        <v>0.375</v>
      </c>
      <c r="WN45" s="642">
        <v>-31.359999999999992</v>
      </c>
      <c r="WO45" s="1">
        <v>0.3125</v>
      </c>
      <c r="WP45" s="646">
        <v>29.58</v>
      </c>
      <c r="WQ45" s="1">
        <v>0.8125</v>
      </c>
      <c r="WR45" s="652">
        <v>5.05</v>
      </c>
      <c r="WS45" s="1">
        <v>0.6875</v>
      </c>
      <c r="WT45" s="659">
        <v>3.4600000000000009</v>
      </c>
      <c r="WU45" s="1">
        <v>0.625</v>
      </c>
      <c r="WV45" s="659">
        <v>-19.220000000000002</v>
      </c>
      <c r="WW45" s="1">
        <v>0.5625</v>
      </c>
      <c r="WX45" s="672">
        <v>8.2900000000000009</v>
      </c>
      <c r="WY45" s="1">
        <v>0.625</v>
      </c>
      <c r="WZ45" s="677"/>
      <c r="XA45" s="1"/>
      <c r="XB45" s="681">
        <v>-18.920000000000002</v>
      </c>
      <c r="XC45" s="1">
        <v>0.375</v>
      </c>
      <c r="XD45" s="683">
        <v>-9.3099999999999987</v>
      </c>
      <c r="XE45" s="1">
        <v>0.6</v>
      </c>
      <c r="XF45" s="687">
        <v>1.48</v>
      </c>
      <c r="XG45" s="1">
        <v>0.6875</v>
      </c>
      <c r="XH45" s="689">
        <v>18.18</v>
      </c>
      <c r="XI45" s="1">
        <v>0.8125</v>
      </c>
      <c r="XJ45" s="696">
        <v>-35.380000000000003</v>
      </c>
      <c r="XK45" s="1">
        <v>0.4375</v>
      </c>
      <c r="XL45" s="696">
        <v>-19.339999999999996</v>
      </c>
      <c r="XM45" s="1">
        <v>0.5</v>
      </c>
      <c r="XN45" s="696">
        <v>-3.4600000000000022</v>
      </c>
      <c r="XO45" s="1">
        <v>0.5625</v>
      </c>
      <c r="XP45" s="700">
        <v>10.590000000000002</v>
      </c>
      <c r="XQ45" s="1">
        <v>0.75</v>
      </c>
      <c r="XR45" s="705">
        <v>-20.560000000000006</v>
      </c>
      <c r="XS45" s="1">
        <v>0.5625</v>
      </c>
      <c r="XT45" s="709">
        <v>-9.77</v>
      </c>
      <c r="XU45" s="1">
        <v>0.5</v>
      </c>
      <c r="XV45" s="715"/>
      <c r="XW45" s="1"/>
    </row>
    <row r="46" spans="2:647" x14ac:dyDescent="0.25">
      <c r="B46" s="755"/>
      <c r="C46" s="764"/>
      <c r="D46" s="757" t="s">
        <v>12</v>
      </c>
      <c r="E46" s="757"/>
      <c r="F46" s="448">
        <v>0.4</v>
      </c>
      <c r="G46" s="768"/>
      <c r="H46" s="450">
        <v>0.60500000000000043</v>
      </c>
      <c r="I46" s="1">
        <v>0.6</v>
      </c>
      <c r="J46" s="450">
        <v>-10.744999999999999</v>
      </c>
      <c r="K46" s="1">
        <v>0.26666666666666666</v>
      </c>
      <c r="L46" s="450"/>
      <c r="M46" s="1"/>
      <c r="N46" s="450">
        <v>-2.6824999999999997</v>
      </c>
      <c r="O46" s="1">
        <v>0.4</v>
      </c>
      <c r="P46" s="450">
        <v>2.2216666666666662</v>
      </c>
      <c r="Q46" s="1">
        <v>0.46666666666666667</v>
      </c>
      <c r="R46" s="450">
        <v>-2.145</v>
      </c>
      <c r="S46" s="1">
        <v>0.46666666666666667</v>
      </c>
      <c r="T46" s="450"/>
      <c r="U46" s="1"/>
      <c r="V46" s="450">
        <v>1.7400000000000002</v>
      </c>
      <c r="W46" s="1">
        <v>0.69230769230769229</v>
      </c>
      <c r="X46" s="450"/>
      <c r="Y46" s="1"/>
      <c r="Z46" s="450">
        <v>-9.5508333333333315</v>
      </c>
      <c r="AA46" s="1">
        <v>0.46666666666666667</v>
      </c>
      <c r="AB46" s="450"/>
      <c r="AC46" s="1"/>
      <c r="AD46" s="450">
        <v>3.7408333333333328</v>
      </c>
      <c r="AE46" s="1">
        <v>0.8</v>
      </c>
      <c r="AF46" s="450"/>
      <c r="AG46" s="1"/>
      <c r="AH46" s="450">
        <v>4.4524999999999997</v>
      </c>
      <c r="AI46" s="1">
        <v>0.8</v>
      </c>
      <c r="AJ46" s="450">
        <v>-2.645</v>
      </c>
      <c r="AK46" s="1">
        <v>0.6</v>
      </c>
      <c r="AL46" s="450">
        <v>8.4958333333333318</v>
      </c>
      <c r="AM46" s="1">
        <v>0.8</v>
      </c>
      <c r="AN46" s="450"/>
      <c r="AO46" s="1"/>
      <c r="AP46" s="450">
        <v>-4.3341666666666656</v>
      </c>
      <c r="AQ46" s="1">
        <v>0.53333333333333333</v>
      </c>
      <c r="AR46" s="450">
        <v>-9.5574999999999992</v>
      </c>
      <c r="AS46" s="1">
        <v>0.2</v>
      </c>
      <c r="AT46" s="450"/>
      <c r="AU46" s="1"/>
      <c r="AV46" s="450">
        <v>-0.22499999999999934</v>
      </c>
      <c r="AW46" s="1">
        <v>0.46666666666666667</v>
      </c>
      <c r="AX46" s="450">
        <v>0.91916666666666591</v>
      </c>
      <c r="AY46" s="1">
        <v>0.6428571428571429</v>
      </c>
      <c r="AZ46" s="450">
        <v>4.8599999999999994</v>
      </c>
      <c r="BA46" s="1">
        <v>0.73333333333333328</v>
      </c>
      <c r="BB46" s="450">
        <v>-6.1374999999999993</v>
      </c>
      <c r="BC46" s="1">
        <v>0.5714285714285714</v>
      </c>
      <c r="BD46" s="450"/>
      <c r="BE46" s="1"/>
      <c r="BF46" s="450">
        <v>-8.168571428571429</v>
      </c>
      <c r="BG46" s="1">
        <v>0.42857142857142855</v>
      </c>
      <c r="BH46" s="450">
        <v>-7.371428571428571</v>
      </c>
      <c r="BI46" s="1">
        <v>0.46666666666666667</v>
      </c>
      <c r="BJ46" s="450">
        <v>-2.399285714285714</v>
      </c>
      <c r="BK46" s="1">
        <v>0.53333333333333333</v>
      </c>
      <c r="BL46" s="450">
        <v>2.6642857142857146</v>
      </c>
      <c r="BM46" s="1">
        <v>0.66666666666666663</v>
      </c>
      <c r="BN46" s="450"/>
      <c r="BO46" s="1"/>
      <c r="BP46" s="450">
        <v>1.2764285714285712</v>
      </c>
      <c r="BQ46" s="1">
        <v>0.53333333333333333</v>
      </c>
      <c r="BR46" s="450">
        <v>0.4350000000000005</v>
      </c>
      <c r="BS46" s="1">
        <v>0.53333333333333333</v>
      </c>
      <c r="BT46" s="450"/>
      <c r="BU46" s="1"/>
      <c r="BV46" s="450"/>
      <c r="BW46" s="1"/>
      <c r="BX46" s="450">
        <v>9.2857142857142722E-2</v>
      </c>
      <c r="BY46" s="1">
        <v>0.53333333333333333</v>
      </c>
      <c r="BZ46" s="450">
        <v>4.9592857142857145</v>
      </c>
      <c r="CA46" s="1">
        <v>0.8</v>
      </c>
      <c r="CB46" s="450">
        <v>-1.6214285714285719</v>
      </c>
      <c r="CC46" s="1">
        <v>0.6</v>
      </c>
      <c r="CD46" s="450">
        <v>-7.8042857142857125</v>
      </c>
      <c r="CE46" s="1">
        <v>0.26666666666666666</v>
      </c>
      <c r="CF46" s="450">
        <v>-10.044999999999998</v>
      </c>
      <c r="CG46" s="1">
        <v>0.46666666666666667</v>
      </c>
      <c r="CH46" s="450"/>
      <c r="CI46" s="1"/>
      <c r="CJ46" s="450">
        <v>0.90499999999999936</v>
      </c>
      <c r="CK46" s="1">
        <v>0.66666666666666663</v>
      </c>
      <c r="CL46" s="450">
        <v>7.3228571428571438</v>
      </c>
      <c r="CM46" s="1">
        <v>0.7857142857142857</v>
      </c>
      <c r="CN46" s="450"/>
      <c r="CO46" s="1"/>
      <c r="CP46" s="450">
        <v>-3.0149999999999997</v>
      </c>
      <c r="CQ46" s="1">
        <v>0.33333333333333331</v>
      </c>
      <c r="CR46" s="450">
        <v>-4.9542857142857146</v>
      </c>
      <c r="CS46" s="1">
        <v>0.42857142857142855</v>
      </c>
      <c r="CT46" s="450">
        <v>-0.62499999999999967</v>
      </c>
      <c r="CU46" s="1">
        <v>0.7142857142857143</v>
      </c>
      <c r="CV46" s="450">
        <v>-2.194285714285714</v>
      </c>
      <c r="CW46" s="1">
        <v>0.53333333333333333</v>
      </c>
      <c r="CX46" s="450">
        <v>-8.3578571428571422</v>
      </c>
      <c r="CY46" s="1">
        <v>0.5</v>
      </c>
      <c r="CZ46" s="450">
        <v>5.401428571428573</v>
      </c>
      <c r="DA46" s="1">
        <v>0.8</v>
      </c>
      <c r="DB46" s="450">
        <v>-9.9521428571428565</v>
      </c>
      <c r="DC46" s="1">
        <v>0.53333333333333333</v>
      </c>
      <c r="DD46" s="450">
        <v>-4.5221428571428577</v>
      </c>
      <c r="DE46" s="1">
        <v>0.46153846153846156</v>
      </c>
      <c r="DF46" s="450">
        <v>-2.3035714285714293</v>
      </c>
      <c r="DG46" s="1">
        <v>0.6</v>
      </c>
      <c r="DH46" s="450">
        <v>-3.6299999999999994</v>
      </c>
      <c r="DI46" s="1">
        <v>0.6</v>
      </c>
      <c r="DJ46" s="450">
        <v>3.3235714285714288</v>
      </c>
      <c r="DK46" s="1">
        <v>0.73333333333333328</v>
      </c>
      <c r="DL46" s="450">
        <v>1.4192857142857143</v>
      </c>
      <c r="DM46" s="1">
        <v>0.73333333333333328</v>
      </c>
      <c r="DN46" s="450">
        <v>-2.2164285714285712</v>
      </c>
      <c r="DO46" s="1">
        <v>0.53333333333333333</v>
      </c>
      <c r="DP46" s="450">
        <v>3.9828571428571431</v>
      </c>
      <c r="DQ46" s="1">
        <v>0.86</v>
      </c>
      <c r="DR46" s="450">
        <v>3.3770588235294117</v>
      </c>
      <c r="DS46" s="1">
        <v>0.6875</v>
      </c>
      <c r="DT46" s="450"/>
      <c r="DU46" s="1"/>
      <c r="DV46" s="450">
        <v>-17.155714285714286</v>
      </c>
      <c r="DW46" s="1">
        <v>0.33333333333333331</v>
      </c>
      <c r="DX46" s="450">
        <v>-17.155714285714286</v>
      </c>
      <c r="DY46" s="1">
        <v>0.33333333333333331</v>
      </c>
      <c r="DZ46" s="450">
        <v>0.92857142857142916</v>
      </c>
      <c r="EA46" s="1">
        <v>0.5714285714285714</v>
      </c>
      <c r="EB46" s="450">
        <v>0.10714285714285644</v>
      </c>
      <c r="EC46" s="1">
        <v>0.6</v>
      </c>
      <c r="ED46" s="450">
        <v>4.3571428571428577</v>
      </c>
      <c r="EE46" s="1">
        <v>0.73333333333333328</v>
      </c>
      <c r="EF46" s="450">
        <v>-10.262142857142861</v>
      </c>
      <c r="EG46" s="1">
        <v>0.4</v>
      </c>
      <c r="EH46" s="450">
        <v>1.3942857142857146</v>
      </c>
      <c r="EI46" s="1">
        <v>0.73333333333333328</v>
      </c>
      <c r="EJ46" s="450">
        <v>5.5535714285714279</v>
      </c>
      <c r="EK46" s="1">
        <v>0.7857142857142857</v>
      </c>
      <c r="EL46" s="450"/>
      <c r="EM46" s="1"/>
      <c r="EN46" s="450">
        <v>-0.51999999999999902</v>
      </c>
      <c r="EO46" s="1">
        <v>0.53333333333333333</v>
      </c>
      <c r="EP46" s="450"/>
      <c r="EQ46" s="1"/>
      <c r="ER46" s="450">
        <v>-3.0278571428571435</v>
      </c>
      <c r="ES46" s="1">
        <v>0.42857142857142855</v>
      </c>
      <c r="ET46" s="450">
        <v>-2.4628571428571426</v>
      </c>
      <c r="EU46" s="1">
        <v>0.53333333333333333</v>
      </c>
      <c r="EV46" s="450">
        <v>-2.7</v>
      </c>
      <c r="EW46" s="1">
        <v>0.53333333333333333</v>
      </c>
      <c r="EX46" s="450">
        <v>3.3299999999999996</v>
      </c>
      <c r="EY46" s="1">
        <v>0.73333333333333328</v>
      </c>
      <c r="EZ46" s="450">
        <v>6.2978571428571417</v>
      </c>
      <c r="FA46" s="1">
        <v>0.8</v>
      </c>
      <c r="FB46" s="450">
        <v>-37.799999999999997</v>
      </c>
      <c r="FC46" s="1">
        <v>0.46666666666666667</v>
      </c>
      <c r="FD46" s="450">
        <v>12.199999999999998</v>
      </c>
      <c r="FE46" s="1">
        <v>0.6</v>
      </c>
      <c r="FF46" s="450">
        <v>-10.219999999999995</v>
      </c>
      <c r="FG46" s="1">
        <v>0.5</v>
      </c>
      <c r="FH46" s="450">
        <v>-5.9099999999999975</v>
      </c>
      <c r="FI46" s="1">
        <v>0.46666666666666667</v>
      </c>
      <c r="FJ46" s="450">
        <v>5.9800000000000022</v>
      </c>
      <c r="FK46" s="1">
        <v>0.73333333333333328</v>
      </c>
      <c r="FL46" s="450">
        <v>-27.450000000000003</v>
      </c>
      <c r="FM46" s="1">
        <v>0.66666666666666663</v>
      </c>
      <c r="FN46" s="450">
        <v>13.159999999999998</v>
      </c>
      <c r="FO46" s="1">
        <v>0.73333333333333328</v>
      </c>
      <c r="FP46" s="450">
        <v>-0.39000000000000057</v>
      </c>
      <c r="FQ46" s="1">
        <v>0.73333333333333328</v>
      </c>
      <c r="FR46" s="450">
        <v>24.650000000000002</v>
      </c>
      <c r="FS46" s="1">
        <v>0.8</v>
      </c>
      <c r="FT46" s="450">
        <v>-3.0900000000000003</v>
      </c>
      <c r="FU46" s="1">
        <v>0.66666666666666663</v>
      </c>
      <c r="FV46" s="450">
        <v>-1.6199999999999992</v>
      </c>
      <c r="FW46" s="1">
        <v>0.5714285714285714</v>
      </c>
      <c r="FX46" s="450">
        <v>16.84</v>
      </c>
      <c r="FY46" s="1">
        <v>0.8</v>
      </c>
      <c r="FZ46" s="450">
        <v>-22.03</v>
      </c>
      <c r="GA46" s="1">
        <v>0.46666666666666667</v>
      </c>
      <c r="GB46" s="450">
        <v>-31.689999999999998</v>
      </c>
      <c r="GC46" s="1">
        <v>0.33333333333333331</v>
      </c>
      <c r="GD46" s="450">
        <v>-19.860000000000003</v>
      </c>
      <c r="GE46" s="1">
        <v>0.30769230769230771</v>
      </c>
      <c r="GF46" s="450">
        <v>-22.62</v>
      </c>
      <c r="GG46" s="1">
        <v>0.2</v>
      </c>
      <c r="GH46" s="450">
        <v>-2.6499999999999986</v>
      </c>
      <c r="GI46" s="1">
        <v>0.6</v>
      </c>
      <c r="GJ46" s="450">
        <v>1.0399999999999998</v>
      </c>
      <c r="GK46" s="1">
        <v>0.5</v>
      </c>
      <c r="GL46" s="450">
        <v>10.630000000000003</v>
      </c>
      <c r="GM46" s="1">
        <v>0.66666666666666663</v>
      </c>
      <c r="GN46" s="450">
        <v>-55.23</v>
      </c>
      <c r="GO46" s="1">
        <v>0.35714285714285715</v>
      </c>
      <c r="GP46" s="450">
        <v>10.02</v>
      </c>
      <c r="GQ46" s="1">
        <v>0.6428571428571429</v>
      </c>
      <c r="GR46" s="450">
        <v>22.79</v>
      </c>
      <c r="GS46" s="1">
        <v>0.66666666666666663</v>
      </c>
      <c r="GT46" s="450">
        <v>-12.990000000000004</v>
      </c>
      <c r="GU46" s="1">
        <v>0.6</v>
      </c>
      <c r="GV46" s="450">
        <v>3.6599999999999988</v>
      </c>
      <c r="GW46" s="1">
        <v>0.6</v>
      </c>
      <c r="GX46" s="450">
        <v>-31.080000000000005</v>
      </c>
      <c r="GY46" s="1">
        <v>0.4</v>
      </c>
      <c r="GZ46" s="450">
        <v>-5.2699999999999978</v>
      </c>
      <c r="HA46" s="1">
        <v>0.6</v>
      </c>
      <c r="HB46" s="450">
        <v>-16.86</v>
      </c>
      <c r="HC46" s="1">
        <v>0.33333333333333331</v>
      </c>
      <c r="HD46" s="450">
        <v>7.9600000000000026</v>
      </c>
      <c r="HE46" s="1">
        <v>0.66666666666666663</v>
      </c>
      <c r="HF46" s="450">
        <v>14.869999999999997</v>
      </c>
      <c r="HG46" s="1">
        <v>0.66666666666666663</v>
      </c>
      <c r="HH46" s="450">
        <v>1.120000000000001</v>
      </c>
      <c r="HI46" s="1">
        <v>0.6</v>
      </c>
      <c r="HJ46" s="450">
        <v>-7.49</v>
      </c>
      <c r="HK46" s="1">
        <v>0.46666666666666667</v>
      </c>
      <c r="HL46" s="450">
        <v>-7.8600000000000012</v>
      </c>
      <c r="HM46" s="1">
        <v>0.4</v>
      </c>
      <c r="HN46" s="450">
        <v>-21.85</v>
      </c>
      <c r="HO46" s="1">
        <v>0.46666666666666667</v>
      </c>
      <c r="HP46" s="450">
        <v>-13.84</v>
      </c>
      <c r="HQ46" s="1">
        <v>0.42857142857142855</v>
      </c>
      <c r="HR46" s="450">
        <v>-12.66</v>
      </c>
      <c r="HS46" s="1">
        <v>0.33333333333333331</v>
      </c>
      <c r="HT46" s="450">
        <v>3.89</v>
      </c>
      <c r="HU46" s="1">
        <v>0.6</v>
      </c>
      <c r="HV46" s="450">
        <v>29.13</v>
      </c>
      <c r="HW46" s="1">
        <v>0.8571428571428571</v>
      </c>
      <c r="HX46" s="450">
        <v>16.600000000000001</v>
      </c>
      <c r="HY46" s="1">
        <v>0.6</v>
      </c>
      <c r="HZ46" s="450"/>
      <c r="IA46" s="1"/>
      <c r="IB46" s="450">
        <v>-4.2799999999999994</v>
      </c>
      <c r="IC46" s="1">
        <v>0.4</v>
      </c>
      <c r="ID46" s="450">
        <v>-11.099999999999998</v>
      </c>
      <c r="IE46" s="1">
        <v>0.6</v>
      </c>
      <c r="IF46" s="450">
        <v>-47.32</v>
      </c>
      <c r="IG46" s="1">
        <v>0.13333333333333333</v>
      </c>
      <c r="IH46" s="450">
        <v>3.8800000000000017</v>
      </c>
      <c r="II46" s="1">
        <v>0.6</v>
      </c>
      <c r="IJ46" s="450">
        <v>1.6499999999999986</v>
      </c>
      <c r="IK46" s="1">
        <v>0.6</v>
      </c>
      <c r="IL46" s="450">
        <v>-39.089999999999996</v>
      </c>
      <c r="IM46" s="1">
        <v>0.4</v>
      </c>
      <c r="IN46" s="450">
        <v>10.91</v>
      </c>
      <c r="IO46" s="1">
        <v>0.6428571428571429</v>
      </c>
      <c r="IP46" s="450">
        <v>7.7800000000000011</v>
      </c>
      <c r="IQ46" s="1">
        <v>0.5714285714285714</v>
      </c>
      <c r="IR46" s="450"/>
      <c r="IS46" s="1"/>
      <c r="IT46" s="450"/>
      <c r="IU46" s="1"/>
      <c r="IV46" s="450">
        <v>-13.989999999999997</v>
      </c>
      <c r="IW46" s="1">
        <v>0.53333333333333333</v>
      </c>
      <c r="IX46" s="450"/>
      <c r="IY46" s="1"/>
      <c r="IZ46" s="450"/>
      <c r="JA46" s="1"/>
      <c r="JB46" s="450">
        <v>-12.649999999999997</v>
      </c>
      <c r="JC46" s="1">
        <v>0.46666666666666667</v>
      </c>
      <c r="JD46" s="450"/>
      <c r="JE46" s="1"/>
      <c r="JF46" s="450">
        <v>7.9499999999999993</v>
      </c>
      <c r="JG46" s="1">
        <v>0.6</v>
      </c>
      <c r="JH46" s="450">
        <v>-23.28</v>
      </c>
      <c r="JI46" s="1">
        <v>0.26666666666666666</v>
      </c>
      <c r="JJ46" s="450">
        <v>-5.910000000000001</v>
      </c>
      <c r="JK46" s="1">
        <v>0.53333333333333333</v>
      </c>
      <c r="JL46" s="450"/>
      <c r="JM46" s="1"/>
      <c r="JN46" s="450">
        <v>11.160000000000004</v>
      </c>
      <c r="JO46" s="1">
        <v>0.6</v>
      </c>
      <c r="JP46" s="450">
        <v>-3.3799999999999994</v>
      </c>
      <c r="JQ46" s="1">
        <v>0.46666666666666667</v>
      </c>
      <c r="JR46" s="450">
        <v>-4.1400000000000006</v>
      </c>
      <c r="JS46" s="1">
        <v>0.46666666666666667</v>
      </c>
      <c r="JT46" s="450"/>
      <c r="JU46" s="1"/>
      <c r="JV46" s="450"/>
      <c r="JW46" s="1"/>
      <c r="JX46" s="450">
        <v>16.140000000000004</v>
      </c>
      <c r="JY46" s="1">
        <v>0.73333333333333328</v>
      </c>
      <c r="JZ46" s="450">
        <v>2.280000000000002</v>
      </c>
      <c r="KA46" s="1">
        <v>0.53333333333333333</v>
      </c>
      <c r="KB46" s="450">
        <v>-2.9299999999999966</v>
      </c>
      <c r="KC46" s="1">
        <v>0.5</v>
      </c>
      <c r="KD46" s="450">
        <v>8.7099999999999991</v>
      </c>
      <c r="KE46" s="1">
        <v>0.73333333333333328</v>
      </c>
      <c r="KF46" s="450">
        <v>25.479999999999997</v>
      </c>
      <c r="KG46" s="1">
        <v>0.8</v>
      </c>
      <c r="KH46" s="450">
        <v>-10.3</v>
      </c>
      <c r="KI46" s="1">
        <v>0.46666666666666667</v>
      </c>
      <c r="KJ46" s="450">
        <v>-3.8199999999999985</v>
      </c>
      <c r="KK46" s="1">
        <v>0.53333333333333333</v>
      </c>
      <c r="KL46" s="450">
        <v>-64.83</v>
      </c>
      <c r="KM46" s="1">
        <v>0.2</v>
      </c>
      <c r="KN46" s="450">
        <v>-11.930000000000003</v>
      </c>
      <c r="KO46" s="1">
        <v>0.53333333333333333</v>
      </c>
      <c r="KP46" s="450">
        <v>2.2600000000000007</v>
      </c>
      <c r="KQ46" s="1">
        <v>0.73333333333333328</v>
      </c>
      <c r="KR46" s="450">
        <v>-9.0100000000000016</v>
      </c>
      <c r="KS46" s="1">
        <v>0.4</v>
      </c>
      <c r="KT46" s="450"/>
      <c r="KU46" s="1"/>
      <c r="KV46" s="450">
        <v>15.569999999999999</v>
      </c>
      <c r="KW46" s="1">
        <v>0.66666666666666663</v>
      </c>
      <c r="KX46" s="450">
        <v>-29.630000000000006</v>
      </c>
      <c r="KY46" s="1">
        <v>0.53333333333333333</v>
      </c>
      <c r="KZ46" s="450">
        <v>6.3299999999999983</v>
      </c>
      <c r="LA46" s="1">
        <v>0.66666666666666663</v>
      </c>
      <c r="LB46" s="450">
        <v>9.259999999999998</v>
      </c>
      <c r="LC46" s="1">
        <v>0.8</v>
      </c>
      <c r="LD46" s="450">
        <v>-52.699999999999996</v>
      </c>
      <c r="LE46" s="1">
        <v>0.46666666666666667</v>
      </c>
      <c r="LF46" s="450">
        <v>-25.230000000000008</v>
      </c>
      <c r="LG46" s="1">
        <v>0.6</v>
      </c>
      <c r="LH46" s="450">
        <v>-10.109999999999998</v>
      </c>
      <c r="LI46" s="1">
        <v>0.66666666666666663</v>
      </c>
      <c r="LJ46" s="450">
        <v>-18.21</v>
      </c>
      <c r="LK46" s="1">
        <v>0.66666666666666663</v>
      </c>
      <c r="LL46" s="450"/>
      <c r="LM46" s="1"/>
      <c r="LN46" s="450">
        <v>46.189999999999991</v>
      </c>
      <c r="LO46" s="1">
        <v>1</v>
      </c>
      <c r="LP46" s="450">
        <v>31.16</v>
      </c>
      <c r="LQ46" s="1">
        <v>0.8666666666666667</v>
      </c>
      <c r="LR46" s="450">
        <v>-4.5199999999999987</v>
      </c>
      <c r="LS46" s="1">
        <v>0.73333333333333328</v>
      </c>
      <c r="LT46" s="450">
        <v>-30.86</v>
      </c>
      <c r="LU46" s="1">
        <v>0.6</v>
      </c>
      <c r="LV46" s="450">
        <v>24.980000000000004</v>
      </c>
      <c r="LW46" s="1">
        <v>0.7857142857142857</v>
      </c>
      <c r="LX46" s="450">
        <v>14.62</v>
      </c>
      <c r="LY46" s="1">
        <v>0.8</v>
      </c>
      <c r="LZ46" s="450">
        <v>-14.229999999999997</v>
      </c>
      <c r="MA46" s="1">
        <v>0.6875</v>
      </c>
      <c r="MB46" s="450">
        <v>-30.550000000000004</v>
      </c>
      <c r="MC46" s="1">
        <v>0.6</v>
      </c>
      <c r="MD46" s="450">
        <v>-0.64999999999999947</v>
      </c>
      <c r="ME46" s="1">
        <v>0.69230769230769229</v>
      </c>
      <c r="MF46" s="450">
        <v>-8.5099999999999962</v>
      </c>
      <c r="MG46" s="1">
        <v>0.6428571428571429</v>
      </c>
      <c r="MH46" s="450">
        <v>-24.650000000000006</v>
      </c>
      <c r="MI46" s="1">
        <v>0.6428571428571429</v>
      </c>
      <c r="MJ46" s="450">
        <v>-6.580000000000001</v>
      </c>
      <c r="MK46" s="1">
        <v>0.6875</v>
      </c>
      <c r="ML46" s="450">
        <v>16.400000000000002</v>
      </c>
      <c r="MM46" s="1">
        <v>0.8125</v>
      </c>
      <c r="MN46" s="450">
        <v>-28.46</v>
      </c>
      <c r="MO46" s="1">
        <v>0.625</v>
      </c>
      <c r="MP46" s="450">
        <v>53.069999999999993</v>
      </c>
      <c r="MQ46" s="1">
        <v>1</v>
      </c>
      <c r="MR46" s="450">
        <v>9.51</v>
      </c>
      <c r="MS46" s="1">
        <v>0.8</v>
      </c>
      <c r="MT46" s="450">
        <v>-16.950000000000003</v>
      </c>
      <c r="MU46" s="1">
        <v>0.66666666666666663</v>
      </c>
      <c r="MV46" s="450">
        <v>9.5599999999999987</v>
      </c>
      <c r="MW46" s="1">
        <v>0.8</v>
      </c>
      <c r="MX46" s="450">
        <v>7.42</v>
      </c>
      <c r="MY46" s="1">
        <v>0.8</v>
      </c>
      <c r="MZ46" s="450">
        <v>-5.0699999999999994</v>
      </c>
      <c r="NA46" s="1">
        <v>0.73333333333333328</v>
      </c>
      <c r="NB46" s="450">
        <v>-8.7999999999999989</v>
      </c>
      <c r="NC46" s="1">
        <v>0.66666666666666663</v>
      </c>
      <c r="ND46" s="450">
        <v>12.11</v>
      </c>
      <c r="NE46" s="1">
        <v>0.73333333333333328</v>
      </c>
      <c r="NF46" s="450">
        <v>-31.32</v>
      </c>
      <c r="NG46" s="1">
        <v>0.6</v>
      </c>
      <c r="NH46" s="450">
        <v>-31.32</v>
      </c>
      <c r="NI46" s="1">
        <v>0.6</v>
      </c>
      <c r="NJ46" s="450">
        <v>-4.0599999999999996</v>
      </c>
      <c r="NK46" s="1">
        <v>0.73333333333333328</v>
      </c>
      <c r="NL46" s="450"/>
      <c r="NM46" s="1"/>
      <c r="NN46" s="450">
        <v>11.68</v>
      </c>
      <c r="NO46" s="1">
        <v>0.75</v>
      </c>
      <c r="NP46" s="450">
        <v>2.5200000000000014</v>
      </c>
      <c r="NQ46" s="1">
        <v>0.75</v>
      </c>
      <c r="NR46" s="450">
        <v>17.09</v>
      </c>
      <c r="NS46" s="1">
        <v>0.9</v>
      </c>
      <c r="NT46" s="450">
        <v>3.0700000000000003</v>
      </c>
      <c r="NU46" s="1">
        <v>0.8</v>
      </c>
      <c r="NV46" s="450">
        <v>22.48</v>
      </c>
      <c r="NW46" s="1">
        <v>0.875</v>
      </c>
      <c r="NX46" s="450">
        <v>19.309999999999999</v>
      </c>
      <c r="NY46" s="1">
        <v>0.8571428571428571</v>
      </c>
      <c r="NZ46" s="450">
        <v>-16.239999999999998</v>
      </c>
      <c r="OA46" s="1">
        <v>0.66666666666666663</v>
      </c>
      <c r="OB46" s="450">
        <v>21.529999999999998</v>
      </c>
      <c r="OC46" s="1">
        <v>0.81818181818181823</v>
      </c>
      <c r="OD46" s="450">
        <v>15.790000000000001</v>
      </c>
      <c r="OE46" s="1">
        <v>0.81818181818181823</v>
      </c>
      <c r="OF46" s="450">
        <v>38.54</v>
      </c>
      <c r="OG46" s="1">
        <v>1</v>
      </c>
      <c r="OH46" s="450">
        <v>-40.47</v>
      </c>
      <c r="OI46" s="1">
        <v>0.36363636363636365</v>
      </c>
      <c r="OJ46" s="450">
        <v>-6.2900000000000009</v>
      </c>
      <c r="OK46" s="1">
        <v>0.6875</v>
      </c>
      <c r="OL46" s="450">
        <v>-0.45999999999999963</v>
      </c>
      <c r="OM46" s="1">
        <v>0.69230769230769229</v>
      </c>
      <c r="ON46" s="450">
        <v>-81.029999999999987</v>
      </c>
      <c r="OO46" s="1">
        <v>0.33333333333333331</v>
      </c>
      <c r="OP46" s="450">
        <v>-29.959999999999997</v>
      </c>
      <c r="OQ46" s="1">
        <v>0.46666666666666667</v>
      </c>
      <c r="OR46" s="450">
        <v>2.4199999999999982</v>
      </c>
      <c r="OS46" s="1">
        <v>0.6875</v>
      </c>
      <c r="OT46" s="450">
        <v>-17.650000000000002</v>
      </c>
      <c r="OU46" s="1">
        <v>0.4375</v>
      </c>
      <c r="OV46" s="450">
        <v>-33.889999999999993</v>
      </c>
      <c r="OW46" s="1">
        <v>0.46666666666666667</v>
      </c>
      <c r="OX46" s="450">
        <v>-16.57</v>
      </c>
      <c r="OY46" s="1">
        <v>0.6</v>
      </c>
      <c r="OZ46" s="450">
        <v>-7.0400000000000027</v>
      </c>
      <c r="PA46" s="1">
        <v>0.625</v>
      </c>
      <c r="PB46" s="450">
        <v>12.229999999999997</v>
      </c>
      <c r="PC46" s="1">
        <v>0.6875</v>
      </c>
      <c r="PD46" s="450">
        <v>-27.550000000000004</v>
      </c>
      <c r="PE46" s="1">
        <v>0.5</v>
      </c>
      <c r="PF46" s="450">
        <v>-45.360000000000007</v>
      </c>
      <c r="PG46" s="1">
        <v>0.46666666666666667</v>
      </c>
      <c r="PH46" s="450">
        <v>-31.319999999999993</v>
      </c>
      <c r="PI46" s="1">
        <v>0.46666666666666667</v>
      </c>
      <c r="PJ46" s="450">
        <v>-17.740000000000002</v>
      </c>
      <c r="PK46" s="1">
        <v>0.53333333333333333</v>
      </c>
      <c r="PL46" s="450"/>
      <c r="PM46" s="1"/>
      <c r="PN46" s="450"/>
      <c r="PO46" s="1"/>
      <c r="PP46" s="450">
        <v>2.2099999999999986</v>
      </c>
      <c r="PQ46" s="1">
        <v>0.66666666666666663</v>
      </c>
      <c r="PR46" s="450"/>
      <c r="PS46" s="1"/>
      <c r="PT46" s="450">
        <v>25.960000000000008</v>
      </c>
      <c r="PU46" s="1">
        <v>0.8125</v>
      </c>
      <c r="PV46" s="450">
        <v>24.759999999999998</v>
      </c>
      <c r="PW46" s="1">
        <v>0.75</v>
      </c>
      <c r="PX46" s="450">
        <v>-6.3799999999999981</v>
      </c>
      <c r="PY46" s="1">
        <v>0.66666666666666663</v>
      </c>
      <c r="PZ46" s="450">
        <v>-51.59</v>
      </c>
      <c r="QA46" s="1">
        <v>0.46666666666666667</v>
      </c>
      <c r="QB46" s="450">
        <v>-29.549999999999997</v>
      </c>
      <c r="QC46" s="1">
        <v>0.53333333333333333</v>
      </c>
      <c r="QD46" s="450">
        <v>-2.3099999999999978</v>
      </c>
      <c r="QE46" s="1">
        <v>0.6</v>
      </c>
      <c r="QF46" s="450">
        <v>5.9100000000000019</v>
      </c>
      <c r="QG46" s="1">
        <v>0.66666666666666663</v>
      </c>
      <c r="QH46" s="450">
        <v>-19.209999999999997</v>
      </c>
      <c r="QI46" s="1">
        <v>0.46666666666666667</v>
      </c>
      <c r="QJ46" s="450">
        <v>9.9699999999999989</v>
      </c>
      <c r="QK46" s="1">
        <v>0.73333333333333328</v>
      </c>
      <c r="QL46" s="450">
        <v>-41.72</v>
      </c>
      <c r="QM46" s="1">
        <v>0.5</v>
      </c>
      <c r="QN46" s="450">
        <v>-32.36</v>
      </c>
      <c r="QO46" s="1">
        <v>0.46666666666666667</v>
      </c>
      <c r="QP46" s="450">
        <v>1.7499999999999978</v>
      </c>
      <c r="QQ46" s="1">
        <v>0.6</v>
      </c>
      <c r="QR46" s="450">
        <v>11.920000000000003</v>
      </c>
      <c r="QS46" s="1">
        <v>0.75</v>
      </c>
      <c r="QT46" s="450"/>
      <c r="QU46" s="1"/>
      <c r="QV46" s="450">
        <v>-24.519999999999996</v>
      </c>
      <c r="QW46" s="1">
        <v>0.53333333333333333</v>
      </c>
      <c r="QX46" s="450">
        <v>-2.4500000000000002</v>
      </c>
      <c r="QY46" s="1">
        <v>0.53333333333333333</v>
      </c>
      <c r="QZ46" s="450">
        <v>-17.049999999999997</v>
      </c>
      <c r="RA46" s="1">
        <v>0.5</v>
      </c>
      <c r="RB46" s="450">
        <v>2.2799999999999994</v>
      </c>
      <c r="RC46" s="1">
        <v>0.53333333333333333</v>
      </c>
      <c r="RD46" s="450">
        <v>-34.569999999999993</v>
      </c>
      <c r="RE46" s="1">
        <v>0.5</v>
      </c>
      <c r="RF46" s="450">
        <v>-11.840000000000002</v>
      </c>
      <c r="RG46" s="1">
        <v>0.46666666666666667</v>
      </c>
      <c r="RH46" s="450">
        <v>-23.369999999999994</v>
      </c>
      <c r="RI46" s="1">
        <v>0.46666666666666667</v>
      </c>
      <c r="RJ46" s="450">
        <v>1.7399999999999984</v>
      </c>
      <c r="RK46" s="1">
        <v>0.5</v>
      </c>
      <c r="RL46" s="450"/>
      <c r="RM46" s="1"/>
      <c r="RN46" s="450">
        <v>-5.0099999999999971</v>
      </c>
      <c r="RO46" s="1">
        <v>0.46666666666666667</v>
      </c>
      <c r="RP46" s="450">
        <v>-36.57</v>
      </c>
      <c r="RQ46" s="1">
        <v>0.46666666666666667</v>
      </c>
      <c r="RR46" s="450">
        <v>29.889999999999993</v>
      </c>
      <c r="RS46" s="1">
        <v>0.8666666666666667</v>
      </c>
      <c r="RT46" s="450">
        <v>-43.819999999999993</v>
      </c>
      <c r="RU46" s="1">
        <v>0.4375</v>
      </c>
      <c r="RV46" s="450">
        <v>-43.65</v>
      </c>
      <c r="RW46" s="1">
        <v>0.3125</v>
      </c>
      <c r="RX46" s="450">
        <v>3.24</v>
      </c>
      <c r="RY46" s="1">
        <v>0.66666666666666663</v>
      </c>
      <c r="RZ46" s="450">
        <v>-22.58</v>
      </c>
      <c r="SA46" s="1">
        <v>0.5625</v>
      </c>
      <c r="SB46" s="450">
        <v>18.670000000000005</v>
      </c>
      <c r="SC46" s="1">
        <v>0.8125</v>
      </c>
      <c r="SD46" s="450">
        <v>31.550000000000004</v>
      </c>
      <c r="SE46" s="1">
        <v>0.875</v>
      </c>
      <c r="SF46" s="450">
        <v>-10.549999999999999</v>
      </c>
      <c r="SG46" s="1">
        <v>0.6</v>
      </c>
      <c r="SH46" s="450">
        <v>15.600000000000001</v>
      </c>
      <c r="SI46" s="1">
        <v>0.8</v>
      </c>
      <c r="SJ46" s="452">
        <v>-11.600000000000003</v>
      </c>
      <c r="SK46" s="1">
        <v>0.6</v>
      </c>
      <c r="SL46" s="457">
        <v>3.8399999999999981</v>
      </c>
      <c r="SM46" s="1">
        <v>0.6875</v>
      </c>
      <c r="SN46" s="459">
        <v>-22.569999999999997</v>
      </c>
      <c r="SO46" s="1">
        <v>0.6</v>
      </c>
      <c r="SP46" s="461">
        <v>-10.399999999999999</v>
      </c>
      <c r="SQ46" s="1">
        <v>0.5625</v>
      </c>
      <c r="SR46" s="463">
        <v>19.159999999999997</v>
      </c>
      <c r="SS46" s="1">
        <v>0.75</v>
      </c>
      <c r="ST46" s="464">
        <v>-1.1599999999999984</v>
      </c>
      <c r="SU46" s="1">
        <v>0.53333333333333333</v>
      </c>
      <c r="SV46" s="466">
        <v>-18.88</v>
      </c>
      <c r="SW46" s="1">
        <v>0.5</v>
      </c>
      <c r="SX46" s="467">
        <v>-28.159999999999997</v>
      </c>
      <c r="SY46" s="1">
        <v>0.46666666666666667</v>
      </c>
      <c r="SZ46" s="469">
        <v>-16.849999999999998</v>
      </c>
      <c r="TA46" s="1">
        <v>0.53333333333333333</v>
      </c>
      <c r="TB46" s="471">
        <v>-32.53</v>
      </c>
      <c r="TC46" s="1">
        <v>0.375</v>
      </c>
      <c r="TD46" s="472">
        <v>-1.9300000000000006</v>
      </c>
      <c r="TE46" s="1">
        <v>0.66666666666666663</v>
      </c>
      <c r="TF46" s="474">
        <v>-19.489999999999998</v>
      </c>
      <c r="TG46" s="1">
        <v>0.5</v>
      </c>
      <c r="TH46" s="488">
        <v>-23.060000000000002</v>
      </c>
      <c r="TI46" s="1">
        <v>0.6</v>
      </c>
      <c r="TJ46" s="489">
        <v>5.6900000000000031</v>
      </c>
      <c r="TK46" s="1">
        <v>0.8</v>
      </c>
      <c r="TL46" s="490">
        <v>9.0300000000000011</v>
      </c>
      <c r="TM46" s="1">
        <v>0.75</v>
      </c>
      <c r="TN46" s="495">
        <v>-66.06</v>
      </c>
      <c r="TO46" s="1">
        <v>0.33333333333333331</v>
      </c>
      <c r="TP46" s="500">
        <v>40.199999999999996</v>
      </c>
      <c r="TQ46" s="1">
        <v>0.875</v>
      </c>
      <c r="TR46" s="511">
        <v>8.3699999999999992</v>
      </c>
      <c r="TS46" s="1">
        <v>0.8125</v>
      </c>
      <c r="TT46" s="515">
        <v>2.2800000000000011</v>
      </c>
      <c r="TU46" s="1">
        <v>0.73333333333333328</v>
      </c>
      <c r="TV46" s="518">
        <v>12.950000000000003</v>
      </c>
      <c r="TW46" s="1">
        <v>0.75</v>
      </c>
      <c r="TX46" s="521"/>
      <c r="TY46" s="1"/>
      <c r="TZ46" s="524">
        <v>11.040000000000003</v>
      </c>
      <c r="UA46" s="1">
        <v>0.625</v>
      </c>
      <c r="UB46" s="527">
        <v>27.239999999999995</v>
      </c>
      <c r="UC46" s="1">
        <v>0.6875</v>
      </c>
      <c r="UD46" s="530">
        <v>-12.869999999999997</v>
      </c>
      <c r="UE46" s="1">
        <v>0.6875</v>
      </c>
      <c r="UF46" s="533">
        <v>5.780000000000002</v>
      </c>
      <c r="UG46" s="1">
        <v>0.6875</v>
      </c>
      <c r="UH46" s="536">
        <v>18.670000000000002</v>
      </c>
      <c r="UI46" s="1">
        <v>0.8125</v>
      </c>
      <c r="UJ46" s="539">
        <v>-24.799999999999997</v>
      </c>
      <c r="UK46" s="1">
        <v>0.5625</v>
      </c>
      <c r="UL46" s="540">
        <v>-24.08</v>
      </c>
      <c r="UM46" s="1">
        <v>0.5625</v>
      </c>
      <c r="UN46" s="543">
        <v>-6.7200000000000006</v>
      </c>
      <c r="UO46" s="1">
        <v>0.53333333333333333</v>
      </c>
      <c r="UP46" s="544">
        <v>-29.299999999999997</v>
      </c>
      <c r="UQ46" s="1">
        <v>0.4375</v>
      </c>
      <c r="UR46" s="551">
        <v>-1.8999999999999959</v>
      </c>
      <c r="US46" s="1">
        <v>0.6875</v>
      </c>
      <c r="UT46" s="551">
        <v>16.61</v>
      </c>
      <c r="UU46" s="1">
        <v>0.6875</v>
      </c>
      <c r="UV46" s="562">
        <v>0.38999999999999968</v>
      </c>
      <c r="UW46" s="1">
        <v>0.625</v>
      </c>
      <c r="UX46" s="566">
        <v>6.919999999999999</v>
      </c>
      <c r="UY46" s="1">
        <v>0.6875</v>
      </c>
      <c r="UZ46" s="568">
        <v>-13.98</v>
      </c>
      <c r="VA46" s="1">
        <v>0.5</v>
      </c>
      <c r="VB46" s="572">
        <v>-5.1499999999999995</v>
      </c>
      <c r="VC46" s="1">
        <v>0.5</v>
      </c>
      <c r="VD46" s="576">
        <v>-11.059999999999999</v>
      </c>
      <c r="VE46" s="1">
        <v>0.6875</v>
      </c>
      <c r="VF46" s="580">
        <v>9.620000000000001</v>
      </c>
      <c r="VG46" s="1">
        <v>0.75</v>
      </c>
      <c r="VH46" s="584">
        <v>-12.409999999999998</v>
      </c>
      <c r="VI46" s="1">
        <v>0.5625</v>
      </c>
      <c r="VJ46" s="589">
        <v>18.07</v>
      </c>
      <c r="VK46" s="1">
        <v>0.6875</v>
      </c>
      <c r="VL46" s="593">
        <v>-27.509999999999998</v>
      </c>
      <c r="VM46" s="1">
        <v>0.5</v>
      </c>
      <c r="VN46" s="597">
        <v>-21.91</v>
      </c>
      <c r="VO46" s="1">
        <v>0.5</v>
      </c>
      <c r="VP46" s="601">
        <v>-13.700000000000001</v>
      </c>
      <c r="VQ46" s="1">
        <v>0.5625</v>
      </c>
      <c r="VR46" s="603">
        <v>5.0299999999999985</v>
      </c>
      <c r="VS46" s="1">
        <v>0.625</v>
      </c>
      <c r="VT46" s="607">
        <v>-11.369999999999997</v>
      </c>
      <c r="VU46" s="1">
        <v>0.625</v>
      </c>
      <c r="VV46" s="609">
        <v>16.91</v>
      </c>
      <c r="VW46" s="1">
        <v>0.625</v>
      </c>
      <c r="VX46" s="613">
        <v>-39.949999999999996</v>
      </c>
      <c r="VY46" s="1">
        <v>0.25</v>
      </c>
      <c r="VZ46" s="617">
        <v>-22.080000000000002</v>
      </c>
      <c r="WA46" s="1">
        <v>0.5</v>
      </c>
      <c r="WB46" s="619"/>
      <c r="WC46" s="1"/>
      <c r="WD46" s="624">
        <v>-17.879999999999988</v>
      </c>
      <c r="WE46" s="1">
        <v>0.625</v>
      </c>
      <c r="WF46" s="626">
        <v>-73.91</v>
      </c>
      <c r="WG46" s="1">
        <v>0.3125</v>
      </c>
      <c r="WH46" s="630">
        <v>-1.6299999999999986</v>
      </c>
      <c r="WI46" s="1">
        <v>0.625</v>
      </c>
      <c r="WJ46" s="636">
        <v>-12.530000000000005</v>
      </c>
      <c r="WK46" s="1">
        <v>0.5625</v>
      </c>
      <c r="WL46" s="638">
        <v>-29.04</v>
      </c>
      <c r="WM46" s="1">
        <v>0.3125</v>
      </c>
      <c r="WN46" s="642">
        <v>-59.499999999999993</v>
      </c>
      <c r="WO46" s="1">
        <v>0.25</v>
      </c>
      <c r="WP46" s="646">
        <v>45.18</v>
      </c>
      <c r="WQ46" s="1">
        <v>0.875</v>
      </c>
      <c r="WR46" s="652">
        <v>19.95</v>
      </c>
      <c r="WS46" s="1">
        <v>0.8125</v>
      </c>
      <c r="WT46" s="659">
        <v>-7.8999999999999995</v>
      </c>
      <c r="WU46" s="1">
        <v>0.5625</v>
      </c>
      <c r="WV46" s="659">
        <v>-54.839999999999996</v>
      </c>
      <c r="WW46" s="1">
        <v>0.4375</v>
      </c>
      <c r="WX46" s="672">
        <v>-5.45</v>
      </c>
      <c r="WY46" s="1">
        <v>0.5625</v>
      </c>
      <c r="WZ46" s="677"/>
      <c r="XA46" s="1"/>
      <c r="XB46" s="681">
        <v>11.84</v>
      </c>
      <c r="XC46" s="1">
        <v>0.625</v>
      </c>
      <c r="XD46" s="683">
        <v>12.040000000000001</v>
      </c>
      <c r="XE46" s="1">
        <v>0.8</v>
      </c>
      <c r="XF46" s="687">
        <v>-7.589999999999999</v>
      </c>
      <c r="XG46" s="1">
        <v>0.625</v>
      </c>
      <c r="XH46" s="689">
        <v>-0.58999999999999897</v>
      </c>
      <c r="XI46" s="1">
        <v>0.5625</v>
      </c>
      <c r="XJ46" s="696">
        <v>-87.449999999999989</v>
      </c>
      <c r="XK46" s="1">
        <v>0.3125</v>
      </c>
      <c r="XL46" s="696">
        <v>-38.519999999999996</v>
      </c>
      <c r="XM46" s="1">
        <v>0.4375</v>
      </c>
      <c r="XN46" s="696">
        <v>-17.800000000000004</v>
      </c>
      <c r="XO46" s="1">
        <v>0.5625</v>
      </c>
      <c r="XP46" s="700">
        <v>3.61</v>
      </c>
      <c r="XQ46" s="1">
        <v>0.6875</v>
      </c>
      <c r="XR46" s="705">
        <v>-36.479999999999997</v>
      </c>
      <c r="XS46" s="1">
        <v>0.53125</v>
      </c>
      <c r="XT46" s="709">
        <v>-4.0400000000000009</v>
      </c>
      <c r="XU46" s="1">
        <v>0.625</v>
      </c>
      <c r="XV46" s="715"/>
      <c r="XW46" s="1"/>
    </row>
    <row r="47" spans="2:647" ht="15.75" thickBot="1" x14ac:dyDescent="0.3">
      <c r="B47" s="738"/>
      <c r="C47" s="740"/>
      <c r="D47" s="739" t="s">
        <v>24</v>
      </c>
      <c r="E47" s="739"/>
      <c r="F47" s="193">
        <v>0.5</v>
      </c>
      <c r="G47" s="770"/>
      <c r="H47" s="59"/>
      <c r="I47" s="60"/>
      <c r="J47" s="59"/>
      <c r="K47" s="60"/>
      <c r="L47" s="59"/>
      <c r="M47" s="60"/>
      <c r="N47" s="59"/>
      <c r="O47" s="60"/>
      <c r="P47" s="59"/>
      <c r="Q47" s="60"/>
      <c r="R47" s="59"/>
      <c r="S47" s="60"/>
      <c r="T47" s="59"/>
      <c r="U47" s="60"/>
      <c r="V47" s="59"/>
      <c r="W47" s="60"/>
      <c r="X47" s="59"/>
      <c r="Y47" s="60"/>
      <c r="Z47" s="59"/>
      <c r="AA47" s="60"/>
      <c r="AB47" s="59"/>
      <c r="AC47" s="60"/>
      <c r="AD47" s="59"/>
      <c r="AE47" s="60"/>
      <c r="AF47" s="59"/>
      <c r="AG47" s="60"/>
      <c r="AH47" s="59"/>
      <c r="AI47" s="60"/>
      <c r="AJ47" s="59"/>
      <c r="AK47" s="60"/>
      <c r="AL47" s="59"/>
      <c r="AM47" s="60"/>
      <c r="AN47" s="59"/>
      <c r="AO47" s="60"/>
      <c r="AP47" s="59"/>
      <c r="AQ47" s="60"/>
      <c r="AR47" s="59"/>
      <c r="AS47" s="60"/>
      <c r="AT47" s="59"/>
      <c r="AU47" s="60"/>
      <c r="AV47" s="59"/>
      <c r="AW47" s="60"/>
      <c r="AX47" s="59"/>
      <c r="AY47" s="60"/>
      <c r="AZ47" s="59"/>
      <c r="BA47" s="60"/>
      <c r="BB47" s="59"/>
      <c r="BC47" s="60"/>
      <c r="BD47" s="59"/>
      <c r="BE47" s="60"/>
      <c r="BF47" s="59">
        <v>-0.38285714285714317</v>
      </c>
      <c r="BG47" s="60">
        <v>0.75</v>
      </c>
      <c r="BH47" s="59">
        <v>3.0735714285714288</v>
      </c>
      <c r="BI47" s="60">
        <v>0.83333333333333337</v>
      </c>
      <c r="BJ47" s="59">
        <v>1.6042857142857143</v>
      </c>
      <c r="BK47" s="60">
        <v>1</v>
      </c>
      <c r="BL47" s="59">
        <v>-2.7142857142857073E-2</v>
      </c>
      <c r="BM47" s="60">
        <v>0.55555555555555558</v>
      </c>
      <c r="BN47" s="59"/>
      <c r="BO47" s="60"/>
      <c r="BP47" s="59">
        <v>2.0564285714285715</v>
      </c>
      <c r="BQ47" s="60">
        <v>0.6</v>
      </c>
      <c r="BR47" s="59">
        <v>0.28214285714285797</v>
      </c>
      <c r="BS47" s="60">
        <v>0.58333333333333337</v>
      </c>
      <c r="BT47" s="59"/>
      <c r="BU47" s="60"/>
      <c r="BV47" s="59"/>
      <c r="BW47" s="60"/>
      <c r="BX47" s="59">
        <v>-0.65857142857142847</v>
      </c>
      <c r="BY47" s="60">
        <v>0.33333333333333331</v>
      </c>
      <c r="BZ47" s="59">
        <v>4.2514285714285709</v>
      </c>
      <c r="CA47" s="60">
        <v>0.72727272727272729</v>
      </c>
      <c r="CB47" s="59">
        <v>-14.795714285714286</v>
      </c>
      <c r="CC47" s="60">
        <v>0.1111111111111111</v>
      </c>
      <c r="CD47" s="59">
        <v>-2.1878571428571423</v>
      </c>
      <c r="CE47" s="60">
        <v>0.5</v>
      </c>
      <c r="CF47" s="59">
        <v>-1.5707142857142855</v>
      </c>
      <c r="CG47" s="60">
        <v>0.7</v>
      </c>
      <c r="CH47" s="59"/>
      <c r="CI47" s="60"/>
      <c r="CJ47" s="59">
        <v>-5.4650000000000007</v>
      </c>
      <c r="CK47" s="60">
        <v>0.44444444444444442</v>
      </c>
      <c r="CL47" s="59">
        <v>-1.2307142857142854</v>
      </c>
      <c r="CM47" s="60">
        <v>0.5</v>
      </c>
      <c r="CN47" s="59"/>
      <c r="CO47" s="60"/>
      <c r="CP47" s="59">
        <v>1.2250000000000008</v>
      </c>
      <c r="CQ47" s="60">
        <v>0.54545454545454541</v>
      </c>
      <c r="CR47" s="59">
        <v>-1.7478571428571428</v>
      </c>
      <c r="CS47" s="60">
        <v>0.58333333333333337</v>
      </c>
      <c r="CT47" s="59">
        <v>-1.8271428571428565</v>
      </c>
      <c r="CU47" s="60">
        <v>0.66666666666666663</v>
      </c>
      <c r="CV47" s="59">
        <v>-1.4978571428571428</v>
      </c>
      <c r="CW47" s="60">
        <v>0.625</v>
      </c>
      <c r="CX47" s="59">
        <v>0.80071428571428582</v>
      </c>
      <c r="CY47" s="60">
        <v>1</v>
      </c>
      <c r="CZ47" s="59">
        <v>4.0471428571428572</v>
      </c>
      <c r="DA47" s="60">
        <v>1</v>
      </c>
      <c r="DB47" s="59">
        <v>-5.4514285714285711</v>
      </c>
      <c r="DC47" s="60">
        <v>0.33333333333333331</v>
      </c>
      <c r="DD47" s="59">
        <v>-5.3199999999999994</v>
      </c>
      <c r="DE47" s="60">
        <v>0.53846153846153844</v>
      </c>
      <c r="DF47" s="59">
        <v>-13.834999999999997</v>
      </c>
      <c r="DG47" s="60">
        <v>0.33333333333333331</v>
      </c>
      <c r="DH47" s="59">
        <v>-12.906428571428572</v>
      </c>
      <c r="DI47" s="60">
        <v>0.25</v>
      </c>
      <c r="DJ47" s="59">
        <v>-8.4185714285714273</v>
      </c>
      <c r="DK47" s="60">
        <v>0.3</v>
      </c>
      <c r="DL47" s="59">
        <v>4.9778571428571441</v>
      </c>
      <c r="DM47" s="60">
        <v>0.9</v>
      </c>
      <c r="DN47" s="59">
        <v>-2.7921428571428568</v>
      </c>
      <c r="DO47" s="60">
        <v>0.44444444444444442</v>
      </c>
      <c r="DP47" s="59">
        <v>2.4214285714285713</v>
      </c>
      <c r="DQ47" s="60">
        <v>0.76923076923076927</v>
      </c>
      <c r="DR47" s="59">
        <v>1.4058823529411764</v>
      </c>
      <c r="DS47" s="60">
        <v>0.54545454545454541</v>
      </c>
      <c r="DT47" s="59"/>
      <c r="DU47" s="60"/>
      <c r="DV47" s="59">
        <v>-6.7471428571428564</v>
      </c>
      <c r="DW47" s="60">
        <v>0.36363636363636365</v>
      </c>
      <c r="DX47" s="59">
        <v>-6.7471428571428564</v>
      </c>
      <c r="DY47" s="60">
        <v>0.36363636363636365</v>
      </c>
      <c r="DZ47" s="59">
        <v>-0.57499999999999996</v>
      </c>
      <c r="EA47" s="60">
        <v>0.5</v>
      </c>
      <c r="EB47" s="59">
        <v>-3.0085714285714289</v>
      </c>
      <c r="EC47" s="60">
        <v>0.41666666666666669</v>
      </c>
      <c r="ED47" s="59">
        <v>0.24999999999999939</v>
      </c>
      <c r="EE47" s="60">
        <v>0.66666666666666663</v>
      </c>
      <c r="EF47" s="59">
        <v>0.81928571428571428</v>
      </c>
      <c r="EG47" s="60">
        <v>1</v>
      </c>
      <c r="EH47" s="59">
        <v>3.6442857142857141</v>
      </c>
      <c r="EI47" s="60">
        <v>1</v>
      </c>
      <c r="EJ47" s="59">
        <v>5.3185714285714285</v>
      </c>
      <c r="EK47" s="60">
        <v>0.8</v>
      </c>
      <c r="EL47" s="59"/>
      <c r="EM47" s="60"/>
      <c r="EN47" s="59">
        <v>-7.4485714285714284</v>
      </c>
      <c r="EO47" s="60">
        <v>0.375</v>
      </c>
      <c r="EP47" s="59"/>
      <c r="EQ47" s="60"/>
      <c r="ER47" s="59">
        <v>-1.1599999999999997</v>
      </c>
      <c r="ES47" s="60">
        <v>0.5</v>
      </c>
      <c r="ET47" s="59">
        <v>2.0749999999999993</v>
      </c>
      <c r="EU47" s="60">
        <v>0.61538461538461542</v>
      </c>
      <c r="EV47" s="59">
        <v>-9.4885714285714293</v>
      </c>
      <c r="EW47" s="60">
        <v>0.1111111111111111</v>
      </c>
      <c r="EX47" s="59">
        <v>3.3671428571428565</v>
      </c>
      <c r="EY47" s="60">
        <v>1</v>
      </c>
      <c r="EZ47" s="59">
        <v>-1.631428571428571</v>
      </c>
      <c r="FA47" s="60">
        <v>0.61538461538461542</v>
      </c>
      <c r="FB47" s="59">
        <v>-2.6200000000000019</v>
      </c>
      <c r="FC47" s="60">
        <v>0.54545454545454541</v>
      </c>
      <c r="FD47" s="59">
        <v>4.9299999999999988</v>
      </c>
      <c r="FE47" s="60">
        <v>0.53846153846153844</v>
      </c>
      <c r="FF47" s="59">
        <v>-34.46</v>
      </c>
      <c r="FG47" s="60">
        <v>0.30769230769230771</v>
      </c>
      <c r="FH47" s="59">
        <v>32.64</v>
      </c>
      <c r="FI47" s="60">
        <v>0.84615384615384615</v>
      </c>
      <c r="FJ47" s="59">
        <v>12.919999999999998</v>
      </c>
      <c r="FK47" s="60">
        <v>0.8571428571428571</v>
      </c>
      <c r="FL47" s="59">
        <v>-45.39</v>
      </c>
      <c r="FM47" s="60">
        <v>0.3</v>
      </c>
      <c r="FN47" s="59">
        <v>1.4499999999999988</v>
      </c>
      <c r="FO47" s="60">
        <v>0.44444444444444442</v>
      </c>
      <c r="FP47" s="59">
        <v>29.9</v>
      </c>
      <c r="FQ47" s="60">
        <v>0.9</v>
      </c>
      <c r="FR47" s="59">
        <v>6.6800000000000006</v>
      </c>
      <c r="FS47" s="60">
        <v>0.66666666666666663</v>
      </c>
      <c r="FT47" s="59">
        <v>10.849999999999998</v>
      </c>
      <c r="FU47" s="60">
        <v>0.66666666666666663</v>
      </c>
      <c r="FV47" s="59">
        <v>-13.940000000000001</v>
      </c>
      <c r="FW47" s="60">
        <v>0.55555555555555558</v>
      </c>
      <c r="FX47" s="59">
        <v>-20.02</v>
      </c>
      <c r="FY47" s="60">
        <v>0.5</v>
      </c>
      <c r="FZ47" s="59">
        <v>25.630000000000003</v>
      </c>
      <c r="GA47" s="60">
        <v>1</v>
      </c>
      <c r="GB47" s="59">
        <v>8.9600000000000009</v>
      </c>
      <c r="GC47" s="60">
        <v>1</v>
      </c>
      <c r="GD47" s="59">
        <v>-0.45000000000000018</v>
      </c>
      <c r="GE47" s="60">
        <v>0.33333333333333331</v>
      </c>
      <c r="GF47" s="59">
        <v>5.0699999999999994</v>
      </c>
      <c r="GG47" s="60">
        <v>0.66666666666666663</v>
      </c>
      <c r="GH47" s="59">
        <v>-30.830000000000002</v>
      </c>
      <c r="GI47" s="60">
        <v>0.45454545454545453</v>
      </c>
      <c r="GJ47" s="59">
        <v>16.07</v>
      </c>
      <c r="GK47" s="60">
        <v>0.72727272727272729</v>
      </c>
      <c r="GL47" s="59">
        <v>-23.25</v>
      </c>
      <c r="GM47" s="60">
        <v>0.46153846153846156</v>
      </c>
      <c r="GN47" s="59">
        <v>2.8099999999999996</v>
      </c>
      <c r="GO47" s="60">
        <v>0.5</v>
      </c>
      <c r="GP47" s="59">
        <v>-14.309999999999995</v>
      </c>
      <c r="GQ47" s="60">
        <v>0.22222222222222221</v>
      </c>
      <c r="GR47" s="59">
        <v>-17.02</v>
      </c>
      <c r="GS47" s="60">
        <v>0.54545454545454541</v>
      </c>
      <c r="GT47" s="59">
        <v>15.209999999999999</v>
      </c>
      <c r="GU47" s="60">
        <v>0.75</v>
      </c>
      <c r="GV47" s="59">
        <v>-14.240000000000006</v>
      </c>
      <c r="GW47" s="60">
        <v>0.55555555555555558</v>
      </c>
      <c r="GX47" s="59">
        <v>-18.600000000000001</v>
      </c>
      <c r="GY47" s="60">
        <v>0.54545454545454541</v>
      </c>
      <c r="GZ47" s="59">
        <v>27.559999999999995</v>
      </c>
      <c r="HA47" s="60">
        <v>0.83333333333333337</v>
      </c>
      <c r="HB47" s="59">
        <v>-33.25</v>
      </c>
      <c r="HC47" s="60">
        <v>0.22222222222222221</v>
      </c>
      <c r="HD47" s="59">
        <v>7.1099999999999994</v>
      </c>
      <c r="HE47" s="60">
        <v>0.75</v>
      </c>
      <c r="HF47" s="59">
        <v>14.260000000000003</v>
      </c>
      <c r="HG47" s="60">
        <v>0.8</v>
      </c>
      <c r="HH47" s="59">
        <v>8.61</v>
      </c>
      <c r="HI47" s="60">
        <v>1</v>
      </c>
      <c r="HJ47" s="59">
        <v>-5.8999999999999995</v>
      </c>
      <c r="HK47" s="60">
        <v>0.5</v>
      </c>
      <c r="HL47" s="59">
        <v>8.4600000000000009</v>
      </c>
      <c r="HM47" s="60">
        <v>0.75</v>
      </c>
      <c r="HN47" s="59">
        <v>-31.190000000000005</v>
      </c>
      <c r="HO47" s="60">
        <v>0.33333333333333331</v>
      </c>
      <c r="HP47" s="59">
        <v>0.68000000000000016</v>
      </c>
      <c r="HQ47" s="60">
        <v>0.25</v>
      </c>
      <c r="HR47" s="59">
        <v>-9.8699999999999992</v>
      </c>
      <c r="HS47" s="60">
        <v>0.33333333333333331</v>
      </c>
      <c r="HT47" s="59">
        <v>8.98</v>
      </c>
      <c r="HU47" s="60">
        <v>0.6</v>
      </c>
      <c r="HV47" s="59">
        <v>-14.010000000000002</v>
      </c>
      <c r="HW47" s="60">
        <v>0.25</v>
      </c>
      <c r="HX47" s="59">
        <v>12.67</v>
      </c>
      <c r="HY47" s="60">
        <v>1</v>
      </c>
      <c r="HZ47" s="59"/>
      <c r="IA47" s="60"/>
      <c r="IB47" s="59">
        <v>12.039999999999997</v>
      </c>
      <c r="IC47" s="60">
        <v>0.5714285714285714</v>
      </c>
      <c r="ID47" s="59">
        <v>-1.5699999999999985</v>
      </c>
      <c r="IE47" s="60">
        <v>0.5714285714285714</v>
      </c>
      <c r="IF47" s="59">
        <v>-46.06</v>
      </c>
      <c r="IG47" s="60">
        <v>0.15384615384615385</v>
      </c>
      <c r="IH47" s="59">
        <v>-3.0000000000000004</v>
      </c>
      <c r="II47" s="60">
        <v>0.5</v>
      </c>
      <c r="IJ47" s="59">
        <v>-51.21</v>
      </c>
      <c r="IK47" s="60">
        <v>0.14285714285714285</v>
      </c>
      <c r="IL47" s="59">
        <v>-8.8999999999999986</v>
      </c>
      <c r="IM47" s="60">
        <v>0.5</v>
      </c>
      <c r="IN47" s="59">
        <v>1.5400000000000009</v>
      </c>
      <c r="IO47" s="60">
        <v>0.5714285714285714</v>
      </c>
      <c r="IP47" s="59">
        <v>-37.94</v>
      </c>
      <c r="IQ47" s="60">
        <v>0.44444444444444442</v>
      </c>
      <c r="IR47" s="59"/>
      <c r="IS47" s="60"/>
      <c r="IT47" s="59"/>
      <c r="IU47" s="60"/>
      <c r="IV47" s="59">
        <v>1.6099999999999985</v>
      </c>
      <c r="IW47" s="60">
        <v>0.53333333333333333</v>
      </c>
      <c r="IX47" s="59"/>
      <c r="IY47" s="60"/>
      <c r="IZ47" s="59"/>
      <c r="JA47" s="60"/>
      <c r="JB47" s="59">
        <v>-26.880000000000003</v>
      </c>
      <c r="JC47" s="60">
        <v>0.4</v>
      </c>
      <c r="JD47" s="59"/>
      <c r="JE47" s="60"/>
      <c r="JF47" s="59">
        <v>7.91</v>
      </c>
      <c r="JG47" s="60">
        <v>0.58333333333333337</v>
      </c>
      <c r="JH47" s="59">
        <v>-9.1700000000000017</v>
      </c>
      <c r="JI47" s="60">
        <v>0.42857142857142855</v>
      </c>
      <c r="JJ47" s="59">
        <v>-19.09</v>
      </c>
      <c r="JK47" s="60">
        <v>0.4</v>
      </c>
      <c r="JL47" s="59"/>
      <c r="JM47" s="60"/>
      <c r="JN47" s="59">
        <v>6.32</v>
      </c>
      <c r="JO47" s="60">
        <v>0.6</v>
      </c>
      <c r="JP47" s="59">
        <v>1.57</v>
      </c>
      <c r="JQ47" s="60">
        <v>1</v>
      </c>
      <c r="JR47" s="59">
        <v>-10.98</v>
      </c>
      <c r="JS47" s="60">
        <v>0.3</v>
      </c>
      <c r="JT47" s="59"/>
      <c r="JU47" s="60"/>
      <c r="JV47" s="59"/>
      <c r="JW47" s="60"/>
      <c r="JX47" s="59">
        <v>18.369999999999997</v>
      </c>
      <c r="JY47" s="60">
        <v>0.66666666666666663</v>
      </c>
      <c r="JZ47" s="59">
        <v>-0.49</v>
      </c>
      <c r="KA47" s="60">
        <v>0.5</v>
      </c>
      <c r="KB47" s="59">
        <v>-1.1300000000000003</v>
      </c>
      <c r="KC47" s="60">
        <v>0.5</v>
      </c>
      <c r="KD47" s="59">
        <v>6.0699999999999985</v>
      </c>
      <c r="KE47" s="60">
        <v>0.75</v>
      </c>
      <c r="KF47" s="59">
        <v>7.8500000000000005</v>
      </c>
      <c r="KG47" s="60">
        <v>0.6</v>
      </c>
      <c r="KH47" s="59">
        <v>14.09</v>
      </c>
      <c r="KI47" s="60">
        <v>1</v>
      </c>
      <c r="KJ47" s="59">
        <v>8.8600000000000012</v>
      </c>
      <c r="KK47" s="60">
        <v>0.83333333333333337</v>
      </c>
      <c r="KL47" s="59">
        <v>-12.729999999999997</v>
      </c>
      <c r="KM47" s="60">
        <v>0.5</v>
      </c>
      <c r="KN47" s="59">
        <v>19.91</v>
      </c>
      <c r="KO47" s="60">
        <v>0.8571428571428571</v>
      </c>
      <c r="KP47" s="59">
        <v>-0.87999999999999901</v>
      </c>
      <c r="KQ47" s="60">
        <v>0.66666666666666663</v>
      </c>
      <c r="KR47" s="59">
        <v>8.0599999999999987</v>
      </c>
      <c r="KS47" s="60">
        <v>1</v>
      </c>
      <c r="KT47" s="59"/>
      <c r="KU47" s="60"/>
      <c r="KV47" s="59">
        <v>10.170000000000002</v>
      </c>
      <c r="KW47" s="60">
        <v>0.72727272727272729</v>
      </c>
      <c r="KX47" s="59">
        <v>24.33</v>
      </c>
      <c r="KY47" s="60">
        <v>1</v>
      </c>
      <c r="KZ47" s="59">
        <v>8.370000000000001</v>
      </c>
      <c r="LA47" s="60">
        <v>0.75</v>
      </c>
      <c r="LB47" s="59">
        <v>-13.14</v>
      </c>
      <c r="LC47" s="60">
        <v>0.6</v>
      </c>
      <c r="LD47" s="59">
        <v>8.1300000000000008</v>
      </c>
      <c r="LE47" s="60">
        <v>1</v>
      </c>
      <c r="LF47" s="59">
        <v>-5.180000000000005</v>
      </c>
      <c r="LG47" s="60">
        <v>0.7142857142857143</v>
      </c>
      <c r="LH47" s="59">
        <v>-12.370000000000001</v>
      </c>
      <c r="LI47" s="60">
        <v>0.5714285714285714</v>
      </c>
      <c r="LJ47" s="59">
        <v>-2.2599999999999962</v>
      </c>
      <c r="LK47" s="60">
        <v>0.75</v>
      </c>
      <c r="LL47" s="59"/>
      <c r="LM47" s="60"/>
      <c r="LN47" s="59">
        <v>12.349999999999998</v>
      </c>
      <c r="LO47" s="60">
        <v>0.8571428571428571</v>
      </c>
      <c r="LP47" s="59">
        <v>14.7</v>
      </c>
      <c r="LQ47" s="60">
        <v>0.8</v>
      </c>
      <c r="LR47" s="59">
        <v>-0.70999999999999908</v>
      </c>
      <c r="LS47" s="60">
        <v>0.72727272727272729</v>
      </c>
      <c r="LT47" s="59">
        <v>8.2800000000000029</v>
      </c>
      <c r="LU47" s="60">
        <v>0.8</v>
      </c>
      <c r="LV47" s="59">
        <v>15.059999999999999</v>
      </c>
      <c r="LW47" s="60">
        <v>0.75</v>
      </c>
      <c r="LX47" s="59">
        <v>22.43</v>
      </c>
      <c r="LY47" s="60">
        <v>0.83333333333333337</v>
      </c>
      <c r="LZ47" s="59">
        <v>4.6399999999999988</v>
      </c>
      <c r="MA47" s="60">
        <v>0.77777777777777779</v>
      </c>
      <c r="MB47" s="59">
        <v>3.55</v>
      </c>
      <c r="MC47" s="60">
        <v>0.8</v>
      </c>
      <c r="MD47" s="59">
        <v>-1.5199999999999996</v>
      </c>
      <c r="ME47" s="60">
        <v>0.66666666666666663</v>
      </c>
      <c r="MF47" s="59">
        <v>5.6499999999999986</v>
      </c>
      <c r="MG47" s="60">
        <v>0.8</v>
      </c>
      <c r="MH47" s="59">
        <v>27.84</v>
      </c>
      <c r="MI47" s="60">
        <v>0.83333333333333337</v>
      </c>
      <c r="MJ47" s="59">
        <v>-9.3799999999999972</v>
      </c>
      <c r="MK47" s="60">
        <v>0.7</v>
      </c>
      <c r="ML47" s="59">
        <v>29.820000000000004</v>
      </c>
      <c r="MM47" s="60">
        <v>0.9</v>
      </c>
      <c r="MN47" s="59">
        <v>-17.380000000000003</v>
      </c>
      <c r="MO47" s="60">
        <v>0.625</v>
      </c>
      <c r="MP47" s="59">
        <v>57.83</v>
      </c>
      <c r="MQ47" s="60">
        <v>1</v>
      </c>
      <c r="MR47" s="59">
        <v>11.899999999999999</v>
      </c>
      <c r="MS47" s="60">
        <v>0.8571428571428571</v>
      </c>
      <c r="MT47" s="59">
        <v>-7.3100000000000005</v>
      </c>
      <c r="MU47" s="60">
        <v>0.69230769230769229</v>
      </c>
      <c r="MV47" s="59">
        <v>-12.389999999999999</v>
      </c>
      <c r="MW47" s="60">
        <v>0.66666666666666663</v>
      </c>
      <c r="MX47" s="59">
        <v>-3.5999999999999996</v>
      </c>
      <c r="MY47" s="60">
        <v>0.7142857142857143</v>
      </c>
      <c r="MZ47" s="59">
        <v>-8.93</v>
      </c>
      <c r="NA47" s="60">
        <v>0.66666666666666663</v>
      </c>
      <c r="NB47" s="59">
        <v>-4.5099999999999989</v>
      </c>
      <c r="NC47" s="60">
        <v>0.7142857142857143</v>
      </c>
      <c r="ND47" s="59">
        <v>16.480000000000004</v>
      </c>
      <c r="NE47" s="60">
        <v>0.875</v>
      </c>
      <c r="NF47" s="59">
        <v>32.67</v>
      </c>
      <c r="NG47" s="60">
        <v>0.91666666666666663</v>
      </c>
      <c r="NH47" s="59">
        <v>32.67</v>
      </c>
      <c r="NI47" s="60">
        <v>0.91666666666666663</v>
      </c>
      <c r="NJ47" s="59">
        <v>-13.779999999999998</v>
      </c>
      <c r="NK47" s="60">
        <v>0.66666666666666663</v>
      </c>
      <c r="NL47" s="59"/>
      <c r="NM47" s="60"/>
      <c r="NN47" s="59">
        <v>-8.23</v>
      </c>
      <c r="NO47" s="60">
        <v>0.54545454545454541</v>
      </c>
      <c r="NP47" s="59">
        <v>30</v>
      </c>
      <c r="NQ47" s="60">
        <v>0.88888888888888884</v>
      </c>
      <c r="NR47" s="59">
        <v>20</v>
      </c>
      <c r="NS47" s="60">
        <v>0.88888888888888884</v>
      </c>
      <c r="NT47" s="59">
        <v>13.850000000000001</v>
      </c>
      <c r="NU47" s="60">
        <v>1</v>
      </c>
      <c r="NV47" s="59">
        <v>11.850000000000001</v>
      </c>
      <c r="NW47" s="60">
        <v>0.75</v>
      </c>
      <c r="NX47" s="59"/>
      <c r="NY47" s="60"/>
      <c r="NZ47" s="59">
        <v>-25.160000000000004</v>
      </c>
      <c r="OA47" s="60">
        <v>0.5</v>
      </c>
      <c r="OB47" s="59">
        <v>35.459999999999994</v>
      </c>
      <c r="OC47" s="60">
        <v>0.90909090909090906</v>
      </c>
      <c r="OD47" s="59">
        <v>7.0599999999999987</v>
      </c>
      <c r="OE47" s="60">
        <v>0.72727272727272729</v>
      </c>
      <c r="OF47" s="59">
        <v>21.39</v>
      </c>
      <c r="OG47" s="60">
        <v>1</v>
      </c>
      <c r="OH47" s="59">
        <v>-62.85</v>
      </c>
      <c r="OI47" s="60">
        <v>0.33333333333333331</v>
      </c>
      <c r="OJ47" s="59">
        <v>-28.66</v>
      </c>
      <c r="OK47" s="60">
        <v>0.54545454545454541</v>
      </c>
      <c r="OL47" s="59">
        <v>-25.380000000000003</v>
      </c>
      <c r="OM47" s="60">
        <v>0.5</v>
      </c>
      <c r="ON47" s="59">
        <v>-134.19</v>
      </c>
      <c r="OO47" s="60">
        <v>0</v>
      </c>
      <c r="OP47" s="59">
        <v>-22.35</v>
      </c>
      <c r="OQ47" s="60">
        <v>0.5714285714285714</v>
      </c>
      <c r="OR47" s="59">
        <v>21.28</v>
      </c>
      <c r="OS47" s="60">
        <v>0.75</v>
      </c>
      <c r="OT47" s="59">
        <v>-25.779999999999994</v>
      </c>
      <c r="OU47" s="60">
        <v>0.42857142857142855</v>
      </c>
      <c r="OV47" s="59">
        <v>-2.7900000000000018</v>
      </c>
      <c r="OW47" s="60">
        <v>0.66666666666666663</v>
      </c>
      <c r="OX47" s="59">
        <v>7.3900000000000006</v>
      </c>
      <c r="OY47" s="60">
        <v>0.83333333333333337</v>
      </c>
      <c r="OZ47" s="59">
        <v>8.52</v>
      </c>
      <c r="PA47" s="60">
        <v>1</v>
      </c>
      <c r="PB47" s="59">
        <v>30.250000000000004</v>
      </c>
      <c r="PC47" s="60">
        <v>1</v>
      </c>
      <c r="PD47" s="59">
        <v>-6.1400000000000023</v>
      </c>
      <c r="PE47" s="60">
        <v>0.72727272727272729</v>
      </c>
      <c r="PF47" s="59">
        <v>-8.43</v>
      </c>
      <c r="PG47" s="60">
        <v>0.5</v>
      </c>
      <c r="PH47" s="59">
        <v>-19.160000000000004</v>
      </c>
      <c r="PI47" s="60">
        <v>0.5714285714285714</v>
      </c>
      <c r="PJ47" s="59">
        <v>-20.25</v>
      </c>
      <c r="PK47" s="60">
        <v>0.42857142857142855</v>
      </c>
      <c r="PL47" s="59"/>
      <c r="PM47" s="60"/>
      <c r="PN47" s="59"/>
      <c r="PO47" s="60"/>
      <c r="PP47" s="59">
        <v>-14.910000000000004</v>
      </c>
      <c r="PQ47" s="60">
        <v>0.42857142857142855</v>
      </c>
      <c r="PR47" s="59"/>
      <c r="PS47" s="60"/>
      <c r="PT47" s="59">
        <v>16.689999999999998</v>
      </c>
      <c r="PU47" s="60">
        <v>1</v>
      </c>
      <c r="PV47" s="59">
        <v>-7.1300000000000017</v>
      </c>
      <c r="PW47" s="60">
        <v>0.66666666666666663</v>
      </c>
      <c r="PX47" s="59">
        <v>-11.899999999999999</v>
      </c>
      <c r="PY47" s="60">
        <v>0.66666666666666663</v>
      </c>
      <c r="PZ47" s="59">
        <v>-25.61</v>
      </c>
      <c r="QA47" s="60">
        <v>0.6</v>
      </c>
      <c r="QB47" s="59">
        <v>-4.3499999999999996</v>
      </c>
      <c r="QC47" s="60">
        <v>0.66666666666666663</v>
      </c>
      <c r="QD47" s="59">
        <v>33.01</v>
      </c>
      <c r="QE47" s="60">
        <v>0.91666666666666663</v>
      </c>
      <c r="QF47" s="59">
        <v>24.419999999999995</v>
      </c>
      <c r="QG47" s="60">
        <v>0.7857142857142857</v>
      </c>
      <c r="QH47" s="59">
        <v>8.58</v>
      </c>
      <c r="QI47" s="60">
        <v>1</v>
      </c>
      <c r="QJ47" s="59">
        <v>15.069999999999999</v>
      </c>
      <c r="QK47" s="60">
        <v>0.7142857142857143</v>
      </c>
      <c r="QL47" s="59">
        <v>-40.130000000000003</v>
      </c>
      <c r="QM47" s="60">
        <v>0.4</v>
      </c>
      <c r="QN47" s="59">
        <v>7.8000000000000007</v>
      </c>
      <c r="QO47" s="60">
        <v>0.76923076923076927</v>
      </c>
      <c r="QP47" s="59">
        <v>3.1399999999999988</v>
      </c>
      <c r="QQ47" s="60">
        <v>0.5</v>
      </c>
      <c r="QR47" s="59">
        <v>12.41</v>
      </c>
      <c r="QS47" s="60">
        <v>0.77777777777777779</v>
      </c>
      <c r="QT47" s="59"/>
      <c r="QU47" s="60"/>
      <c r="QV47" s="59">
        <v>-9.6699999999999946</v>
      </c>
      <c r="QW47" s="60">
        <v>0.61538461538461542</v>
      </c>
      <c r="QX47" s="59">
        <v>3.74</v>
      </c>
      <c r="QY47" s="60">
        <v>0.5</v>
      </c>
      <c r="QZ47" s="59">
        <v>14.739999999999997</v>
      </c>
      <c r="RA47" s="60">
        <v>0.7</v>
      </c>
      <c r="RB47" s="59">
        <v>-7.38</v>
      </c>
      <c r="RC47" s="60">
        <v>0.5</v>
      </c>
      <c r="RD47" s="59">
        <v>-5.3700000000000019</v>
      </c>
      <c r="RE47" s="60">
        <v>0.6428571428571429</v>
      </c>
      <c r="RF47" s="59">
        <v>1.5799999999999998</v>
      </c>
      <c r="RG47" s="60">
        <v>0.54545454545454541</v>
      </c>
      <c r="RH47" s="59">
        <v>-12.250000000000004</v>
      </c>
      <c r="RI47" s="60">
        <v>0.5</v>
      </c>
      <c r="RJ47" s="59"/>
      <c r="RK47" s="60"/>
      <c r="RL47" s="59"/>
      <c r="RM47" s="60"/>
      <c r="RN47" s="59">
        <v>-35.54</v>
      </c>
      <c r="RO47" s="60">
        <v>0.25</v>
      </c>
      <c r="RP47" s="59">
        <v>-53.339999999999996</v>
      </c>
      <c r="RQ47" s="60">
        <v>0.3</v>
      </c>
      <c r="RR47" s="59">
        <v>-44.809999999999995</v>
      </c>
      <c r="RS47" s="60">
        <v>0.375</v>
      </c>
      <c r="RT47" s="59">
        <v>-21.95</v>
      </c>
      <c r="RU47" s="60">
        <v>0.54545454545454541</v>
      </c>
      <c r="RV47" s="59">
        <v>22.29</v>
      </c>
      <c r="RW47" s="60">
        <v>0.76923076923076927</v>
      </c>
      <c r="RX47" s="59">
        <v>6.95</v>
      </c>
      <c r="RY47" s="60">
        <v>0.66666666666666663</v>
      </c>
      <c r="RZ47" s="59">
        <v>-34.49</v>
      </c>
      <c r="SA47" s="60">
        <v>0.2</v>
      </c>
      <c r="SB47" s="59">
        <v>-48.08</v>
      </c>
      <c r="SC47" s="60">
        <v>0.4</v>
      </c>
      <c r="SD47" s="59">
        <v>31.33</v>
      </c>
      <c r="SE47" s="60">
        <v>0.90909090909090906</v>
      </c>
      <c r="SF47" s="59">
        <v>15.9</v>
      </c>
      <c r="SG47" s="60">
        <v>0.83333333333333337</v>
      </c>
      <c r="SH47" s="59">
        <v>3.3400000000000034</v>
      </c>
      <c r="SI47" s="60">
        <v>0.77777777777777779</v>
      </c>
      <c r="SJ47" s="59">
        <v>24.41</v>
      </c>
      <c r="SK47" s="60">
        <v>0.9</v>
      </c>
      <c r="SL47" s="59">
        <v>-34.03</v>
      </c>
      <c r="SM47" s="60">
        <v>0.4</v>
      </c>
      <c r="SN47" s="59">
        <v>21.38</v>
      </c>
      <c r="SO47" s="60">
        <v>1</v>
      </c>
      <c r="SP47" s="59">
        <v>-8.0500000000000007</v>
      </c>
      <c r="SQ47" s="60">
        <v>0.5</v>
      </c>
      <c r="SR47" s="59">
        <v>5.8500000000000014</v>
      </c>
      <c r="SS47" s="60">
        <v>0.61538461538461542</v>
      </c>
      <c r="ST47" s="59">
        <v>-14.42</v>
      </c>
      <c r="SU47" s="60">
        <v>0.44444444444444442</v>
      </c>
      <c r="SV47" s="59">
        <v>-7.5000000000000009</v>
      </c>
      <c r="SW47" s="60">
        <v>0.5</v>
      </c>
      <c r="SX47" s="59">
        <v>-29.590000000000003</v>
      </c>
      <c r="SY47" s="60">
        <v>0.2857142857142857</v>
      </c>
      <c r="SZ47" s="59">
        <v>-24.169999999999998</v>
      </c>
      <c r="TA47" s="60">
        <v>0.36363636363636365</v>
      </c>
      <c r="TB47" s="59">
        <v>12.1</v>
      </c>
      <c r="TC47" s="60">
        <v>1</v>
      </c>
      <c r="TD47" s="59">
        <v>33.859999999999992</v>
      </c>
      <c r="TE47" s="60">
        <v>0.8666666666666667</v>
      </c>
      <c r="TF47" s="59">
        <v>-28.24</v>
      </c>
      <c r="TG47" s="60">
        <v>0.53846153846153844</v>
      </c>
      <c r="TH47" s="59">
        <v>-20.63</v>
      </c>
      <c r="TI47" s="60">
        <v>0.625</v>
      </c>
      <c r="TJ47" s="59">
        <v>15.929999999999998</v>
      </c>
      <c r="TK47" s="60">
        <v>0.76923076923076927</v>
      </c>
      <c r="TL47" s="59">
        <v>48.960000000000008</v>
      </c>
      <c r="TM47" s="60">
        <v>1</v>
      </c>
      <c r="TN47" s="59">
        <v>-22.68</v>
      </c>
      <c r="TO47" s="60">
        <v>0.5</v>
      </c>
      <c r="TP47" s="59">
        <v>-4.58</v>
      </c>
      <c r="TQ47" s="60">
        <v>0.66666666666666663</v>
      </c>
      <c r="TR47" s="59">
        <v>-79.410000000000011</v>
      </c>
      <c r="TS47" s="60">
        <v>0.30769230769230771</v>
      </c>
      <c r="TT47" s="59">
        <v>-14.62</v>
      </c>
      <c r="TU47" s="60">
        <v>0.54545454545454541</v>
      </c>
      <c r="TV47" s="59">
        <v>17.34</v>
      </c>
      <c r="TW47" s="60">
        <v>0.77777777777777779</v>
      </c>
      <c r="TX47" s="59"/>
      <c r="TY47" s="60"/>
      <c r="TZ47" s="59">
        <v>9.86</v>
      </c>
      <c r="UA47" s="60">
        <v>0.53333333333333333</v>
      </c>
      <c r="UB47" s="59">
        <v>18.379999999999995</v>
      </c>
      <c r="UC47" s="60">
        <v>0.81818181818181823</v>
      </c>
      <c r="UD47" s="59">
        <v>-4.0699999999999985</v>
      </c>
      <c r="UE47" s="60">
        <v>0.75</v>
      </c>
      <c r="UF47" s="59">
        <v>-2.2700000000000014</v>
      </c>
      <c r="UG47" s="60">
        <v>0.63636363636363635</v>
      </c>
      <c r="UH47" s="59">
        <v>-9.83</v>
      </c>
      <c r="UI47" s="60">
        <v>0.6428571428571429</v>
      </c>
      <c r="UJ47" s="59">
        <v>7.2300000000000022</v>
      </c>
      <c r="UK47" s="60">
        <v>0.75</v>
      </c>
      <c r="UL47" s="59">
        <v>22.53</v>
      </c>
      <c r="UM47" s="60">
        <v>0.77777777777777779</v>
      </c>
      <c r="UN47" s="59">
        <v>-17.169999999999998</v>
      </c>
      <c r="UO47" s="60">
        <v>0.36363636363636365</v>
      </c>
      <c r="UP47" s="59">
        <v>7.4500000000000011</v>
      </c>
      <c r="UQ47" s="60">
        <v>0.75</v>
      </c>
      <c r="UR47" s="59">
        <v>-54.690000000000012</v>
      </c>
      <c r="US47" s="60">
        <v>0.41666666666666669</v>
      </c>
      <c r="UT47" s="59">
        <v>4.1399999999999961</v>
      </c>
      <c r="UU47" s="60">
        <v>0.72727272727272729</v>
      </c>
      <c r="UV47" s="59">
        <v>7.92</v>
      </c>
      <c r="UW47" s="60">
        <v>0.54545454545454541</v>
      </c>
      <c r="UX47" s="59">
        <v>-65.11999999999999</v>
      </c>
      <c r="UY47" s="60">
        <v>0.1</v>
      </c>
      <c r="UZ47" s="59">
        <v>11.14</v>
      </c>
      <c r="VA47" s="60">
        <v>0.66666666666666663</v>
      </c>
      <c r="VB47" s="59">
        <v>-0.96999999999999975</v>
      </c>
      <c r="VC47" s="60">
        <v>0.6</v>
      </c>
      <c r="VD47" s="59">
        <v>-4.339999999999999</v>
      </c>
      <c r="VE47" s="60">
        <v>0.66666666666666663</v>
      </c>
      <c r="VF47" s="59">
        <v>14.84</v>
      </c>
      <c r="VG47" s="60">
        <v>0.875</v>
      </c>
      <c r="VH47" s="59">
        <v>4.5</v>
      </c>
      <c r="VI47" s="60">
        <v>1</v>
      </c>
      <c r="VJ47" s="59">
        <v>-22.8</v>
      </c>
      <c r="VK47" s="60">
        <v>0.33333333333333331</v>
      </c>
      <c r="VL47" s="59">
        <v>-19.21</v>
      </c>
      <c r="VM47" s="60">
        <v>0.58333333333333337</v>
      </c>
      <c r="VN47" s="59">
        <v>-8.3200000000000038</v>
      </c>
      <c r="VO47" s="60">
        <v>0.55555555555555558</v>
      </c>
      <c r="VP47" s="59">
        <v>-24.959999999999997</v>
      </c>
      <c r="VQ47" s="60">
        <v>0.55555555555555558</v>
      </c>
      <c r="VR47" s="59">
        <v>-2.3699999999999992</v>
      </c>
      <c r="VS47" s="60">
        <v>0.75</v>
      </c>
      <c r="VT47" s="59">
        <v>-33.039999999999992</v>
      </c>
      <c r="VU47" s="60">
        <v>0.5</v>
      </c>
      <c r="VV47" s="59">
        <v>14.600000000000001</v>
      </c>
      <c r="VW47" s="60">
        <v>0.63636363636363635</v>
      </c>
      <c r="VX47" s="59">
        <v>-72.12</v>
      </c>
      <c r="VY47" s="60">
        <v>0.2</v>
      </c>
      <c r="VZ47" s="59">
        <v>25.559999999999995</v>
      </c>
      <c r="WA47" s="60">
        <v>0.76923076923076927</v>
      </c>
      <c r="WB47" s="59"/>
      <c r="WC47" s="60"/>
      <c r="WD47" s="59">
        <v>-7.9600000000000009</v>
      </c>
      <c r="WE47" s="60">
        <v>0.63636363636363635</v>
      </c>
      <c r="WF47" s="59">
        <v>-37.529999999999994</v>
      </c>
      <c r="WG47" s="60">
        <v>0.2</v>
      </c>
      <c r="WH47" s="59">
        <v>13.720000000000002</v>
      </c>
      <c r="WI47" s="60">
        <v>0.83333333333333337</v>
      </c>
      <c r="WJ47" s="59">
        <v>2.7099999999999986</v>
      </c>
      <c r="WK47" s="60">
        <v>0.66666666666666663</v>
      </c>
      <c r="WL47" s="59">
        <v>0.53000000000000025</v>
      </c>
      <c r="WM47" s="60">
        <v>0.46666666666666667</v>
      </c>
      <c r="WN47" s="59">
        <v>-17.840000000000003</v>
      </c>
      <c r="WO47" s="60">
        <v>0.5</v>
      </c>
      <c r="WP47" s="59">
        <v>-16.130000000000003</v>
      </c>
      <c r="WQ47" s="60">
        <v>0.5714285714285714</v>
      </c>
      <c r="WR47" s="59">
        <v>33.050000000000004</v>
      </c>
      <c r="WS47" s="60">
        <v>0.8</v>
      </c>
      <c r="WT47" s="59">
        <v>-14.949999999999998</v>
      </c>
      <c r="WU47" s="60">
        <v>0.5</v>
      </c>
      <c r="WV47" s="59">
        <v>-46.54</v>
      </c>
      <c r="WW47" s="60">
        <v>0.45454545454545453</v>
      </c>
      <c r="WX47" s="59">
        <v>31.33</v>
      </c>
      <c r="WY47" s="60">
        <v>0.7857142857142857</v>
      </c>
      <c r="WZ47" s="59"/>
      <c r="XA47" s="60"/>
      <c r="XB47" s="59">
        <v>25.38</v>
      </c>
      <c r="XC47" s="60">
        <v>0.69230769230769229</v>
      </c>
      <c r="XD47" s="59">
        <v>-12.780000000000001</v>
      </c>
      <c r="XE47" s="60">
        <v>0.66666666666666663</v>
      </c>
      <c r="XF47" s="59">
        <v>-35.839999999999996</v>
      </c>
      <c r="XG47" s="60">
        <v>0.33333333333333331</v>
      </c>
      <c r="XH47" s="59">
        <v>14.980000000000002</v>
      </c>
      <c r="XI47" s="60">
        <v>0.66666666666666663</v>
      </c>
      <c r="XJ47" s="59">
        <v>11.030000000000001</v>
      </c>
      <c r="XK47" s="60">
        <v>0.8</v>
      </c>
      <c r="XL47" s="59">
        <v>5.53</v>
      </c>
      <c r="XM47" s="60">
        <v>0.7142857142857143</v>
      </c>
      <c r="XN47" s="59">
        <v>-30.20999999999999</v>
      </c>
      <c r="XO47" s="60">
        <v>0.44</v>
      </c>
      <c r="XP47" s="59">
        <v>-26.34</v>
      </c>
      <c r="XQ47" s="60">
        <v>0.42857142857142855</v>
      </c>
      <c r="XR47" s="59">
        <v>16.549999999999997</v>
      </c>
      <c r="XS47" s="60">
        <v>0.7142857142857143</v>
      </c>
      <c r="XT47" s="59">
        <v>-26.64</v>
      </c>
      <c r="XU47" s="60">
        <v>0.44444444444444442</v>
      </c>
      <c r="XV47" s="59"/>
      <c r="XW47" s="60"/>
    </row>
    <row r="48" spans="2:647" x14ac:dyDescent="0.25">
      <c r="B48" s="737" t="s">
        <v>74</v>
      </c>
      <c r="C48" s="742" t="s">
        <v>9</v>
      </c>
      <c r="D48" s="737" t="s">
        <v>26</v>
      </c>
      <c r="E48" s="737"/>
      <c r="F48" s="481">
        <v>0.4</v>
      </c>
      <c r="G48" s="480" t="s">
        <v>34</v>
      </c>
      <c r="H48" s="63"/>
      <c r="I48" s="63"/>
      <c r="J48" s="63"/>
      <c r="K48" s="63"/>
      <c r="L48" s="63"/>
      <c r="M48" s="63"/>
      <c r="N48" s="63"/>
      <c r="O48" s="63"/>
      <c r="P48" s="63"/>
      <c r="Q48" s="63"/>
      <c r="R48" s="63"/>
      <c r="S48" s="63"/>
      <c r="T48" s="63"/>
      <c r="U48" s="63"/>
      <c r="V48" s="63"/>
      <c r="W48" s="63"/>
      <c r="X48" s="63"/>
      <c r="Y48" s="63"/>
      <c r="Z48" s="63"/>
      <c r="AA48" s="63"/>
      <c r="AB48" s="63"/>
      <c r="AC48" s="63"/>
      <c r="AD48" s="63"/>
      <c r="AE48" s="63"/>
      <c r="AF48" s="63"/>
      <c r="AG48" s="63"/>
      <c r="AH48" s="63"/>
      <c r="AI48" s="63"/>
      <c r="AJ48" s="63"/>
      <c r="AK48" s="63"/>
      <c r="AL48" s="63"/>
      <c r="AM48" s="63"/>
      <c r="AN48" s="63"/>
      <c r="AO48" s="63"/>
      <c r="AP48" s="63"/>
      <c r="AQ48" s="63"/>
      <c r="AR48" s="63"/>
      <c r="AS48" s="63"/>
      <c r="AT48" s="63"/>
      <c r="AU48" s="63"/>
      <c r="AV48" s="63"/>
      <c r="AW48" s="63"/>
      <c r="AX48" s="63"/>
      <c r="AY48" s="63"/>
      <c r="AZ48" s="63"/>
      <c r="BA48" s="63"/>
      <c r="BB48" s="63"/>
      <c r="BC48" s="63"/>
      <c r="BD48" s="63"/>
      <c r="BE48" s="63"/>
      <c r="BF48" s="63"/>
      <c r="BG48" s="63"/>
      <c r="BH48" s="63"/>
      <c r="BI48" s="63"/>
      <c r="BJ48" s="63"/>
      <c r="BK48" s="63"/>
      <c r="BL48" s="63"/>
      <c r="BM48" s="63"/>
      <c r="BN48" s="63"/>
      <c r="BO48" s="63"/>
      <c r="BP48" s="63"/>
      <c r="BQ48" s="63"/>
      <c r="BR48" s="63"/>
      <c r="BS48" s="63"/>
      <c r="BT48" s="63"/>
      <c r="BU48" s="63"/>
      <c r="BV48" s="63"/>
      <c r="BW48" s="63"/>
      <c r="BX48" s="63"/>
      <c r="BY48" s="63"/>
      <c r="BZ48" s="63"/>
      <c r="CA48" s="63"/>
      <c r="CB48" s="63"/>
      <c r="CC48" s="63"/>
      <c r="CD48" s="63"/>
      <c r="CE48" s="63"/>
      <c r="CF48" s="63"/>
      <c r="CG48" s="63"/>
      <c r="CH48" s="63"/>
      <c r="CI48" s="63"/>
      <c r="CJ48" s="63"/>
      <c r="CK48" s="63"/>
      <c r="CL48" s="63"/>
      <c r="CM48" s="63"/>
      <c r="CN48" s="63"/>
      <c r="CO48" s="63"/>
      <c r="CP48" s="63"/>
      <c r="CQ48" s="63"/>
      <c r="CR48" s="63"/>
      <c r="CS48" s="63"/>
      <c r="CT48" s="63"/>
      <c r="CU48" s="63"/>
      <c r="CV48" s="63"/>
      <c r="CW48" s="63"/>
      <c r="CX48" s="63"/>
      <c r="CY48" s="63"/>
      <c r="CZ48" s="63"/>
      <c r="DA48" s="63"/>
      <c r="DB48" s="63"/>
      <c r="DC48" s="63"/>
      <c r="DD48" s="63"/>
      <c r="DE48" s="63"/>
      <c r="DF48" s="63"/>
      <c r="DG48" s="63"/>
      <c r="DH48" s="63"/>
      <c r="DI48" s="63"/>
      <c r="DJ48" s="63"/>
      <c r="DK48" s="63"/>
      <c r="DL48" s="63"/>
      <c r="DM48" s="63"/>
      <c r="DN48" s="63"/>
      <c r="DO48" s="63"/>
      <c r="DP48" s="63"/>
      <c r="DQ48" s="63"/>
      <c r="DR48" s="63"/>
      <c r="DS48" s="63"/>
      <c r="DT48" s="63"/>
      <c r="DU48" s="63"/>
      <c r="DV48" s="63"/>
      <c r="DW48" s="63"/>
      <c r="DX48" s="63"/>
      <c r="DY48" s="63"/>
      <c r="DZ48" s="63"/>
      <c r="EA48" s="63"/>
      <c r="EB48" s="63"/>
      <c r="EC48" s="63"/>
      <c r="ED48" s="63"/>
      <c r="EE48" s="63"/>
      <c r="EF48" s="63"/>
      <c r="EG48" s="63"/>
      <c r="EH48" s="63"/>
      <c r="EI48" s="63"/>
      <c r="EJ48" s="63"/>
      <c r="EK48" s="63"/>
      <c r="EL48" s="63"/>
      <c r="EM48" s="63"/>
      <c r="EN48" s="63"/>
      <c r="EO48" s="63"/>
      <c r="EP48" s="63"/>
      <c r="EQ48" s="63"/>
      <c r="ER48" s="61"/>
      <c r="ES48" s="62"/>
      <c r="ET48" s="61"/>
      <c r="EU48" s="62"/>
      <c r="EV48" s="61"/>
      <c r="EW48" s="62"/>
      <c r="EX48" s="61"/>
      <c r="EY48" s="62"/>
      <c r="EZ48" s="61"/>
      <c r="FA48" s="62"/>
      <c r="FB48" s="61">
        <v>7.5</v>
      </c>
      <c r="FC48" s="62">
        <v>0.6</v>
      </c>
      <c r="FD48" s="61">
        <v>8.5333333333333332</v>
      </c>
      <c r="FE48" s="62">
        <v>0.5714285714285714</v>
      </c>
      <c r="FF48" s="61">
        <v>-23.1</v>
      </c>
      <c r="FG48" s="62">
        <v>0.2</v>
      </c>
      <c r="FH48" s="61">
        <v>-9.43333333333333</v>
      </c>
      <c r="FI48" s="62">
        <v>0.5</v>
      </c>
      <c r="FJ48" s="61">
        <v>14.833333333333334</v>
      </c>
      <c r="FK48" s="62">
        <v>1</v>
      </c>
      <c r="FL48" s="61">
        <v>7.4666666666666677</v>
      </c>
      <c r="FM48" s="62">
        <v>0.66666666666666663</v>
      </c>
      <c r="FN48" s="61">
        <v>-26.966666666666669</v>
      </c>
      <c r="FO48" s="62">
        <v>0</v>
      </c>
      <c r="FP48" s="61">
        <v>-41.06666666666667</v>
      </c>
      <c r="FQ48" s="62">
        <v>0.2</v>
      </c>
      <c r="FR48" s="61">
        <v>-17.666666666666671</v>
      </c>
      <c r="FS48" s="62">
        <v>0.33333333333333331</v>
      </c>
      <c r="FT48" s="61">
        <v>-24.866666666666671</v>
      </c>
      <c r="FU48" s="62">
        <v>0.42857142857142855</v>
      </c>
      <c r="FV48" s="61">
        <v>2.5</v>
      </c>
      <c r="FW48" s="62">
        <v>1</v>
      </c>
      <c r="FX48" s="61">
        <v>-27.43333333333333</v>
      </c>
      <c r="FY48" s="62">
        <v>0.2</v>
      </c>
      <c r="FZ48" s="61">
        <v>29.466666666666669</v>
      </c>
      <c r="GA48" s="62">
        <v>0.7142857142857143</v>
      </c>
      <c r="GB48" s="61">
        <v>-3.7333333333333338</v>
      </c>
      <c r="GC48" s="62">
        <v>0.5</v>
      </c>
      <c r="GD48" s="61">
        <v>13.200000000000001</v>
      </c>
      <c r="GE48" s="62">
        <v>0.66666666666666663</v>
      </c>
      <c r="GF48" s="61">
        <v>8.8666666666666654</v>
      </c>
      <c r="GG48" s="62">
        <v>0.6</v>
      </c>
      <c r="GH48" s="61">
        <v>7.2000000000000011</v>
      </c>
      <c r="GI48" s="62">
        <v>1</v>
      </c>
      <c r="GJ48" s="61">
        <v>-33.466666666666669</v>
      </c>
      <c r="GK48" s="62">
        <v>0.25</v>
      </c>
      <c r="GL48" s="61">
        <v>-32.366666666666674</v>
      </c>
      <c r="GM48" s="62">
        <v>0.4</v>
      </c>
      <c r="GN48" s="61"/>
      <c r="GO48" s="62"/>
      <c r="GP48" s="61">
        <v>-15.566666666666666</v>
      </c>
      <c r="GQ48" s="62">
        <v>0.2857142857142857</v>
      </c>
      <c r="GR48" s="61">
        <v>-24.666666666666668</v>
      </c>
      <c r="GS48" s="62">
        <v>0.25</v>
      </c>
      <c r="GT48" s="61">
        <v>33.1</v>
      </c>
      <c r="GU48" s="62">
        <v>0.83333333333333337</v>
      </c>
      <c r="GV48" s="61">
        <v>-5.366666666666668</v>
      </c>
      <c r="GW48" s="62">
        <v>0.4</v>
      </c>
      <c r="GX48" s="61">
        <v>-7.9666666666666677</v>
      </c>
      <c r="GY48" s="62">
        <v>0</v>
      </c>
      <c r="GZ48" s="61"/>
      <c r="HA48" s="62"/>
      <c r="HB48" s="61">
        <v>-21.733333333333334</v>
      </c>
      <c r="HC48" s="62">
        <v>0.2</v>
      </c>
      <c r="HD48" s="61">
        <v>12.833333333333332</v>
      </c>
      <c r="HE48" s="62">
        <v>0.7142857142857143</v>
      </c>
      <c r="HF48" s="61">
        <v>-31.866666666666671</v>
      </c>
      <c r="HG48" s="62">
        <v>0</v>
      </c>
      <c r="HH48" s="61">
        <v>4.1999999999999993</v>
      </c>
      <c r="HI48" s="62">
        <v>0.5</v>
      </c>
      <c r="HJ48" s="61">
        <v>-0.66666666666666585</v>
      </c>
      <c r="HK48" s="62">
        <v>0.4</v>
      </c>
      <c r="HL48" s="61">
        <v>-35.1</v>
      </c>
      <c r="HM48" s="62">
        <v>0.2</v>
      </c>
      <c r="HN48" s="61">
        <v>-7.2999999999999989</v>
      </c>
      <c r="HO48" s="62">
        <v>0.25</v>
      </c>
      <c r="HP48" s="61">
        <v>4.1333333333333329</v>
      </c>
      <c r="HQ48" s="62">
        <v>0.4</v>
      </c>
      <c r="HR48" s="61">
        <v>-14.9</v>
      </c>
      <c r="HS48" s="62">
        <v>0.16666666666666666</v>
      </c>
      <c r="HT48" s="61">
        <v>-38.56666666666667</v>
      </c>
      <c r="HU48" s="62">
        <v>0.125</v>
      </c>
      <c r="HV48" s="61">
        <v>7.0333333333333332</v>
      </c>
      <c r="HW48" s="62">
        <v>1</v>
      </c>
      <c r="HX48" s="61"/>
      <c r="HY48" s="62"/>
      <c r="HZ48" s="61"/>
      <c r="IA48" s="62"/>
      <c r="IB48" s="61">
        <v>11.400000000000004</v>
      </c>
      <c r="IC48" s="62">
        <v>0.75</v>
      </c>
      <c r="ID48" s="61">
        <v>-36.633333333333333</v>
      </c>
      <c r="IE48" s="62">
        <v>0.2</v>
      </c>
      <c r="IF48" s="61">
        <v>-9.06666666666667</v>
      </c>
      <c r="IG48" s="62">
        <v>0.4</v>
      </c>
      <c r="IH48" s="61">
        <v>-6.9333333333333336</v>
      </c>
      <c r="II48" s="62">
        <v>0</v>
      </c>
      <c r="IJ48" s="61"/>
      <c r="IK48" s="62"/>
      <c r="IL48" s="61"/>
      <c r="IM48" s="62"/>
      <c r="IN48" s="61"/>
      <c r="IO48" s="62"/>
      <c r="IP48" s="61">
        <v>14.000000000000002</v>
      </c>
      <c r="IQ48" s="62">
        <v>1</v>
      </c>
      <c r="IR48" s="61"/>
      <c r="IS48" s="62"/>
      <c r="IT48" s="61">
        <v>-2.8000000000000003</v>
      </c>
      <c r="IU48" s="62">
        <v>0</v>
      </c>
      <c r="IV48" s="61">
        <v>0.625</v>
      </c>
      <c r="IW48" s="62">
        <v>0.66666666666666663</v>
      </c>
      <c r="IX48" s="61">
        <v>9.7750000000000004</v>
      </c>
      <c r="IY48" s="62">
        <v>1</v>
      </c>
      <c r="IZ48" s="61">
        <v>-7.9499999999999993</v>
      </c>
      <c r="JA48" s="62">
        <v>0.4</v>
      </c>
      <c r="JB48" s="61">
        <v>-13.925000000000001</v>
      </c>
      <c r="JC48" s="62">
        <v>0.44444444444444442</v>
      </c>
      <c r="JD48" s="61"/>
      <c r="JE48" s="62"/>
      <c r="JF48" s="61">
        <v>14.024999999999999</v>
      </c>
      <c r="JG48" s="62">
        <v>1</v>
      </c>
      <c r="JH48" s="61">
        <v>-6.9499999999999993</v>
      </c>
      <c r="JI48" s="62">
        <v>0.33333333333333331</v>
      </c>
      <c r="JJ48" s="61">
        <v>11.049999999999999</v>
      </c>
      <c r="JK48" s="62">
        <v>0.5714285714285714</v>
      </c>
      <c r="JL48" s="61">
        <v>-31.425000000000001</v>
      </c>
      <c r="JM48" s="62">
        <v>0</v>
      </c>
      <c r="JN48" s="61"/>
      <c r="JO48" s="62"/>
      <c r="JP48" s="61">
        <v>-3.9750000000000001</v>
      </c>
      <c r="JQ48" s="62">
        <v>0</v>
      </c>
      <c r="JR48" s="61">
        <v>-16</v>
      </c>
      <c r="JS48" s="62">
        <v>0</v>
      </c>
      <c r="JT48" s="61"/>
      <c r="JU48" s="62"/>
      <c r="JV48" s="61">
        <v>15.725</v>
      </c>
      <c r="JW48" s="62">
        <v>0.66666666666666663</v>
      </c>
      <c r="JX48" s="61"/>
      <c r="JY48" s="62"/>
      <c r="JZ48" s="61">
        <v>13.725</v>
      </c>
      <c r="KA48" s="62">
        <v>0.66666666666666663</v>
      </c>
      <c r="KB48" s="61">
        <v>2.4999999999999467E-2</v>
      </c>
      <c r="KC48" s="62">
        <v>0.33333333333333331</v>
      </c>
      <c r="KD48" s="61">
        <v>-7.8999999999999977</v>
      </c>
      <c r="KE48" s="62">
        <v>0.66666666666666663</v>
      </c>
      <c r="KF48" s="61">
        <v>-2.4750000000000005</v>
      </c>
      <c r="KG48" s="62">
        <v>0.33333333333333331</v>
      </c>
      <c r="KH48" s="61">
        <v>19.975000000000001</v>
      </c>
      <c r="KI48" s="62">
        <v>1</v>
      </c>
      <c r="KJ48" s="61">
        <v>15.625</v>
      </c>
      <c r="KK48" s="62">
        <v>0.44444444444444442</v>
      </c>
      <c r="KL48" s="61">
        <v>-3.4499999999999997</v>
      </c>
      <c r="KM48" s="62">
        <v>0.42857142857142855</v>
      </c>
      <c r="KN48" s="61">
        <v>19.474999999999998</v>
      </c>
      <c r="KO48" s="62">
        <v>0.83333333333333337</v>
      </c>
      <c r="KP48" s="61"/>
      <c r="KQ48" s="62"/>
      <c r="KR48" s="61">
        <v>-33.125</v>
      </c>
      <c r="KS48" s="62">
        <v>0.2</v>
      </c>
      <c r="KT48" s="61"/>
      <c r="KU48" s="62"/>
      <c r="KV48" s="61">
        <v>-35.625</v>
      </c>
      <c r="KW48" s="62">
        <v>0.2</v>
      </c>
      <c r="KX48" s="61">
        <v>7.3750000000000009</v>
      </c>
      <c r="KY48" s="62">
        <v>0.66666666666666663</v>
      </c>
      <c r="KZ48" s="61">
        <v>-5.5249999999999986</v>
      </c>
      <c r="LA48" s="62">
        <v>0.5</v>
      </c>
      <c r="LB48" s="61">
        <v>-13.549999999999999</v>
      </c>
      <c r="LC48" s="62">
        <v>0</v>
      </c>
      <c r="LD48" s="61">
        <v>-46.824999999999996</v>
      </c>
      <c r="LE48" s="62">
        <v>0</v>
      </c>
      <c r="LF48" s="61">
        <v>21.299999999999997</v>
      </c>
      <c r="LG48" s="62">
        <v>1</v>
      </c>
      <c r="LH48" s="61">
        <v>-13.525</v>
      </c>
      <c r="LI48" s="62">
        <v>0.4</v>
      </c>
      <c r="LJ48" s="61"/>
      <c r="LK48" s="62"/>
      <c r="LL48" s="61"/>
      <c r="LM48" s="62"/>
      <c r="LN48" s="61">
        <v>14.3</v>
      </c>
      <c r="LO48" s="62">
        <v>1</v>
      </c>
      <c r="LP48" s="61">
        <v>-52.649999999999991</v>
      </c>
      <c r="LQ48" s="62">
        <v>0.4</v>
      </c>
      <c r="LR48" s="61">
        <v>37.524999999999999</v>
      </c>
      <c r="LS48" s="62">
        <v>1</v>
      </c>
      <c r="LT48" s="61">
        <v>-27.349999999999998</v>
      </c>
      <c r="LU48" s="62">
        <v>0.4</v>
      </c>
      <c r="LV48" s="61">
        <v>14.475</v>
      </c>
      <c r="LW48" s="62">
        <v>1</v>
      </c>
      <c r="LX48" s="61">
        <v>-11.324999999999999</v>
      </c>
      <c r="LY48" s="62">
        <v>0.5</v>
      </c>
      <c r="LZ48" s="61">
        <v>29.299999999999997</v>
      </c>
      <c r="MA48" s="62">
        <v>1</v>
      </c>
      <c r="MB48" s="61">
        <v>34.4</v>
      </c>
      <c r="MC48" s="62">
        <v>0.77777777777777779</v>
      </c>
      <c r="MD48" s="61"/>
      <c r="ME48" s="62"/>
      <c r="MF48" s="61">
        <v>-10.925000000000002</v>
      </c>
      <c r="MG48" s="62">
        <v>0.66666666666666663</v>
      </c>
      <c r="MH48" s="61">
        <v>-5.7999999999999989</v>
      </c>
      <c r="MI48" s="62">
        <v>0.5</v>
      </c>
      <c r="MJ48" s="61"/>
      <c r="MK48" s="62"/>
      <c r="ML48" s="61">
        <v>-36.074999999999996</v>
      </c>
      <c r="MM48" s="62">
        <v>0</v>
      </c>
      <c r="MN48" s="61"/>
      <c r="MO48" s="62"/>
      <c r="MP48" s="61">
        <v>7.3999999999999995</v>
      </c>
      <c r="MQ48" s="62">
        <v>1</v>
      </c>
      <c r="MR48" s="61"/>
      <c r="MS48" s="62"/>
      <c r="MT48" s="61"/>
      <c r="MU48" s="62"/>
      <c r="MV48" s="61">
        <v>21.75</v>
      </c>
      <c r="MW48" s="62">
        <v>1</v>
      </c>
      <c r="MX48" s="61">
        <v>20.975000000000001</v>
      </c>
      <c r="MY48" s="62">
        <v>1</v>
      </c>
      <c r="MZ48" s="61">
        <v>6.9249999999999998</v>
      </c>
      <c r="NA48" s="62">
        <v>1</v>
      </c>
      <c r="NB48" s="61">
        <v>-88.324999999999989</v>
      </c>
      <c r="NC48" s="62">
        <v>0.3</v>
      </c>
      <c r="ND48" s="61"/>
      <c r="NE48" s="62"/>
      <c r="NF48" s="61">
        <v>-85.850000000000009</v>
      </c>
      <c r="NG48" s="62">
        <v>0.14285714285714285</v>
      </c>
      <c r="NH48" s="61">
        <v>-85.850000000000009</v>
      </c>
      <c r="NI48" s="62">
        <v>0.14285714285714285</v>
      </c>
      <c r="NJ48" s="61">
        <v>-15.1</v>
      </c>
      <c r="NK48" s="62">
        <v>0.33333333333333331</v>
      </c>
      <c r="NL48" s="61"/>
      <c r="NM48" s="62"/>
      <c r="NN48" s="61"/>
      <c r="NO48" s="62"/>
      <c r="NP48" s="61">
        <v>22.05</v>
      </c>
      <c r="NQ48" s="62">
        <v>0.83333333333333337</v>
      </c>
      <c r="NR48" s="61">
        <v>-35.024999999999991</v>
      </c>
      <c r="NS48" s="62">
        <v>0.5</v>
      </c>
      <c r="NT48" s="61">
        <v>-1.4249999999999985</v>
      </c>
      <c r="NU48" s="62">
        <v>0.6</v>
      </c>
      <c r="NV48" s="61">
        <v>-0.27499999999999969</v>
      </c>
      <c r="NW48" s="62">
        <v>0.5</v>
      </c>
      <c r="NX48" s="61">
        <v>-12.6</v>
      </c>
      <c r="NY48" s="62">
        <v>0.33333333333333331</v>
      </c>
      <c r="NZ48" s="61">
        <v>-51.974999999999994</v>
      </c>
      <c r="OA48" s="62">
        <v>0.33333333333333331</v>
      </c>
      <c r="OB48" s="61">
        <v>13.649999999999999</v>
      </c>
      <c r="OC48" s="62">
        <v>0.75</v>
      </c>
      <c r="OD48" s="61">
        <v>13.9</v>
      </c>
      <c r="OE48" s="62">
        <v>1</v>
      </c>
      <c r="OF48" s="61">
        <v>-40.099999999999994</v>
      </c>
      <c r="OG48" s="62">
        <v>0</v>
      </c>
      <c r="OH48" s="61">
        <v>-23.025000000000002</v>
      </c>
      <c r="OI48" s="62">
        <v>0.33333333333333331</v>
      </c>
      <c r="OJ48" s="61"/>
      <c r="OK48" s="62"/>
      <c r="OL48" s="61">
        <v>-62.125</v>
      </c>
      <c r="OM48" s="62">
        <v>0.2857142857142857</v>
      </c>
      <c r="ON48" s="61"/>
      <c r="OO48" s="62"/>
      <c r="OP48" s="61">
        <v>16.625000000000004</v>
      </c>
      <c r="OQ48" s="62">
        <v>0.6</v>
      </c>
      <c r="OR48" s="61">
        <v>-57.475000000000001</v>
      </c>
      <c r="OS48" s="62">
        <v>0</v>
      </c>
      <c r="OT48" s="61">
        <v>-13.375</v>
      </c>
      <c r="OU48" s="62">
        <v>0.25</v>
      </c>
      <c r="OV48" s="61"/>
      <c r="OW48" s="62"/>
      <c r="OX48" s="61">
        <v>4.4249999999999998</v>
      </c>
      <c r="OY48" s="62">
        <v>0.66666666666666663</v>
      </c>
      <c r="OZ48" s="61">
        <v>9.9749999999999996</v>
      </c>
      <c r="PA48" s="62">
        <v>0.75</v>
      </c>
      <c r="PB48" s="61">
        <v>-6.8499999999999988</v>
      </c>
      <c r="PC48" s="62">
        <v>0.5</v>
      </c>
      <c r="PD48" s="61">
        <v>-18.374999999999996</v>
      </c>
      <c r="PE48" s="62">
        <v>0</v>
      </c>
      <c r="PF48" s="61">
        <v>30.700000000000003</v>
      </c>
      <c r="PG48" s="62">
        <v>0.8571428571428571</v>
      </c>
      <c r="PH48" s="61">
        <v>2.274999999999999</v>
      </c>
      <c r="PI48" s="62">
        <v>0.66666666666666663</v>
      </c>
      <c r="PJ48" s="61"/>
      <c r="PK48" s="62"/>
      <c r="PL48" s="61"/>
      <c r="PM48" s="62"/>
      <c r="PN48" s="61"/>
      <c r="PO48" s="62"/>
      <c r="PP48" s="61">
        <v>14.55</v>
      </c>
      <c r="PQ48" s="62">
        <v>1</v>
      </c>
      <c r="PR48" s="61">
        <v>-27</v>
      </c>
      <c r="PS48" s="62">
        <v>0.33333333333333331</v>
      </c>
      <c r="PT48" s="61">
        <v>-1.5249999999999986</v>
      </c>
      <c r="PU48" s="62">
        <v>0.75</v>
      </c>
      <c r="PV48" s="61">
        <v>-93.474999999999994</v>
      </c>
      <c r="PW48" s="62">
        <v>0.33333333333333331</v>
      </c>
      <c r="PX48" s="61">
        <v>14.574999999999999</v>
      </c>
      <c r="PY48" s="62">
        <v>1</v>
      </c>
      <c r="PZ48" s="61">
        <v>18.524999999999999</v>
      </c>
      <c r="QA48" s="62">
        <v>0.75</v>
      </c>
      <c r="QB48" s="61">
        <v>6.6750000000000043</v>
      </c>
      <c r="QC48" s="62">
        <v>0.77777777777777779</v>
      </c>
      <c r="QD48" s="61">
        <v>-0.50000000000000044</v>
      </c>
      <c r="QE48" s="62">
        <v>0.4</v>
      </c>
      <c r="QF48" s="61">
        <v>2.5749999999999993</v>
      </c>
      <c r="QG48" s="62">
        <v>0.6</v>
      </c>
      <c r="QH48" s="61">
        <v>2.5499999999999998</v>
      </c>
      <c r="QI48" s="62">
        <v>0.5</v>
      </c>
      <c r="QJ48" s="61">
        <v>-59.824999999999996</v>
      </c>
      <c r="QK48" s="62">
        <v>0.14285714285714285</v>
      </c>
      <c r="QL48" s="61">
        <v>22.8</v>
      </c>
      <c r="QM48" s="62">
        <v>1</v>
      </c>
      <c r="QN48" s="61">
        <v>1.2749999999999984</v>
      </c>
      <c r="QO48" s="62">
        <v>0.6</v>
      </c>
      <c r="QP48" s="61">
        <v>3.7499999999999982</v>
      </c>
      <c r="QQ48" s="62">
        <v>0.8</v>
      </c>
      <c r="QR48" s="61">
        <v>-23.325000000000003</v>
      </c>
      <c r="QS48" s="62">
        <v>0</v>
      </c>
      <c r="QT48" s="61">
        <v>2.5750000000000006</v>
      </c>
      <c r="QU48" s="62">
        <v>0.7142857142857143</v>
      </c>
      <c r="QV48" s="61">
        <v>-15.1</v>
      </c>
      <c r="QW48" s="62">
        <v>0</v>
      </c>
      <c r="QX48" s="61">
        <v>-22.349999999999998</v>
      </c>
      <c r="QY48" s="62">
        <v>0.2</v>
      </c>
      <c r="QZ48" s="61"/>
      <c r="RA48" s="62"/>
      <c r="RB48" s="61">
        <v>3.7749999999999995</v>
      </c>
      <c r="RC48" s="62">
        <v>0.6</v>
      </c>
      <c r="RD48" s="61">
        <v>-10</v>
      </c>
      <c r="RE48" s="62">
        <v>0.5</v>
      </c>
      <c r="RF48" s="61">
        <v>3.95</v>
      </c>
      <c r="RG48" s="62">
        <v>0.66666666666666663</v>
      </c>
      <c r="RH48" s="61">
        <v>22.85</v>
      </c>
      <c r="RI48" s="62">
        <v>1</v>
      </c>
      <c r="RJ48" s="61">
        <v>1.0250000000000015</v>
      </c>
      <c r="RK48" s="62">
        <v>0.66666666666666663</v>
      </c>
      <c r="RL48" s="61"/>
      <c r="RM48" s="62"/>
      <c r="RN48" s="61">
        <v>-13.424999999999999</v>
      </c>
      <c r="RO48" s="62">
        <v>0.25</v>
      </c>
      <c r="RP48" s="61">
        <v>-25.35</v>
      </c>
      <c r="RQ48" s="62">
        <v>0.2</v>
      </c>
      <c r="RR48" s="61">
        <v>-21.375</v>
      </c>
      <c r="RS48" s="62">
        <v>0</v>
      </c>
      <c r="RT48" s="61"/>
      <c r="RU48" s="62"/>
      <c r="RV48" s="61">
        <v>5.7749999999999986</v>
      </c>
      <c r="RW48" s="62">
        <v>0.75</v>
      </c>
      <c r="RX48" s="61">
        <v>21.749999999999996</v>
      </c>
      <c r="RY48" s="62">
        <v>0.75</v>
      </c>
      <c r="RZ48" s="61">
        <v>7.7999999999999989</v>
      </c>
      <c r="SA48" s="62">
        <v>0.66666666666666663</v>
      </c>
      <c r="SB48" s="61">
        <v>-94.499999999999986</v>
      </c>
      <c r="SC48" s="62">
        <v>0.16666666666666666</v>
      </c>
      <c r="SD48" s="61"/>
      <c r="SE48" s="62"/>
      <c r="SF48" s="61">
        <v>7.8250000000000002</v>
      </c>
      <c r="SG48" s="62">
        <v>0.75</v>
      </c>
      <c r="SH48" s="61">
        <v>7.2249999999999996</v>
      </c>
      <c r="SI48" s="62">
        <v>1</v>
      </c>
      <c r="SJ48" s="61">
        <v>-1.9</v>
      </c>
      <c r="SK48" s="62">
        <v>0</v>
      </c>
      <c r="SL48" s="61">
        <v>-7.4</v>
      </c>
      <c r="SM48" s="62">
        <v>0.5714285714285714</v>
      </c>
      <c r="SN48" s="61">
        <v>-22.524999999999999</v>
      </c>
      <c r="SO48" s="62">
        <v>0</v>
      </c>
      <c r="SP48" s="61"/>
      <c r="SQ48" s="62"/>
      <c r="SR48" s="61">
        <v>7.1999999999999993</v>
      </c>
      <c r="SS48" s="62">
        <v>1</v>
      </c>
      <c r="ST48" s="61">
        <v>-22.274999999999999</v>
      </c>
      <c r="SU48" s="62">
        <v>0.33333333333333331</v>
      </c>
      <c r="SV48" s="61">
        <v>-0.3</v>
      </c>
      <c r="SW48" s="62">
        <v>0</v>
      </c>
      <c r="SX48" s="61"/>
      <c r="SY48" s="62"/>
      <c r="SZ48" s="61"/>
      <c r="TA48" s="62"/>
      <c r="TB48" s="61"/>
      <c r="TC48" s="62"/>
      <c r="TD48" s="61">
        <v>1.7999999999999994</v>
      </c>
      <c r="TE48" s="62">
        <v>0.6</v>
      </c>
      <c r="TF48" s="61"/>
      <c r="TG48" s="62"/>
      <c r="TH48" s="61">
        <v>20.924999999999997</v>
      </c>
      <c r="TI48" s="62">
        <v>1</v>
      </c>
      <c r="TJ48" s="61">
        <v>7.125</v>
      </c>
      <c r="TK48" s="62">
        <v>1</v>
      </c>
      <c r="TL48" s="61">
        <v>19.649999999999999</v>
      </c>
      <c r="TM48" s="62">
        <v>0.8</v>
      </c>
      <c r="TN48" s="61"/>
      <c r="TO48" s="62"/>
      <c r="TP48" s="61">
        <v>-16.100000000000001</v>
      </c>
      <c r="TQ48" s="62">
        <v>0.25</v>
      </c>
      <c r="TR48" s="61">
        <v>14.399999999999999</v>
      </c>
      <c r="TS48" s="62">
        <v>1</v>
      </c>
      <c r="TT48" s="61">
        <v>14.125</v>
      </c>
      <c r="TU48" s="62">
        <v>1</v>
      </c>
      <c r="TV48" s="61"/>
      <c r="TW48" s="62"/>
      <c r="TX48" s="61"/>
      <c r="TY48" s="62"/>
      <c r="TZ48" s="61"/>
      <c r="UA48" s="62"/>
      <c r="UB48" s="61"/>
      <c r="UC48" s="62"/>
      <c r="UD48" s="61"/>
      <c r="UE48" s="62"/>
      <c r="UF48" s="61">
        <v>14.399999999999999</v>
      </c>
      <c r="UG48" s="62">
        <v>1</v>
      </c>
      <c r="UH48" s="61">
        <v>7.125</v>
      </c>
      <c r="UI48" s="62">
        <v>1</v>
      </c>
      <c r="UJ48" s="61">
        <v>1.875</v>
      </c>
      <c r="UK48" s="62">
        <v>1</v>
      </c>
      <c r="UL48" s="61"/>
      <c r="UM48" s="62"/>
      <c r="UN48" s="61">
        <v>12.7</v>
      </c>
      <c r="UO48" s="62">
        <v>1</v>
      </c>
      <c r="UP48" s="61">
        <v>7.1</v>
      </c>
      <c r="UQ48" s="62">
        <v>1</v>
      </c>
      <c r="UR48" s="61">
        <v>21.074999999999999</v>
      </c>
      <c r="US48" s="62">
        <v>1</v>
      </c>
      <c r="UT48" s="61">
        <v>11.574999999999999</v>
      </c>
      <c r="UU48" s="62">
        <v>0.6</v>
      </c>
      <c r="UV48" s="61"/>
      <c r="UW48" s="62"/>
      <c r="UX48" s="61"/>
      <c r="UY48" s="62"/>
      <c r="UZ48" s="61"/>
      <c r="VA48" s="62"/>
      <c r="VB48" s="61">
        <v>1.2499999999999998</v>
      </c>
      <c r="VC48" s="62">
        <v>0.66666666666666663</v>
      </c>
      <c r="VD48" s="61">
        <v>20.175000000000001</v>
      </c>
      <c r="VE48" s="62">
        <v>1</v>
      </c>
      <c r="VF48" s="61">
        <v>-16.649999999999999</v>
      </c>
      <c r="VG48" s="62">
        <v>0</v>
      </c>
      <c r="VH48" s="61">
        <v>7.1499999999999995</v>
      </c>
      <c r="VI48" s="62">
        <v>1</v>
      </c>
      <c r="VJ48" s="61"/>
      <c r="VK48" s="62"/>
      <c r="VL48" s="61">
        <v>-46.449999999999996</v>
      </c>
      <c r="VM48" s="62">
        <v>0</v>
      </c>
      <c r="VN48" s="61">
        <v>-35.6</v>
      </c>
      <c r="VO48" s="62">
        <v>0.125</v>
      </c>
      <c r="VP48" s="61"/>
      <c r="VQ48" s="62"/>
      <c r="VR48" s="61"/>
      <c r="VS48" s="62"/>
      <c r="VT48" s="61"/>
      <c r="VU48" s="62"/>
      <c r="VV48" s="61">
        <v>35.199999999999996</v>
      </c>
      <c r="VW48" s="62">
        <v>1</v>
      </c>
      <c r="VX48" s="61">
        <v>25.724999999999998</v>
      </c>
      <c r="VY48" s="62">
        <v>1</v>
      </c>
      <c r="VZ48" s="61">
        <v>9.3249999999999993</v>
      </c>
      <c r="WA48" s="62">
        <v>0.66666666666666663</v>
      </c>
      <c r="WB48" s="61"/>
      <c r="WC48" s="62"/>
      <c r="WD48" s="61"/>
      <c r="WE48" s="62"/>
      <c r="WF48" s="61">
        <v>-34.724999999999994</v>
      </c>
      <c r="WG48" s="62">
        <v>0</v>
      </c>
      <c r="WH48" s="61">
        <v>-4.6999999999999993</v>
      </c>
      <c r="WI48" s="62">
        <v>0.5</v>
      </c>
      <c r="WJ48" s="61">
        <v>-7.6999999999999984</v>
      </c>
      <c r="WK48" s="62">
        <v>0.5</v>
      </c>
      <c r="WL48" s="61">
        <v>-25.4</v>
      </c>
      <c r="WM48" s="62">
        <v>0</v>
      </c>
      <c r="WN48" s="61">
        <v>-17.849999999999998</v>
      </c>
      <c r="WO48" s="62">
        <v>0.5</v>
      </c>
      <c r="WP48" s="61">
        <v>-50.379999999999995</v>
      </c>
      <c r="WQ48" s="62">
        <v>0</v>
      </c>
      <c r="WR48" s="61">
        <v>15.275</v>
      </c>
      <c r="WS48" s="62">
        <v>1</v>
      </c>
      <c r="WT48" s="61"/>
      <c r="WU48" s="62"/>
      <c r="WV48" s="61">
        <v>-1.0999999999999999</v>
      </c>
      <c r="WW48" s="62">
        <v>0</v>
      </c>
      <c r="WX48" s="61">
        <v>7.125</v>
      </c>
      <c r="WY48" s="62">
        <v>1</v>
      </c>
      <c r="WZ48" s="61"/>
      <c r="XA48" s="62"/>
      <c r="XB48" s="61"/>
      <c r="XC48" s="62"/>
      <c r="XD48" s="61"/>
      <c r="XE48" s="62"/>
      <c r="XF48" s="61"/>
      <c r="XG48" s="62"/>
      <c r="XH48" s="61">
        <v>6.174999999999998</v>
      </c>
      <c r="XI48" s="62">
        <v>0.5</v>
      </c>
      <c r="XJ48" s="61"/>
      <c r="XK48" s="62"/>
      <c r="XL48" s="61">
        <v>-10.424999999999997</v>
      </c>
      <c r="XM48" s="62">
        <v>0.5714285714285714</v>
      </c>
      <c r="XN48" s="61"/>
      <c r="XO48" s="62"/>
      <c r="XP48" s="61"/>
      <c r="XQ48" s="62"/>
      <c r="XR48" s="61">
        <v>41.349999999999994</v>
      </c>
      <c r="XS48" s="62">
        <v>0.66666666666666663</v>
      </c>
      <c r="XT48" s="61">
        <v>33.825000000000003</v>
      </c>
      <c r="XU48" s="62">
        <v>0.8571428571428571</v>
      </c>
      <c r="XV48" s="61"/>
      <c r="XW48" s="62"/>
    </row>
    <row r="49" spans="2:647" x14ac:dyDescent="0.25">
      <c r="B49" s="755"/>
      <c r="C49" s="760"/>
      <c r="D49" s="755"/>
      <c r="E49" s="755"/>
      <c r="F49" s="482">
        <v>0.5</v>
      </c>
      <c r="G49" s="475" t="s">
        <v>36</v>
      </c>
      <c r="H49" s="6"/>
      <c r="I49" s="6"/>
      <c r="J49" s="6"/>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c r="BU49" s="6"/>
      <c r="BV49" s="6"/>
      <c r="BW49" s="6"/>
      <c r="BX49" s="6"/>
      <c r="BY49" s="6"/>
      <c r="BZ49" s="6"/>
      <c r="CA49" s="6"/>
      <c r="CB49" s="6"/>
      <c r="CC49" s="6"/>
      <c r="CD49" s="6"/>
      <c r="CE49" s="6"/>
      <c r="CF49" s="6"/>
      <c r="CG49" s="6"/>
      <c r="CH49" s="6"/>
      <c r="CI49" s="6"/>
      <c r="CJ49" s="6"/>
      <c r="CK49" s="6"/>
      <c r="CL49" s="6"/>
      <c r="CM49" s="6"/>
      <c r="CN49" s="6"/>
      <c r="CO49" s="6"/>
      <c r="CP49" s="6"/>
      <c r="CQ49" s="6"/>
      <c r="CR49" s="6"/>
      <c r="CS49" s="6"/>
      <c r="CT49" s="6"/>
      <c r="CU49" s="6"/>
      <c r="CV49" s="6"/>
      <c r="CW49" s="6"/>
      <c r="CX49" s="6"/>
      <c r="CY49" s="6"/>
      <c r="CZ49" s="6"/>
      <c r="DA49" s="6"/>
      <c r="DB49" s="6"/>
      <c r="DC49" s="6"/>
      <c r="DD49" s="6"/>
      <c r="DE49" s="6"/>
      <c r="DF49" s="6"/>
      <c r="DG49" s="6"/>
      <c r="DH49" s="6"/>
      <c r="DI49" s="6"/>
      <c r="DJ49" s="6"/>
      <c r="DK49" s="6"/>
      <c r="DL49" s="6"/>
      <c r="DM49" s="6"/>
      <c r="DN49" s="6"/>
      <c r="DO49" s="6"/>
      <c r="DP49" s="6"/>
      <c r="DQ49" s="6"/>
      <c r="DR49" s="6"/>
      <c r="DS49" s="6"/>
      <c r="DT49" s="6"/>
      <c r="DU49" s="6"/>
      <c r="DV49" s="6"/>
      <c r="DW49" s="6"/>
      <c r="DX49" s="6"/>
      <c r="DY49" s="6"/>
      <c r="DZ49" s="6"/>
      <c r="EA49" s="6"/>
      <c r="EB49" s="6"/>
      <c r="EC49" s="6"/>
      <c r="ED49" s="6"/>
      <c r="EE49" s="6"/>
      <c r="EF49" s="6"/>
      <c r="EG49" s="6"/>
      <c r="EH49" s="6"/>
      <c r="EI49" s="6"/>
      <c r="EJ49" s="6"/>
      <c r="EK49" s="6"/>
      <c r="EL49" s="6"/>
      <c r="EM49" s="6"/>
      <c r="EN49" s="6"/>
      <c r="EO49" s="6"/>
      <c r="EP49" s="6"/>
      <c r="EQ49" s="6"/>
      <c r="ER49" s="487"/>
      <c r="ES49" s="1"/>
      <c r="ET49" s="487"/>
      <c r="EU49" s="1"/>
      <c r="EV49" s="487"/>
      <c r="EW49" s="1"/>
      <c r="EX49" s="487"/>
      <c r="EY49" s="1"/>
      <c r="EZ49" s="487"/>
      <c r="FA49" s="1"/>
      <c r="FB49" s="487"/>
      <c r="FC49" s="1"/>
      <c r="FD49" s="487"/>
      <c r="FE49" s="1"/>
      <c r="FF49" s="487"/>
      <c r="FG49" s="1"/>
      <c r="FH49" s="487"/>
      <c r="FI49" s="1"/>
      <c r="FJ49" s="487"/>
      <c r="FK49" s="1"/>
      <c r="FL49" s="487"/>
      <c r="FM49" s="1"/>
      <c r="FN49" s="487"/>
      <c r="FO49" s="1"/>
      <c r="FP49" s="487"/>
      <c r="FQ49" s="1"/>
      <c r="FR49" s="487"/>
      <c r="FS49" s="1"/>
      <c r="FT49" s="487"/>
      <c r="FU49" s="1"/>
      <c r="FV49" s="487"/>
      <c r="FW49" s="1"/>
      <c r="FX49" s="487"/>
      <c r="FY49" s="1"/>
      <c r="FZ49" s="487"/>
      <c r="GA49" s="1"/>
      <c r="GB49" s="487"/>
      <c r="GC49" s="1"/>
      <c r="GD49" s="487"/>
      <c r="GE49" s="1"/>
      <c r="GF49" s="487"/>
      <c r="GG49" s="1"/>
      <c r="GH49" s="487"/>
      <c r="GI49" s="1"/>
      <c r="GJ49" s="487"/>
      <c r="GK49" s="1"/>
      <c r="GL49" s="487"/>
      <c r="GM49" s="1"/>
      <c r="GN49" s="487"/>
      <c r="GO49" s="1"/>
      <c r="GP49" s="487"/>
      <c r="GQ49" s="1"/>
      <c r="GR49" s="487"/>
      <c r="GS49" s="1"/>
      <c r="GT49" s="487"/>
      <c r="GU49" s="1"/>
      <c r="GV49" s="487"/>
      <c r="GW49" s="1"/>
      <c r="GX49" s="487"/>
      <c r="GY49" s="1"/>
      <c r="GZ49" s="487"/>
      <c r="HA49" s="1"/>
      <c r="HB49" s="487"/>
      <c r="HC49" s="1"/>
      <c r="HD49" s="487"/>
      <c r="HE49" s="1"/>
      <c r="HF49" s="487"/>
      <c r="HG49" s="1"/>
      <c r="HH49" s="487"/>
      <c r="HI49" s="1"/>
      <c r="HJ49" s="487"/>
      <c r="HK49" s="1"/>
      <c r="HL49" s="487"/>
      <c r="HM49" s="1"/>
      <c r="HN49" s="487"/>
      <c r="HO49" s="1"/>
      <c r="HP49" s="487"/>
      <c r="HQ49" s="1"/>
      <c r="HR49" s="487"/>
      <c r="HS49" s="1"/>
      <c r="HT49" s="487"/>
      <c r="HU49" s="1"/>
      <c r="HV49" s="487"/>
      <c r="HW49" s="1"/>
      <c r="HX49" s="487"/>
      <c r="HY49" s="1"/>
      <c r="HZ49" s="487"/>
      <c r="IA49" s="1"/>
      <c r="IB49" s="487"/>
      <c r="IC49" s="1"/>
      <c r="ID49" s="487"/>
      <c r="IE49" s="1"/>
      <c r="IF49" s="487"/>
      <c r="IG49" s="1"/>
      <c r="IH49" s="487"/>
      <c r="II49" s="1"/>
      <c r="IJ49" s="487"/>
      <c r="IK49" s="1"/>
      <c r="IL49" s="487"/>
      <c r="IM49" s="1"/>
      <c r="IN49" s="487"/>
      <c r="IO49" s="1"/>
      <c r="IP49" s="487"/>
      <c r="IQ49" s="1"/>
      <c r="IR49" s="487"/>
      <c r="IS49" s="1"/>
      <c r="IT49" s="487"/>
      <c r="IU49" s="1"/>
      <c r="IV49" s="487"/>
      <c r="IW49" s="1"/>
      <c r="IX49" s="487"/>
      <c r="IY49" s="1"/>
      <c r="IZ49" s="487"/>
      <c r="JA49" s="1"/>
      <c r="JB49" s="487"/>
      <c r="JC49" s="1"/>
      <c r="JD49" s="487"/>
      <c r="JE49" s="1"/>
      <c r="JF49" s="487"/>
      <c r="JG49" s="1"/>
      <c r="JH49" s="487"/>
      <c r="JI49" s="1"/>
      <c r="JJ49" s="487"/>
      <c r="JK49" s="1"/>
      <c r="JL49" s="487"/>
      <c r="JM49" s="1"/>
      <c r="JN49" s="487"/>
      <c r="JO49" s="1"/>
      <c r="JP49" s="487"/>
      <c r="JQ49" s="1"/>
      <c r="JR49" s="487"/>
      <c r="JS49" s="1"/>
      <c r="JT49" s="487"/>
      <c r="JU49" s="1"/>
      <c r="JV49" s="487">
        <v>-9.06</v>
      </c>
      <c r="JW49" s="1">
        <v>0.5</v>
      </c>
      <c r="JX49" s="487"/>
      <c r="JY49" s="1"/>
      <c r="JZ49" s="487"/>
      <c r="KA49" s="1"/>
      <c r="KB49" s="487">
        <v>-2.120000000000001</v>
      </c>
      <c r="KC49" s="1">
        <v>0.5</v>
      </c>
      <c r="KD49" s="487">
        <v>14.100000000000001</v>
      </c>
      <c r="KE49" s="1">
        <v>1</v>
      </c>
      <c r="KF49" s="487">
        <v>-33.340000000000003</v>
      </c>
      <c r="KG49" s="1">
        <v>0.16666666666666666</v>
      </c>
      <c r="KH49" s="487">
        <v>1.06</v>
      </c>
      <c r="KI49" s="1">
        <v>1</v>
      </c>
      <c r="KJ49" s="487">
        <v>22.36</v>
      </c>
      <c r="KK49" s="1">
        <v>0.66666666666666663</v>
      </c>
      <c r="KL49" s="487">
        <v>-2.04</v>
      </c>
      <c r="KM49" s="1">
        <v>0.4</v>
      </c>
      <c r="KN49" s="487">
        <v>4.839999999999999</v>
      </c>
      <c r="KO49" s="1">
        <v>0.75</v>
      </c>
      <c r="KP49" s="487"/>
      <c r="KQ49" s="1"/>
      <c r="KR49" s="487">
        <v>-33.619999999999997</v>
      </c>
      <c r="KS49" s="1">
        <v>0.2</v>
      </c>
      <c r="KT49" s="487"/>
      <c r="KU49" s="1"/>
      <c r="KV49" s="487">
        <v>-25.6</v>
      </c>
      <c r="KW49" s="1">
        <v>0</v>
      </c>
      <c r="KX49" s="487">
        <v>15.079999999999998</v>
      </c>
      <c r="KY49" s="1">
        <v>0.8</v>
      </c>
      <c r="KZ49" s="487">
        <v>1.2799999999999994</v>
      </c>
      <c r="LA49" s="1">
        <v>0.5</v>
      </c>
      <c r="LB49" s="487">
        <v>8.56</v>
      </c>
      <c r="LC49" s="1">
        <v>1</v>
      </c>
      <c r="LD49" s="487">
        <v>-43.28</v>
      </c>
      <c r="LE49" s="1">
        <v>0.16666666666666666</v>
      </c>
      <c r="LF49" s="487">
        <v>-27.840000000000003</v>
      </c>
      <c r="LG49" s="1">
        <v>0.5</v>
      </c>
      <c r="LH49" s="487">
        <v>8.56</v>
      </c>
      <c r="LI49" s="1">
        <v>0.8</v>
      </c>
      <c r="LJ49" s="487"/>
      <c r="LK49" s="1"/>
      <c r="LL49" s="487"/>
      <c r="LM49" s="1"/>
      <c r="LN49" s="487">
        <v>-35.74</v>
      </c>
      <c r="LO49" s="1">
        <v>0.4</v>
      </c>
      <c r="LP49" s="487">
        <v>-44.96</v>
      </c>
      <c r="LQ49" s="1">
        <v>0</v>
      </c>
      <c r="LR49" s="487">
        <v>46.8</v>
      </c>
      <c r="LS49" s="1">
        <v>1</v>
      </c>
      <c r="LT49" s="487">
        <v>-17.82</v>
      </c>
      <c r="LU49" s="1">
        <v>0.66666666666666663</v>
      </c>
      <c r="LV49" s="487"/>
      <c r="LW49" s="1"/>
      <c r="LX49" s="487">
        <v>-26.740000000000002</v>
      </c>
      <c r="LY49" s="1">
        <v>0</v>
      </c>
      <c r="LZ49" s="487">
        <v>15.4</v>
      </c>
      <c r="MA49" s="1">
        <v>0.8</v>
      </c>
      <c r="MB49" s="487">
        <v>37.239999999999995</v>
      </c>
      <c r="MC49" s="1">
        <v>0.875</v>
      </c>
      <c r="MD49" s="487"/>
      <c r="ME49" s="1"/>
      <c r="MF49" s="487">
        <v>-7.379999999999999</v>
      </c>
      <c r="MG49" s="1">
        <v>0.66666666666666663</v>
      </c>
      <c r="MH49" s="487">
        <v>-5.94</v>
      </c>
      <c r="MI49" s="1">
        <v>0.5</v>
      </c>
      <c r="MJ49" s="487"/>
      <c r="MK49" s="1"/>
      <c r="ML49" s="487">
        <v>-23.060000000000002</v>
      </c>
      <c r="MM49" s="1">
        <v>0.33333333333333331</v>
      </c>
      <c r="MN49" s="487"/>
      <c r="MO49" s="1"/>
      <c r="MP49" s="487">
        <v>7.46</v>
      </c>
      <c r="MQ49" s="1">
        <v>1</v>
      </c>
      <c r="MR49" s="487"/>
      <c r="MS49" s="1"/>
      <c r="MT49" s="487">
        <v>-5.9999999999999609E-2</v>
      </c>
      <c r="MU49" s="1">
        <v>0.66666666666666663</v>
      </c>
      <c r="MV49" s="487">
        <v>21.759999999999998</v>
      </c>
      <c r="MW49" s="1">
        <v>1</v>
      </c>
      <c r="MX49" s="487">
        <v>21.880000000000003</v>
      </c>
      <c r="MY49" s="1">
        <v>1</v>
      </c>
      <c r="MZ49" s="487">
        <v>-2.7599999999999989</v>
      </c>
      <c r="NA49" s="1">
        <v>0.5</v>
      </c>
      <c r="NB49" s="487">
        <v>-111.72</v>
      </c>
      <c r="NC49" s="1">
        <v>0.2</v>
      </c>
      <c r="ND49" s="487"/>
      <c r="NE49" s="1"/>
      <c r="NF49" s="487">
        <v>-44.099999999999994</v>
      </c>
      <c r="NG49" s="1">
        <v>0.25</v>
      </c>
      <c r="NH49" s="487">
        <v>-44.099999999999994</v>
      </c>
      <c r="NI49" s="1">
        <v>0.25</v>
      </c>
      <c r="NJ49" s="487">
        <v>-7.0600000000000005</v>
      </c>
      <c r="NK49" s="1">
        <v>0.5</v>
      </c>
      <c r="NL49" s="487"/>
      <c r="NM49" s="1"/>
      <c r="NN49" s="487"/>
      <c r="NO49" s="1"/>
      <c r="NP49" s="487">
        <v>-5.4799999999999978</v>
      </c>
      <c r="NQ49" s="1">
        <v>0.66666666666666663</v>
      </c>
      <c r="NR49" s="487">
        <v>-42.66</v>
      </c>
      <c r="NS49" s="1">
        <v>0.33333333333333331</v>
      </c>
      <c r="NT49" s="487">
        <v>-12.400000000000002</v>
      </c>
      <c r="NU49" s="1">
        <v>0.5</v>
      </c>
      <c r="NV49" s="487">
        <v>-6.0200000000000005</v>
      </c>
      <c r="NW49" s="1">
        <v>0.5</v>
      </c>
      <c r="NX49" s="487">
        <v>-8.9400000000000013</v>
      </c>
      <c r="NY49" s="1">
        <v>0.5</v>
      </c>
      <c r="NZ49" s="487">
        <v>-35.339999999999996</v>
      </c>
      <c r="OA49" s="1">
        <v>0.16666666666666666</v>
      </c>
      <c r="OB49" s="487">
        <v>13.520000000000001</v>
      </c>
      <c r="OC49" s="1">
        <v>0.75</v>
      </c>
      <c r="OD49" s="487">
        <v>7.1</v>
      </c>
      <c r="OE49" s="1">
        <v>1</v>
      </c>
      <c r="OF49" s="487"/>
      <c r="OG49" s="1"/>
      <c r="OH49" s="487">
        <v>-5.24</v>
      </c>
      <c r="OI49" s="1">
        <v>0.5</v>
      </c>
      <c r="OJ49" s="487"/>
      <c r="OK49" s="1"/>
      <c r="OL49" s="487">
        <v>-39.18</v>
      </c>
      <c r="OM49" s="1">
        <v>0</v>
      </c>
      <c r="ON49" s="487"/>
      <c r="OO49" s="1"/>
      <c r="OP49" s="487">
        <v>35.78</v>
      </c>
      <c r="OQ49" s="1">
        <v>1</v>
      </c>
      <c r="OR49" s="487">
        <v>-37.08</v>
      </c>
      <c r="OS49" s="1">
        <v>0</v>
      </c>
      <c r="OT49" s="487">
        <v>-21.64</v>
      </c>
      <c r="OU49" s="1">
        <v>0</v>
      </c>
      <c r="OV49" s="487"/>
      <c r="OW49" s="1"/>
      <c r="OX49" s="487">
        <v>9.26</v>
      </c>
      <c r="OY49" s="1">
        <v>1</v>
      </c>
      <c r="OZ49" s="487">
        <v>-17.239999999999998</v>
      </c>
      <c r="PA49" s="1">
        <v>0.5</v>
      </c>
      <c r="PB49" s="487">
        <v>-23.18</v>
      </c>
      <c r="PC49" s="1">
        <v>0.33333333333333331</v>
      </c>
      <c r="PD49" s="487">
        <v>-11.36</v>
      </c>
      <c r="PE49" s="1">
        <v>0.5</v>
      </c>
      <c r="PF49" s="487">
        <v>32.700000000000003</v>
      </c>
      <c r="PG49" s="1">
        <v>1</v>
      </c>
      <c r="PH49" s="487">
        <v>6.14</v>
      </c>
      <c r="PI49" s="1">
        <v>0.66666666666666663</v>
      </c>
      <c r="PJ49" s="487"/>
      <c r="PK49" s="1"/>
      <c r="PL49" s="487"/>
      <c r="PM49" s="1"/>
      <c r="PN49" s="487"/>
      <c r="PO49" s="1"/>
      <c r="PP49" s="487">
        <v>20.740000000000002</v>
      </c>
      <c r="PQ49" s="1">
        <v>0.6</v>
      </c>
      <c r="PR49" s="487">
        <v>-58.78</v>
      </c>
      <c r="PS49" s="1">
        <v>0</v>
      </c>
      <c r="PT49" s="487">
        <v>38.180000000000007</v>
      </c>
      <c r="PU49" s="1">
        <v>0.9</v>
      </c>
      <c r="PV49" s="487">
        <v>-85.699999999999989</v>
      </c>
      <c r="PW49" s="1">
        <v>0.42857142857142855</v>
      </c>
      <c r="PX49" s="487">
        <v>21.66</v>
      </c>
      <c r="PY49" s="1">
        <v>1</v>
      </c>
      <c r="PZ49" s="487">
        <v>-35.399999999999991</v>
      </c>
      <c r="QA49" s="1">
        <v>0.5</v>
      </c>
      <c r="QB49" s="487">
        <v>-7.8800000000000026</v>
      </c>
      <c r="QC49" s="1">
        <v>0.7142857142857143</v>
      </c>
      <c r="QD49" s="487">
        <v>15.020000000000003</v>
      </c>
      <c r="QE49" s="1">
        <v>0.5714285714285714</v>
      </c>
      <c r="QF49" s="487">
        <v>-2.5799999999999983</v>
      </c>
      <c r="QG49" s="1">
        <v>0.5</v>
      </c>
      <c r="QH49" s="487">
        <v>8.68</v>
      </c>
      <c r="QI49" s="1">
        <v>0.66666666666666663</v>
      </c>
      <c r="QJ49" s="487">
        <v>-85.62</v>
      </c>
      <c r="QK49" s="1">
        <v>0.1111111111111111</v>
      </c>
      <c r="QL49" s="487">
        <v>21.48</v>
      </c>
      <c r="QM49" s="1">
        <v>1</v>
      </c>
      <c r="QN49" s="487">
        <v>6.8</v>
      </c>
      <c r="QO49" s="1">
        <v>0.66666666666666663</v>
      </c>
      <c r="QP49" s="487">
        <v>-3.0799999999999992</v>
      </c>
      <c r="QQ49" s="1">
        <v>0.75</v>
      </c>
      <c r="QR49" s="487">
        <v>-26</v>
      </c>
      <c r="QS49" s="1">
        <v>0</v>
      </c>
      <c r="QT49" s="487">
        <v>-1.62</v>
      </c>
      <c r="QU49" s="1">
        <v>0.6</v>
      </c>
      <c r="QV49" s="487">
        <v>4.58</v>
      </c>
      <c r="QW49" s="1">
        <v>0.5</v>
      </c>
      <c r="QX49" s="487">
        <v>-16.440000000000001</v>
      </c>
      <c r="QY49" s="1">
        <v>0</v>
      </c>
      <c r="QZ49" s="487"/>
      <c r="RA49" s="1"/>
      <c r="RB49" s="487">
        <v>-6.04</v>
      </c>
      <c r="RC49" s="1">
        <v>0.5</v>
      </c>
      <c r="RD49" s="487">
        <v>-35.82</v>
      </c>
      <c r="RE49" s="1">
        <v>0.33333333333333331</v>
      </c>
      <c r="RF49" s="487">
        <v>0.24000000000000021</v>
      </c>
      <c r="RG49" s="1">
        <v>0.66666666666666663</v>
      </c>
      <c r="RH49" s="487">
        <v>-13.379999999999999</v>
      </c>
      <c r="RI49" s="1">
        <v>0.33333333333333331</v>
      </c>
      <c r="RJ49" s="487">
        <v>5.36</v>
      </c>
      <c r="RK49" s="1">
        <v>0.66666666666666663</v>
      </c>
      <c r="RL49" s="487"/>
      <c r="RM49" s="1"/>
      <c r="RN49" s="487">
        <v>-18.32</v>
      </c>
      <c r="RO49" s="1">
        <v>0.33333333333333331</v>
      </c>
      <c r="RP49" s="487">
        <v>4.879999999999999</v>
      </c>
      <c r="RQ49" s="1">
        <v>0.66666666666666663</v>
      </c>
      <c r="RR49" s="487">
        <v>-21.2</v>
      </c>
      <c r="RS49" s="1">
        <v>0</v>
      </c>
      <c r="RT49" s="487"/>
      <c r="RU49" s="1"/>
      <c r="RV49" s="487">
        <v>-70.759999999999977</v>
      </c>
      <c r="RW49" s="1">
        <v>0.375</v>
      </c>
      <c r="RX49" s="487">
        <v>3.2400000000000011</v>
      </c>
      <c r="RY49" s="1">
        <v>0.66666666666666663</v>
      </c>
      <c r="RZ49" s="487">
        <v>16.899999999999999</v>
      </c>
      <c r="SA49" s="1">
        <v>0.8</v>
      </c>
      <c r="SB49" s="487">
        <v>-60.760000000000005</v>
      </c>
      <c r="SC49" s="1">
        <v>0</v>
      </c>
      <c r="SD49" s="487"/>
      <c r="SE49" s="1"/>
      <c r="SF49" s="487">
        <v>11.46</v>
      </c>
      <c r="SG49" s="1">
        <v>0.75</v>
      </c>
      <c r="SH49" s="487"/>
      <c r="SI49" s="1"/>
      <c r="SJ49" s="487">
        <v>-2.5499999999999998</v>
      </c>
      <c r="SK49" s="1">
        <v>0</v>
      </c>
      <c r="SL49" s="487">
        <v>-31.5</v>
      </c>
      <c r="SM49" s="1">
        <v>0.33333333333333331</v>
      </c>
      <c r="SN49" s="487">
        <v>-5.34</v>
      </c>
      <c r="SO49" s="1">
        <v>0.5</v>
      </c>
      <c r="SP49" s="487"/>
      <c r="SQ49" s="1"/>
      <c r="SR49" s="487">
        <v>14.219999999999999</v>
      </c>
      <c r="SS49" s="1">
        <v>1</v>
      </c>
      <c r="ST49" s="487">
        <v>-27.7</v>
      </c>
      <c r="SU49" s="1">
        <v>0</v>
      </c>
      <c r="SV49" s="487">
        <v>-0.46</v>
      </c>
      <c r="SW49" s="1">
        <v>0</v>
      </c>
      <c r="SX49" s="487"/>
      <c r="SY49" s="1"/>
      <c r="SZ49" s="487"/>
      <c r="TA49" s="1"/>
      <c r="TB49" s="487"/>
      <c r="TC49" s="1"/>
      <c r="TD49" s="487">
        <v>3.94</v>
      </c>
      <c r="TE49" s="1">
        <v>0.75</v>
      </c>
      <c r="TF49" s="487"/>
      <c r="TG49" s="1"/>
      <c r="TH49" s="488"/>
      <c r="TI49" s="1"/>
      <c r="TJ49" s="489"/>
      <c r="TK49" s="1"/>
      <c r="TL49" s="490"/>
      <c r="TM49" s="1"/>
      <c r="TN49" s="495"/>
      <c r="TO49" s="1"/>
      <c r="TP49" s="500">
        <v>20.9</v>
      </c>
      <c r="TQ49" s="1">
        <v>1</v>
      </c>
      <c r="TR49" s="511">
        <v>13.96</v>
      </c>
      <c r="TS49" s="1">
        <v>1</v>
      </c>
      <c r="TT49" s="515">
        <v>6.5</v>
      </c>
      <c r="TU49" s="1">
        <v>1</v>
      </c>
      <c r="TV49" s="518"/>
      <c r="TW49" s="1"/>
      <c r="TX49" s="521"/>
      <c r="TY49" s="1"/>
      <c r="TZ49" s="524"/>
      <c r="UA49" s="1"/>
      <c r="UB49" s="527"/>
      <c r="UC49" s="1"/>
      <c r="UD49" s="530"/>
      <c r="UE49" s="1"/>
      <c r="UF49" s="533">
        <v>7.44</v>
      </c>
      <c r="UG49" s="1">
        <v>1</v>
      </c>
      <c r="UH49" s="536">
        <v>14.16</v>
      </c>
      <c r="UI49" s="1">
        <v>1</v>
      </c>
      <c r="UJ49" s="539">
        <v>16.66</v>
      </c>
      <c r="UK49" s="1">
        <v>1</v>
      </c>
      <c r="UL49" s="540">
        <v>-8.5399999999999991</v>
      </c>
      <c r="UM49" s="1">
        <v>0</v>
      </c>
      <c r="UN49" s="543">
        <v>8.98</v>
      </c>
      <c r="UO49" s="1">
        <v>0.66666666666666663</v>
      </c>
      <c r="UP49" s="544">
        <v>7.16</v>
      </c>
      <c r="UQ49" s="1">
        <v>1</v>
      </c>
      <c r="UR49" s="551">
        <v>12.02</v>
      </c>
      <c r="US49" s="1">
        <v>1</v>
      </c>
      <c r="UT49" s="551">
        <v>3.2399999999999993</v>
      </c>
      <c r="UU49" s="1">
        <v>0.6</v>
      </c>
      <c r="UV49" s="562"/>
      <c r="UW49" s="1"/>
      <c r="UX49" s="566"/>
      <c r="UY49" s="1"/>
      <c r="UZ49" s="568"/>
      <c r="VA49" s="1"/>
      <c r="VB49" s="572">
        <v>6.2</v>
      </c>
      <c r="VC49" s="1">
        <v>0.4</v>
      </c>
      <c r="VD49" s="576">
        <v>-6.419999999999999</v>
      </c>
      <c r="VE49" s="1">
        <v>0.5</v>
      </c>
      <c r="VF49" s="580">
        <v>-33.5</v>
      </c>
      <c r="VG49" s="1">
        <v>0</v>
      </c>
      <c r="VH49" s="584"/>
      <c r="VI49" s="1"/>
      <c r="VJ49" s="589"/>
      <c r="VK49" s="1"/>
      <c r="VL49" s="593">
        <v>-37.159999999999997</v>
      </c>
      <c r="VM49" s="1">
        <v>0</v>
      </c>
      <c r="VN49" s="597"/>
      <c r="VO49" s="1"/>
      <c r="VP49" s="601"/>
      <c r="VQ49" s="1"/>
      <c r="VR49" s="603"/>
      <c r="VS49" s="1"/>
      <c r="VT49" s="607"/>
      <c r="VU49" s="1"/>
      <c r="VV49" s="609">
        <v>28.58</v>
      </c>
      <c r="VW49" s="1">
        <v>1</v>
      </c>
      <c r="VX49" s="613">
        <v>1.7800000000000011</v>
      </c>
      <c r="VY49" s="1">
        <v>0.75</v>
      </c>
      <c r="VZ49" s="617">
        <v>1.6599999999999993</v>
      </c>
      <c r="WA49" s="1">
        <v>0.5</v>
      </c>
      <c r="WB49" s="619"/>
      <c r="WC49" s="1"/>
      <c r="WD49" s="624"/>
      <c r="WE49" s="1"/>
      <c r="WF49" s="626">
        <v>-9.86</v>
      </c>
      <c r="WG49" s="1">
        <v>0.25</v>
      </c>
      <c r="WH49" s="630">
        <v>-13.08</v>
      </c>
      <c r="WI49" s="1">
        <v>0</v>
      </c>
      <c r="WJ49" s="636">
        <v>-17.36</v>
      </c>
      <c r="WK49" s="1">
        <v>0.33333333333333331</v>
      </c>
      <c r="WL49" s="638">
        <v>7.02</v>
      </c>
      <c r="WM49" s="1">
        <v>1</v>
      </c>
      <c r="WN49" s="642">
        <v>10.360000000000001</v>
      </c>
      <c r="WO49" s="1">
        <v>0.75</v>
      </c>
      <c r="WP49" s="646"/>
      <c r="WQ49" s="1"/>
      <c r="WR49" s="652">
        <v>-2.5599999999999987</v>
      </c>
      <c r="WS49" s="1">
        <v>0.5</v>
      </c>
      <c r="WT49" s="659"/>
      <c r="WU49" s="1"/>
      <c r="WV49" s="659">
        <v>6.1400000000000006</v>
      </c>
      <c r="WW49" s="1">
        <v>0.5</v>
      </c>
      <c r="WX49" s="672"/>
      <c r="WY49" s="1"/>
      <c r="WZ49" s="677"/>
      <c r="XA49" s="1"/>
      <c r="XB49" s="681"/>
      <c r="XC49" s="1"/>
      <c r="XD49" s="683"/>
      <c r="XE49" s="1"/>
      <c r="XF49" s="687"/>
      <c r="XG49" s="1"/>
      <c r="XH49" s="689">
        <v>9.2599999999999962</v>
      </c>
      <c r="XI49" s="1">
        <v>0.5</v>
      </c>
      <c r="XJ49" s="696"/>
      <c r="XK49" s="1"/>
      <c r="XL49" s="696">
        <v>-10.940000000000001</v>
      </c>
      <c r="XM49" s="1">
        <v>0.33333333333333331</v>
      </c>
      <c r="XN49" s="696"/>
      <c r="XO49" s="1"/>
      <c r="XP49" s="700"/>
      <c r="XQ49" s="1"/>
      <c r="XR49" s="705">
        <v>10.660000000000002</v>
      </c>
      <c r="XS49" s="1">
        <v>0.6</v>
      </c>
      <c r="XT49" s="709">
        <v>2.5599999999999996</v>
      </c>
      <c r="XU49" s="1">
        <v>0.5</v>
      </c>
      <c r="XV49" s="715"/>
      <c r="XW49" s="1"/>
    </row>
    <row r="50" spans="2:647" x14ac:dyDescent="0.25">
      <c r="B50" s="755"/>
      <c r="C50" s="760"/>
      <c r="D50" s="755" t="s">
        <v>48</v>
      </c>
      <c r="E50" s="755"/>
      <c r="F50" s="482">
        <v>0.6</v>
      </c>
      <c r="G50" s="475" t="s">
        <v>42</v>
      </c>
      <c r="H50" s="6"/>
      <c r="I50" s="6"/>
      <c r="J50" s="6"/>
      <c r="K50" s="6"/>
      <c r="L50" s="6"/>
      <c r="M50" s="6"/>
      <c r="N50" s="6"/>
      <c r="O50" s="6"/>
      <c r="P50" s="6"/>
      <c r="Q50" s="6"/>
      <c r="R50" s="6"/>
      <c r="S50" s="6"/>
      <c r="T50" s="6"/>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c r="CA50" s="6"/>
      <c r="CB50" s="6"/>
      <c r="CC50" s="6"/>
      <c r="CD50" s="6"/>
      <c r="CE50" s="6"/>
      <c r="CF50" s="6"/>
      <c r="CG50" s="6"/>
      <c r="CH50" s="6"/>
      <c r="CI50" s="6"/>
      <c r="CJ50" s="6"/>
      <c r="CK50" s="6"/>
      <c r="CL50" s="6"/>
      <c r="CM50" s="6"/>
      <c r="CN50" s="6"/>
      <c r="CO50" s="6"/>
      <c r="CP50" s="6"/>
      <c r="CQ50" s="6"/>
      <c r="CR50" s="6"/>
      <c r="CS50" s="6"/>
      <c r="CT50" s="6"/>
      <c r="CU50" s="6"/>
      <c r="CV50" s="6"/>
      <c r="CW50" s="6"/>
      <c r="CX50" s="6"/>
      <c r="CY50" s="6"/>
      <c r="CZ50" s="6"/>
      <c r="DA50" s="6"/>
      <c r="DB50" s="6"/>
      <c r="DC50" s="6"/>
      <c r="DD50" s="6"/>
      <c r="DE50" s="6"/>
      <c r="DF50" s="6"/>
      <c r="DG50" s="6"/>
      <c r="DH50" s="6"/>
      <c r="DI50" s="6"/>
      <c r="DJ50" s="6"/>
      <c r="DK50" s="6"/>
      <c r="DL50" s="6"/>
      <c r="DM50" s="6"/>
      <c r="DN50" s="6"/>
      <c r="DO50" s="6"/>
      <c r="DP50" s="6"/>
      <c r="DQ50" s="6"/>
      <c r="DR50" s="6"/>
      <c r="DS50" s="6"/>
      <c r="DT50" s="6"/>
      <c r="DU50" s="6"/>
      <c r="DV50" s="6"/>
      <c r="DW50" s="6"/>
      <c r="DX50" s="6"/>
      <c r="DY50" s="6"/>
      <c r="DZ50" s="6"/>
      <c r="EA50" s="6"/>
      <c r="EB50" s="6"/>
      <c r="EC50" s="6"/>
      <c r="ED50" s="6"/>
      <c r="EE50" s="6"/>
      <c r="EF50" s="6"/>
      <c r="EG50" s="6"/>
      <c r="EH50" s="6"/>
      <c r="EI50" s="6"/>
      <c r="EJ50" s="6"/>
      <c r="EK50" s="6"/>
      <c r="EL50" s="6"/>
      <c r="EM50" s="6"/>
      <c r="EN50" s="6"/>
      <c r="EO50" s="6"/>
      <c r="EP50" s="6"/>
      <c r="EQ50" s="6"/>
      <c r="ER50" s="487"/>
      <c r="ES50" s="1"/>
      <c r="ET50" s="487"/>
      <c r="EU50" s="1"/>
      <c r="EV50" s="487"/>
      <c r="EW50" s="1"/>
      <c r="EX50" s="487"/>
      <c r="EY50" s="1"/>
      <c r="EZ50" s="487"/>
      <c r="FA50" s="1"/>
      <c r="FB50" s="487"/>
      <c r="FC50" s="1"/>
      <c r="FD50" s="487"/>
      <c r="FE50" s="1"/>
      <c r="FF50" s="487"/>
      <c r="FG50" s="1"/>
      <c r="FH50" s="487"/>
      <c r="FI50" s="1"/>
      <c r="FJ50" s="487"/>
      <c r="FK50" s="1"/>
      <c r="FL50" s="487"/>
      <c r="FM50" s="1"/>
      <c r="FN50" s="487"/>
      <c r="FO50" s="1"/>
      <c r="FP50" s="487"/>
      <c r="FQ50" s="1"/>
      <c r="FR50" s="487"/>
      <c r="FS50" s="1"/>
      <c r="FT50" s="487"/>
      <c r="FU50" s="1"/>
      <c r="FV50" s="487"/>
      <c r="FW50" s="1"/>
      <c r="FX50" s="487"/>
      <c r="FY50" s="1"/>
      <c r="FZ50" s="487"/>
      <c r="GA50" s="1"/>
      <c r="GB50" s="487"/>
      <c r="GC50" s="1"/>
      <c r="GD50" s="487"/>
      <c r="GE50" s="1"/>
      <c r="GF50" s="487"/>
      <c r="GG50" s="1"/>
      <c r="GH50" s="487"/>
      <c r="GI50" s="1"/>
      <c r="GJ50" s="487"/>
      <c r="GK50" s="1"/>
      <c r="GL50" s="487"/>
      <c r="GM50" s="1"/>
      <c r="GN50" s="487"/>
      <c r="GO50" s="1"/>
      <c r="GP50" s="487"/>
      <c r="GQ50" s="1"/>
      <c r="GR50" s="487"/>
      <c r="GS50" s="1"/>
      <c r="GT50" s="487"/>
      <c r="GU50" s="1"/>
      <c r="GV50" s="487"/>
      <c r="GW50" s="1"/>
      <c r="GX50" s="487"/>
      <c r="GY50" s="1"/>
      <c r="GZ50" s="487"/>
      <c r="HA50" s="1"/>
      <c r="HB50" s="487"/>
      <c r="HC50" s="1"/>
      <c r="HD50" s="487"/>
      <c r="HE50" s="1"/>
      <c r="HF50" s="487"/>
      <c r="HG50" s="1"/>
      <c r="HH50" s="487"/>
      <c r="HI50" s="1"/>
      <c r="HJ50" s="487"/>
      <c r="HK50" s="1"/>
      <c r="HL50" s="487"/>
      <c r="HM50" s="1"/>
      <c r="HN50" s="487"/>
      <c r="HO50" s="1"/>
      <c r="HP50" s="487"/>
      <c r="HQ50" s="1"/>
      <c r="HR50" s="487"/>
      <c r="HS50" s="1"/>
      <c r="HT50" s="487"/>
      <c r="HU50" s="1"/>
      <c r="HV50" s="487"/>
      <c r="HW50" s="1"/>
      <c r="HX50" s="487"/>
      <c r="HY50" s="1"/>
      <c r="HZ50" s="487"/>
      <c r="IA50" s="1"/>
      <c r="IB50" s="487"/>
      <c r="IC50" s="1"/>
      <c r="ID50" s="487"/>
      <c r="IE50" s="1"/>
      <c r="IF50" s="487"/>
      <c r="IG50" s="1"/>
      <c r="IH50" s="487"/>
      <c r="II50" s="1"/>
      <c r="IJ50" s="487"/>
      <c r="IK50" s="1"/>
      <c r="IL50" s="487"/>
      <c r="IM50" s="1"/>
      <c r="IN50" s="487"/>
      <c r="IO50" s="1"/>
      <c r="IP50" s="487"/>
      <c r="IQ50" s="1"/>
      <c r="IR50" s="487"/>
      <c r="IS50" s="1"/>
      <c r="IT50" s="487"/>
      <c r="IU50" s="1"/>
      <c r="IV50" s="487"/>
      <c r="IW50" s="1"/>
      <c r="IX50" s="487"/>
      <c r="IY50" s="1"/>
      <c r="IZ50" s="487"/>
      <c r="JA50" s="1"/>
      <c r="JB50" s="487"/>
      <c r="JC50" s="1"/>
      <c r="JD50" s="487"/>
      <c r="JE50" s="1"/>
      <c r="JF50" s="487"/>
      <c r="JG50" s="1"/>
      <c r="JH50" s="487"/>
      <c r="JI50" s="1"/>
      <c r="JJ50" s="487"/>
      <c r="JK50" s="1"/>
      <c r="JL50" s="487"/>
      <c r="JM50" s="1"/>
      <c r="JN50" s="487"/>
      <c r="JO50" s="1"/>
      <c r="JP50" s="487"/>
      <c r="JQ50" s="1"/>
      <c r="JR50" s="487"/>
      <c r="JS50" s="1"/>
      <c r="JT50" s="487"/>
      <c r="JU50" s="1"/>
      <c r="JV50" s="487"/>
      <c r="JW50" s="1"/>
      <c r="JX50" s="487"/>
      <c r="JY50" s="1"/>
      <c r="JZ50" s="487"/>
      <c r="KA50" s="1"/>
      <c r="KB50" s="487"/>
      <c r="KC50" s="1"/>
      <c r="KD50" s="487"/>
      <c r="KE50" s="1"/>
      <c r="KF50" s="487"/>
      <c r="KG50" s="1"/>
      <c r="KH50" s="487"/>
      <c r="KI50" s="1"/>
      <c r="KJ50" s="487"/>
      <c r="KK50" s="1"/>
      <c r="KL50" s="487"/>
      <c r="KM50" s="1"/>
      <c r="KN50" s="487"/>
      <c r="KO50" s="1"/>
      <c r="KP50" s="487"/>
      <c r="KQ50" s="1"/>
      <c r="KR50" s="487"/>
      <c r="KS50" s="1"/>
      <c r="KT50" s="487"/>
      <c r="KU50" s="1"/>
      <c r="KV50" s="487"/>
      <c r="KW50" s="1"/>
      <c r="KX50" s="487"/>
      <c r="KY50" s="1"/>
      <c r="KZ50" s="487"/>
      <c r="LA50" s="1"/>
      <c r="LB50" s="487"/>
      <c r="LC50" s="1"/>
      <c r="LD50" s="487"/>
      <c r="LE50" s="1"/>
      <c r="LF50" s="487"/>
      <c r="LG50" s="1"/>
      <c r="LH50" s="487"/>
      <c r="LI50" s="1"/>
      <c r="LJ50" s="487"/>
      <c r="LK50" s="1"/>
      <c r="LL50" s="487"/>
      <c r="LM50" s="1"/>
      <c r="LN50" s="487"/>
      <c r="LO50" s="1"/>
      <c r="LP50" s="487">
        <v>6.6166666666666663</v>
      </c>
      <c r="LQ50" s="1">
        <v>0.75</v>
      </c>
      <c r="LR50" s="487"/>
      <c r="LS50" s="1"/>
      <c r="LT50" s="487">
        <v>-14.866666666666667</v>
      </c>
      <c r="LU50" s="1">
        <v>0</v>
      </c>
      <c r="LV50" s="487">
        <v>8.1166666666666671</v>
      </c>
      <c r="LW50" s="1">
        <v>1</v>
      </c>
      <c r="LX50" s="487"/>
      <c r="LY50" s="1"/>
      <c r="LZ50" s="487"/>
      <c r="MA50" s="1"/>
      <c r="MB50" s="487"/>
      <c r="MC50" s="1"/>
      <c r="MD50" s="487"/>
      <c r="ME50" s="1"/>
      <c r="MF50" s="487"/>
      <c r="MG50" s="1"/>
      <c r="MH50" s="487"/>
      <c r="MI50" s="1"/>
      <c r="MJ50" s="487"/>
      <c r="MK50" s="1"/>
      <c r="ML50" s="487"/>
      <c r="MM50" s="1"/>
      <c r="MN50" s="487"/>
      <c r="MO50" s="1"/>
      <c r="MP50" s="487"/>
      <c r="MQ50" s="1"/>
      <c r="MR50" s="487">
        <v>7.25</v>
      </c>
      <c r="MS50" s="1">
        <v>1</v>
      </c>
      <c r="MT50" s="487"/>
      <c r="MU50" s="1"/>
      <c r="MV50" s="487"/>
      <c r="MW50" s="1"/>
      <c r="MX50" s="487">
        <v>-17.083333333333336</v>
      </c>
      <c r="MY50" s="1">
        <v>0</v>
      </c>
      <c r="MZ50" s="487">
        <v>-8.3333333333334522E-2</v>
      </c>
      <c r="NA50" s="1">
        <v>0.66666666666666663</v>
      </c>
      <c r="NB50" s="487">
        <v>6.9333333333333336</v>
      </c>
      <c r="NC50" s="1">
        <v>1</v>
      </c>
      <c r="ND50" s="487"/>
      <c r="NE50" s="1"/>
      <c r="NF50" s="487">
        <v>7.0500000000000007</v>
      </c>
      <c r="NG50" s="1">
        <v>1</v>
      </c>
      <c r="NH50" s="487">
        <v>7.0500000000000007</v>
      </c>
      <c r="NI50" s="1">
        <v>1</v>
      </c>
      <c r="NJ50" s="487">
        <v>6.6166666666666671</v>
      </c>
      <c r="NK50" s="1">
        <v>1</v>
      </c>
      <c r="NL50" s="487"/>
      <c r="NM50" s="1"/>
      <c r="NN50" s="487"/>
      <c r="NO50" s="1"/>
      <c r="NP50" s="487">
        <v>-15.016666666666667</v>
      </c>
      <c r="NQ50" s="1">
        <v>0</v>
      </c>
      <c r="NR50" s="487">
        <v>7.0666666666666673</v>
      </c>
      <c r="NS50" s="1">
        <v>1</v>
      </c>
      <c r="NT50" s="487"/>
      <c r="NU50" s="1"/>
      <c r="NV50" s="487"/>
      <c r="NW50" s="1"/>
      <c r="NX50" s="487">
        <v>-6.4333333333333336</v>
      </c>
      <c r="NY50" s="1">
        <v>0</v>
      </c>
      <c r="NZ50" s="487"/>
      <c r="OA50" s="1"/>
      <c r="OB50" s="487">
        <v>7.0500000000000007</v>
      </c>
      <c r="OC50" s="1">
        <v>1</v>
      </c>
      <c r="OD50" s="487"/>
      <c r="OE50" s="1"/>
      <c r="OF50" s="487">
        <v>7.9</v>
      </c>
      <c r="OG50" s="1">
        <v>1</v>
      </c>
      <c r="OH50" s="487"/>
      <c r="OI50" s="1"/>
      <c r="OJ50" s="487"/>
      <c r="OK50" s="1"/>
      <c r="OL50" s="487">
        <v>7.1166666666666663</v>
      </c>
      <c r="OM50" s="1">
        <v>1</v>
      </c>
      <c r="ON50" s="487"/>
      <c r="OO50" s="1"/>
      <c r="OP50" s="487"/>
      <c r="OQ50" s="1"/>
      <c r="OR50" s="487">
        <v>-7.6333333333333337</v>
      </c>
      <c r="OS50" s="1">
        <v>0</v>
      </c>
      <c r="OT50" s="487"/>
      <c r="OU50" s="1"/>
      <c r="OV50" s="487"/>
      <c r="OW50" s="1"/>
      <c r="OX50" s="487">
        <v>-8.8333333333333357</v>
      </c>
      <c r="OY50" s="1">
        <v>0.5</v>
      </c>
      <c r="OZ50" s="487"/>
      <c r="PA50" s="1"/>
      <c r="PB50" s="487"/>
      <c r="PC50" s="1"/>
      <c r="PD50" s="487">
        <v>13.466666666666667</v>
      </c>
      <c r="PE50" s="1">
        <v>0.66666666666666663</v>
      </c>
      <c r="PF50" s="487"/>
      <c r="PG50" s="1"/>
      <c r="PH50" s="487">
        <v>11.816666666666666</v>
      </c>
      <c r="PI50" s="1">
        <v>0.66666666666666663</v>
      </c>
      <c r="PJ50" s="487"/>
      <c r="PK50" s="1"/>
      <c r="PL50" s="487"/>
      <c r="PM50" s="1"/>
      <c r="PN50" s="487"/>
      <c r="PO50" s="1"/>
      <c r="PP50" s="487">
        <v>7.7500000000000009</v>
      </c>
      <c r="PQ50" s="1">
        <v>1</v>
      </c>
      <c r="PR50" s="487"/>
      <c r="PS50" s="1"/>
      <c r="PT50" s="487">
        <v>-10.433333333333334</v>
      </c>
      <c r="PU50" s="1">
        <v>0</v>
      </c>
      <c r="PV50" s="487">
        <v>-7.8166666666666664</v>
      </c>
      <c r="PW50" s="1">
        <v>0.5</v>
      </c>
      <c r="PX50" s="487">
        <v>-16.05</v>
      </c>
      <c r="PY50" s="1">
        <v>0.5</v>
      </c>
      <c r="PZ50" s="487">
        <v>-5.3833333333333337</v>
      </c>
      <c r="QA50" s="1">
        <v>0</v>
      </c>
      <c r="QB50" s="487">
        <v>-16.433333333333337</v>
      </c>
      <c r="QC50" s="1">
        <v>0.5</v>
      </c>
      <c r="QD50" s="487">
        <v>7.5166666666666666</v>
      </c>
      <c r="QE50" s="1">
        <v>1</v>
      </c>
      <c r="QF50" s="487"/>
      <c r="QG50" s="1"/>
      <c r="QH50" s="487">
        <v>7.4833333333333343</v>
      </c>
      <c r="QI50" s="1">
        <v>1</v>
      </c>
      <c r="QJ50" s="487">
        <v>10.65</v>
      </c>
      <c r="QK50" s="1">
        <v>0.75</v>
      </c>
      <c r="QL50" s="487">
        <v>-1.6833333333333331</v>
      </c>
      <c r="QM50" s="1">
        <v>0.4</v>
      </c>
      <c r="QN50" s="487">
        <v>-4.4666666666666668</v>
      </c>
      <c r="QO50" s="1">
        <v>0</v>
      </c>
      <c r="QP50" s="487">
        <v>-1.3166666666666669</v>
      </c>
      <c r="QQ50" s="1">
        <v>0</v>
      </c>
      <c r="QR50" s="487">
        <v>-15</v>
      </c>
      <c r="QS50" s="1">
        <v>0</v>
      </c>
      <c r="QT50" s="487"/>
      <c r="QU50" s="1"/>
      <c r="QV50" s="487">
        <v>8.3333333333333343E-2</v>
      </c>
      <c r="QW50" s="1">
        <v>1</v>
      </c>
      <c r="QX50" s="487">
        <v>-1.6333333333333333</v>
      </c>
      <c r="QY50" s="1">
        <v>0</v>
      </c>
      <c r="QZ50" s="487"/>
      <c r="RA50" s="1"/>
      <c r="RB50" s="487"/>
      <c r="RC50" s="1"/>
      <c r="RD50" s="487">
        <v>-3.7666666666666666</v>
      </c>
      <c r="RE50" s="1">
        <v>0</v>
      </c>
      <c r="RF50" s="487">
        <v>-8.8833333333333346</v>
      </c>
      <c r="RG50" s="1">
        <v>0</v>
      </c>
      <c r="RH50" s="487"/>
      <c r="RI50" s="1"/>
      <c r="RJ50" s="487">
        <v>-14.816666666666668</v>
      </c>
      <c r="RK50" s="1">
        <v>0.25</v>
      </c>
      <c r="RL50" s="487"/>
      <c r="RM50" s="1"/>
      <c r="RN50" s="487">
        <v>-17.75</v>
      </c>
      <c r="RO50" s="1">
        <v>0</v>
      </c>
      <c r="RP50" s="487"/>
      <c r="RQ50" s="1"/>
      <c r="RR50" s="487">
        <v>-15.250000000000002</v>
      </c>
      <c r="RS50" s="1">
        <v>0</v>
      </c>
      <c r="RT50" s="487"/>
      <c r="RU50" s="1"/>
      <c r="RV50" s="487">
        <v>-45.55</v>
      </c>
      <c r="RW50" s="1">
        <v>0</v>
      </c>
      <c r="RX50" s="487">
        <v>7.0833333333333339</v>
      </c>
      <c r="RY50" s="1">
        <v>1</v>
      </c>
      <c r="RZ50" s="487">
        <v>-12.616666666666665</v>
      </c>
      <c r="SA50" s="1">
        <v>0.25</v>
      </c>
      <c r="SB50" s="487">
        <v>6.1499999999999968</v>
      </c>
      <c r="SC50" s="1">
        <v>0.6</v>
      </c>
      <c r="SD50" s="487"/>
      <c r="SE50" s="1"/>
      <c r="SF50" s="487">
        <v>-31.866666666666664</v>
      </c>
      <c r="SG50" s="1">
        <v>0.25</v>
      </c>
      <c r="SH50" s="487"/>
      <c r="SI50" s="1"/>
      <c r="SJ50" s="487">
        <v>-2.6333333333333337</v>
      </c>
      <c r="SK50" s="1">
        <v>0</v>
      </c>
      <c r="SL50" s="487">
        <v>-14.433333333333334</v>
      </c>
      <c r="SM50" s="1">
        <v>0.25</v>
      </c>
      <c r="SN50" s="487">
        <v>6.9166666666666679</v>
      </c>
      <c r="SO50" s="1">
        <v>1</v>
      </c>
      <c r="SP50" s="487"/>
      <c r="SQ50" s="1"/>
      <c r="SR50" s="487">
        <v>6.8833333333333337</v>
      </c>
      <c r="SS50" s="1">
        <v>1</v>
      </c>
      <c r="ST50" s="487"/>
      <c r="SU50" s="1"/>
      <c r="SV50" s="487"/>
      <c r="SW50" s="1"/>
      <c r="SX50" s="487"/>
      <c r="SY50" s="1"/>
      <c r="SZ50" s="487"/>
      <c r="TA50" s="1"/>
      <c r="TB50" s="487"/>
      <c r="TC50" s="1"/>
      <c r="TD50" s="487"/>
      <c r="TE50" s="1"/>
      <c r="TF50" s="487"/>
      <c r="TG50" s="1"/>
      <c r="TH50" s="488"/>
      <c r="TI50" s="1"/>
      <c r="TJ50" s="489">
        <v>-25.333333333333339</v>
      </c>
      <c r="TK50" s="1">
        <v>0.33333333333333331</v>
      </c>
      <c r="TL50" s="490"/>
      <c r="TM50" s="1"/>
      <c r="TN50" s="495"/>
      <c r="TO50" s="1"/>
      <c r="TP50" s="500"/>
      <c r="TQ50" s="1"/>
      <c r="TR50" s="511">
        <v>-15.016666666666667</v>
      </c>
      <c r="TS50" s="1">
        <v>0</v>
      </c>
      <c r="TT50" s="515">
        <v>-4.3499999999999996</v>
      </c>
      <c r="TU50" s="1">
        <v>0</v>
      </c>
      <c r="TV50" s="518"/>
      <c r="TW50" s="1"/>
      <c r="TX50" s="521"/>
      <c r="TY50" s="1"/>
      <c r="TZ50" s="524"/>
      <c r="UA50" s="1"/>
      <c r="UB50" s="527"/>
      <c r="UC50" s="1"/>
      <c r="UD50" s="530"/>
      <c r="UE50" s="1"/>
      <c r="UF50" s="533">
        <v>-8.1</v>
      </c>
      <c r="UG50" s="1">
        <v>0.5</v>
      </c>
      <c r="UH50" s="536">
        <v>-15.15</v>
      </c>
      <c r="UI50" s="1">
        <v>0</v>
      </c>
      <c r="UJ50" s="539">
        <v>13.883333333333335</v>
      </c>
      <c r="UK50" s="1">
        <v>1</v>
      </c>
      <c r="UL50" s="540"/>
      <c r="UM50" s="1"/>
      <c r="UN50" s="543">
        <v>7.25</v>
      </c>
      <c r="UO50" s="1">
        <v>1</v>
      </c>
      <c r="UP50" s="544"/>
      <c r="UQ50" s="1"/>
      <c r="UR50" s="551">
        <v>1.5166666666666677</v>
      </c>
      <c r="US50" s="1">
        <v>0.5</v>
      </c>
      <c r="UT50" s="551">
        <v>-12.266666666666667</v>
      </c>
      <c r="UU50" s="1">
        <v>0</v>
      </c>
      <c r="UV50" s="562"/>
      <c r="UW50" s="1"/>
      <c r="UX50" s="566">
        <v>7.0166666666666666</v>
      </c>
      <c r="UY50" s="1">
        <v>1</v>
      </c>
      <c r="UZ50" s="568"/>
      <c r="VA50" s="1"/>
      <c r="VB50" s="572">
        <v>14.166666666666668</v>
      </c>
      <c r="VC50" s="1">
        <v>1</v>
      </c>
      <c r="VD50" s="576">
        <v>-10.65</v>
      </c>
      <c r="VE50" s="1">
        <v>0</v>
      </c>
      <c r="VF50" s="580">
        <v>0.85000000000000042</v>
      </c>
      <c r="VG50" s="1">
        <v>0.5</v>
      </c>
      <c r="VH50" s="584"/>
      <c r="VI50" s="1"/>
      <c r="VJ50" s="589"/>
      <c r="VK50" s="1"/>
      <c r="VL50" s="593">
        <v>-4.916666666666667</v>
      </c>
      <c r="VM50" s="1">
        <v>0</v>
      </c>
      <c r="VN50" s="597">
        <v>5.0000000000000009</v>
      </c>
      <c r="VO50" s="1">
        <v>0.5</v>
      </c>
      <c r="VP50" s="601"/>
      <c r="VQ50" s="1"/>
      <c r="VR50" s="603"/>
      <c r="VS50" s="1"/>
      <c r="VT50" s="607"/>
      <c r="VU50" s="1"/>
      <c r="VV50" s="609">
        <v>-14.950000000000001</v>
      </c>
      <c r="VW50" s="1">
        <v>0</v>
      </c>
      <c r="VX50" s="613"/>
      <c r="VY50" s="1"/>
      <c r="VZ50" s="617">
        <v>-12.533333333333333</v>
      </c>
      <c r="WA50" s="1">
        <v>0</v>
      </c>
      <c r="WB50" s="619"/>
      <c r="WC50" s="1"/>
      <c r="WD50" s="624"/>
      <c r="WE50" s="1"/>
      <c r="WF50" s="626">
        <v>7.3166666666666664</v>
      </c>
      <c r="WG50" s="1">
        <v>1</v>
      </c>
      <c r="WH50" s="630">
        <v>1.0000000000000002</v>
      </c>
      <c r="WI50" s="1">
        <v>0.5</v>
      </c>
      <c r="WJ50" s="636"/>
      <c r="WK50" s="1"/>
      <c r="WL50" s="638"/>
      <c r="WM50" s="1"/>
      <c r="WN50" s="642">
        <v>-33.283333333333331</v>
      </c>
      <c r="WO50" s="1">
        <v>0</v>
      </c>
      <c r="WP50" s="646"/>
      <c r="WQ50" s="1"/>
      <c r="WR50" s="652">
        <v>-18.100000000000001</v>
      </c>
      <c r="WS50" s="1">
        <v>0</v>
      </c>
      <c r="WT50" s="659">
        <v>-4.8666666666666671</v>
      </c>
      <c r="WU50" s="1">
        <v>0</v>
      </c>
      <c r="WV50" s="659"/>
      <c r="WW50" s="1"/>
      <c r="WX50" s="672">
        <v>-14.783333333333333</v>
      </c>
      <c r="WY50" s="1">
        <v>0</v>
      </c>
      <c r="WZ50" s="677"/>
      <c r="XA50" s="1"/>
      <c r="XB50" s="681"/>
      <c r="XC50" s="1"/>
      <c r="XD50" s="683"/>
      <c r="XE50" s="1"/>
      <c r="XF50" s="687"/>
      <c r="XG50" s="1"/>
      <c r="XH50" s="689">
        <v>2.8666666666666667</v>
      </c>
      <c r="XI50" s="1">
        <v>1</v>
      </c>
      <c r="XJ50" s="696"/>
      <c r="XK50" s="1"/>
      <c r="XL50" s="696"/>
      <c r="XM50" s="1"/>
      <c r="XN50" s="696"/>
      <c r="XO50" s="1"/>
      <c r="XP50" s="700"/>
      <c r="XQ50" s="1"/>
      <c r="XR50" s="705">
        <v>6.9333333333333336</v>
      </c>
      <c r="XS50" s="1">
        <v>0.5</v>
      </c>
      <c r="XT50" s="709">
        <v>-2.4833333333333329</v>
      </c>
      <c r="XU50" s="1">
        <v>0.4</v>
      </c>
      <c r="XV50" s="715"/>
      <c r="XW50" s="1"/>
    </row>
    <row r="51" spans="2:647" x14ac:dyDescent="0.25">
      <c r="B51" s="755"/>
      <c r="C51" s="760"/>
      <c r="D51" s="755"/>
      <c r="E51" s="755"/>
      <c r="F51" s="482">
        <v>0.7</v>
      </c>
      <c r="G51" s="369" t="s">
        <v>49</v>
      </c>
      <c r="H51" s="6"/>
      <c r="I51" s="6"/>
      <c r="J51" s="6"/>
      <c r="K51" s="6"/>
      <c r="L51" s="6"/>
      <c r="M51" s="6"/>
      <c r="N51" s="6"/>
      <c r="O51" s="6"/>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c r="CD51" s="6"/>
      <c r="CE51" s="6"/>
      <c r="CF51" s="6"/>
      <c r="CG51" s="6"/>
      <c r="CH51" s="6"/>
      <c r="CI51" s="6"/>
      <c r="CJ51" s="6"/>
      <c r="CK51" s="6"/>
      <c r="CL51" s="6"/>
      <c r="CM51" s="6"/>
      <c r="CN51" s="6"/>
      <c r="CO51" s="6"/>
      <c r="CP51" s="6"/>
      <c r="CQ51" s="6"/>
      <c r="CR51" s="6"/>
      <c r="CS51" s="6"/>
      <c r="CT51" s="6"/>
      <c r="CU51" s="6"/>
      <c r="CV51" s="6"/>
      <c r="CW51" s="6"/>
      <c r="CX51" s="6"/>
      <c r="CY51" s="6"/>
      <c r="CZ51" s="6"/>
      <c r="DA51" s="6"/>
      <c r="DB51" s="6"/>
      <c r="DC51" s="6"/>
      <c r="DD51" s="6"/>
      <c r="DE51" s="6"/>
      <c r="DF51" s="6"/>
      <c r="DG51" s="6"/>
      <c r="DH51" s="6"/>
      <c r="DI51" s="6"/>
      <c r="DJ51" s="6"/>
      <c r="DK51" s="6"/>
      <c r="DL51" s="6"/>
      <c r="DM51" s="6"/>
      <c r="DN51" s="6"/>
      <c r="DO51" s="6"/>
      <c r="DP51" s="6"/>
      <c r="DQ51" s="6"/>
      <c r="DR51" s="6"/>
      <c r="DS51" s="6"/>
      <c r="DT51" s="6"/>
      <c r="DU51" s="6"/>
      <c r="DV51" s="6"/>
      <c r="DW51" s="6"/>
      <c r="DX51" s="6"/>
      <c r="DY51" s="6"/>
      <c r="DZ51" s="6"/>
      <c r="EA51" s="6"/>
      <c r="EB51" s="6"/>
      <c r="EC51" s="6"/>
      <c r="ED51" s="6"/>
      <c r="EE51" s="6"/>
      <c r="EF51" s="6"/>
      <c r="EG51" s="6"/>
      <c r="EH51" s="6"/>
      <c r="EI51" s="6"/>
      <c r="EJ51" s="6"/>
      <c r="EK51" s="6"/>
      <c r="EL51" s="6"/>
      <c r="EM51" s="6"/>
      <c r="EN51" s="6"/>
      <c r="EO51" s="6"/>
      <c r="EP51" s="6"/>
      <c r="EQ51" s="6"/>
      <c r="ER51" s="487"/>
      <c r="ES51" s="1"/>
      <c r="ET51" s="487"/>
      <c r="EU51" s="1"/>
      <c r="EV51" s="487"/>
      <c r="EW51" s="1"/>
      <c r="EX51" s="487"/>
      <c r="EY51" s="1"/>
      <c r="EZ51" s="487"/>
      <c r="FA51" s="1"/>
      <c r="FB51" s="487"/>
      <c r="FC51" s="1"/>
      <c r="FD51" s="487"/>
      <c r="FE51" s="1"/>
      <c r="FF51" s="487"/>
      <c r="FG51" s="1"/>
      <c r="FH51" s="487"/>
      <c r="FI51" s="1"/>
      <c r="FJ51" s="487"/>
      <c r="FK51" s="1"/>
      <c r="FL51" s="487"/>
      <c r="FM51" s="1"/>
      <c r="FN51" s="487"/>
      <c r="FO51" s="1"/>
      <c r="FP51" s="487"/>
      <c r="FQ51" s="1"/>
      <c r="FR51" s="487"/>
      <c r="FS51" s="1"/>
      <c r="FT51" s="487"/>
      <c r="FU51" s="1"/>
      <c r="FV51" s="487"/>
      <c r="FW51" s="1"/>
      <c r="FX51" s="487"/>
      <c r="FY51" s="1"/>
      <c r="FZ51" s="487"/>
      <c r="GA51" s="1"/>
      <c r="GB51" s="487"/>
      <c r="GC51" s="1"/>
      <c r="GD51" s="487"/>
      <c r="GE51" s="1"/>
      <c r="GF51" s="487"/>
      <c r="GG51" s="1"/>
      <c r="GH51" s="487"/>
      <c r="GI51" s="1"/>
      <c r="GJ51" s="487"/>
      <c r="GK51" s="1"/>
      <c r="GL51" s="487"/>
      <c r="GM51" s="1"/>
      <c r="GN51" s="487"/>
      <c r="GO51" s="1"/>
      <c r="GP51" s="487"/>
      <c r="GQ51" s="1"/>
      <c r="GR51" s="487"/>
      <c r="GS51" s="1"/>
      <c r="GT51" s="487"/>
      <c r="GU51" s="1"/>
      <c r="GV51" s="487"/>
      <c r="GW51" s="1"/>
      <c r="GX51" s="487"/>
      <c r="GY51" s="1"/>
      <c r="GZ51" s="487"/>
      <c r="HA51" s="1"/>
      <c r="HB51" s="487"/>
      <c r="HC51" s="1"/>
      <c r="HD51" s="487"/>
      <c r="HE51" s="1"/>
      <c r="HF51" s="487"/>
      <c r="HG51" s="1"/>
      <c r="HH51" s="487"/>
      <c r="HI51" s="1"/>
      <c r="HJ51" s="487"/>
      <c r="HK51" s="1"/>
      <c r="HL51" s="487"/>
      <c r="HM51" s="1"/>
      <c r="HN51" s="487"/>
      <c r="HO51" s="1"/>
      <c r="HP51" s="487"/>
      <c r="HQ51" s="1"/>
      <c r="HR51" s="487"/>
      <c r="HS51" s="1"/>
      <c r="HT51" s="487"/>
      <c r="HU51" s="1"/>
      <c r="HV51" s="487"/>
      <c r="HW51" s="1"/>
      <c r="HX51" s="487"/>
      <c r="HY51" s="1"/>
      <c r="HZ51" s="487"/>
      <c r="IA51" s="1"/>
      <c r="IB51" s="487"/>
      <c r="IC51" s="1"/>
      <c r="ID51" s="487"/>
      <c r="IE51" s="1"/>
      <c r="IF51" s="487"/>
      <c r="IG51" s="1"/>
      <c r="IH51" s="487"/>
      <c r="II51" s="1"/>
      <c r="IJ51" s="487"/>
      <c r="IK51" s="1"/>
      <c r="IL51" s="487"/>
      <c r="IM51" s="1"/>
      <c r="IN51" s="487"/>
      <c r="IO51" s="1"/>
      <c r="IP51" s="487"/>
      <c r="IQ51" s="1"/>
      <c r="IR51" s="487"/>
      <c r="IS51" s="1"/>
      <c r="IT51" s="487"/>
      <c r="IU51" s="1"/>
      <c r="IV51" s="487"/>
      <c r="IW51" s="1"/>
      <c r="IX51" s="487"/>
      <c r="IY51" s="1"/>
      <c r="IZ51" s="487"/>
      <c r="JA51" s="1"/>
      <c r="JB51" s="487"/>
      <c r="JC51" s="1"/>
      <c r="JD51" s="487"/>
      <c r="JE51" s="1"/>
      <c r="JF51" s="487"/>
      <c r="JG51" s="1"/>
      <c r="JH51" s="487"/>
      <c r="JI51" s="1"/>
      <c r="JJ51" s="487"/>
      <c r="JK51" s="1"/>
      <c r="JL51" s="487"/>
      <c r="JM51" s="1"/>
      <c r="JN51" s="487"/>
      <c r="JO51" s="1"/>
      <c r="JP51" s="487"/>
      <c r="JQ51" s="1"/>
      <c r="JR51" s="487"/>
      <c r="JS51" s="1"/>
      <c r="JT51" s="487"/>
      <c r="JU51" s="1"/>
      <c r="JV51" s="487"/>
      <c r="JW51" s="1"/>
      <c r="JX51" s="487"/>
      <c r="JY51" s="1"/>
      <c r="JZ51" s="487"/>
      <c r="KA51" s="1"/>
      <c r="KB51" s="487"/>
      <c r="KC51" s="1"/>
      <c r="KD51" s="487"/>
      <c r="KE51" s="1"/>
      <c r="KF51" s="487"/>
      <c r="KG51" s="1"/>
      <c r="KH51" s="487"/>
      <c r="KI51" s="1"/>
      <c r="KJ51" s="487"/>
      <c r="KK51" s="1"/>
      <c r="KL51" s="487"/>
      <c r="KM51" s="1"/>
      <c r="KN51" s="487"/>
      <c r="KO51" s="1"/>
      <c r="KP51" s="487"/>
      <c r="KQ51" s="1"/>
      <c r="KR51" s="487"/>
      <c r="KS51" s="1"/>
      <c r="KT51" s="487"/>
      <c r="KU51" s="1"/>
      <c r="KV51" s="487"/>
      <c r="KW51" s="1"/>
      <c r="KX51" s="487"/>
      <c r="KY51" s="1"/>
      <c r="KZ51" s="487"/>
      <c r="LA51" s="1"/>
      <c r="LB51" s="487"/>
      <c r="LC51" s="1"/>
      <c r="LD51" s="487"/>
      <c r="LE51" s="1"/>
      <c r="LF51" s="487"/>
      <c r="LG51" s="1"/>
      <c r="LH51" s="487"/>
      <c r="LI51" s="1"/>
      <c r="LJ51" s="487"/>
      <c r="LK51" s="1"/>
      <c r="LL51" s="487"/>
      <c r="LM51" s="1"/>
      <c r="LN51" s="487">
        <v>7.0142857142857151</v>
      </c>
      <c r="LO51" s="1">
        <v>1</v>
      </c>
      <c r="LP51" s="487">
        <v>-15.000000000000002</v>
      </c>
      <c r="LQ51" s="1">
        <v>0</v>
      </c>
      <c r="LR51" s="487"/>
      <c r="LS51" s="1"/>
      <c r="LT51" s="487">
        <v>-29.757142857142856</v>
      </c>
      <c r="LU51" s="1">
        <v>0</v>
      </c>
      <c r="LV51" s="487">
        <v>7.4142857142857155</v>
      </c>
      <c r="LW51" s="1">
        <v>1</v>
      </c>
      <c r="LX51" s="487">
        <v>2.8285714285714292</v>
      </c>
      <c r="LY51" s="1">
        <v>0.5</v>
      </c>
      <c r="LZ51" s="487">
        <v>15.928571428571431</v>
      </c>
      <c r="MA51" s="1">
        <v>0.75</v>
      </c>
      <c r="MB51" s="487">
        <v>7.0571428571428578</v>
      </c>
      <c r="MC51" s="1">
        <v>1</v>
      </c>
      <c r="MD51" s="487"/>
      <c r="ME51" s="1"/>
      <c r="MF51" s="487">
        <v>-15.471428571428573</v>
      </c>
      <c r="MG51" s="1">
        <v>0</v>
      </c>
      <c r="MH51" s="487"/>
      <c r="MI51" s="1"/>
      <c r="MJ51" s="487"/>
      <c r="MK51" s="1"/>
      <c r="ML51" s="487"/>
      <c r="MM51" s="1"/>
      <c r="MN51" s="487"/>
      <c r="MO51" s="1"/>
      <c r="MP51" s="487"/>
      <c r="MQ51" s="1"/>
      <c r="MR51" s="487">
        <v>7.257142857142858</v>
      </c>
      <c r="MS51" s="1">
        <v>1</v>
      </c>
      <c r="MT51" s="487"/>
      <c r="MU51" s="1"/>
      <c r="MV51" s="487"/>
      <c r="MW51" s="1"/>
      <c r="MX51" s="487">
        <v>-14.62857142857143</v>
      </c>
      <c r="MY51" s="1">
        <v>0</v>
      </c>
      <c r="MZ51" s="487">
        <v>-14.871428571428572</v>
      </c>
      <c r="NA51" s="1">
        <v>0</v>
      </c>
      <c r="NB51" s="487"/>
      <c r="NC51" s="1"/>
      <c r="ND51" s="487"/>
      <c r="NE51" s="1"/>
      <c r="NF51" s="487">
        <v>10.22857142857143</v>
      </c>
      <c r="NG51" s="1">
        <v>0.66666666666666663</v>
      </c>
      <c r="NH51" s="487">
        <v>10.22857142857143</v>
      </c>
      <c r="NI51" s="1">
        <v>0.66666666666666663</v>
      </c>
      <c r="NJ51" s="487">
        <v>6.9</v>
      </c>
      <c r="NK51" s="1">
        <v>1</v>
      </c>
      <c r="NL51" s="487"/>
      <c r="NM51" s="1"/>
      <c r="NN51" s="487"/>
      <c r="NO51" s="1"/>
      <c r="NP51" s="487">
        <v>-7.8428571428571425</v>
      </c>
      <c r="NQ51" s="1">
        <v>0.5</v>
      </c>
      <c r="NR51" s="487">
        <v>7.0714285714285721</v>
      </c>
      <c r="NS51" s="1">
        <v>1</v>
      </c>
      <c r="NT51" s="487"/>
      <c r="NU51" s="1"/>
      <c r="NV51" s="487">
        <v>7.4714285714285724</v>
      </c>
      <c r="NW51" s="1">
        <v>1</v>
      </c>
      <c r="NX51" s="487">
        <v>-6.0714285714285721</v>
      </c>
      <c r="NY51" s="1">
        <v>0</v>
      </c>
      <c r="NZ51" s="487"/>
      <c r="OA51" s="1"/>
      <c r="OB51" s="487"/>
      <c r="OC51" s="1"/>
      <c r="OD51" s="487"/>
      <c r="OE51" s="1"/>
      <c r="OF51" s="487">
        <v>7.3285714285714292</v>
      </c>
      <c r="OG51" s="1">
        <v>1</v>
      </c>
      <c r="OH51" s="487">
        <v>-0.78571428571428581</v>
      </c>
      <c r="OI51" s="1">
        <v>0</v>
      </c>
      <c r="OJ51" s="487"/>
      <c r="OK51" s="1"/>
      <c r="OL51" s="487"/>
      <c r="OM51" s="1"/>
      <c r="ON51" s="487"/>
      <c r="OO51" s="1"/>
      <c r="OP51" s="487"/>
      <c r="OQ51" s="1"/>
      <c r="OR51" s="487"/>
      <c r="OS51" s="1"/>
      <c r="OT51" s="487">
        <v>7.9000000000000012</v>
      </c>
      <c r="OU51" s="1">
        <v>1</v>
      </c>
      <c r="OV51" s="487"/>
      <c r="OW51" s="1"/>
      <c r="OX51" s="487"/>
      <c r="OY51" s="1"/>
      <c r="OZ51" s="487">
        <v>-7.8000000000000007</v>
      </c>
      <c r="PA51" s="1">
        <v>0</v>
      </c>
      <c r="PB51" s="487"/>
      <c r="PC51" s="1"/>
      <c r="PD51" s="487">
        <v>21.38571428571429</v>
      </c>
      <c r="PE51" s="1">
        <v>0.75</v>
      </c>
      <c r="PF51" s="487"/>
      <c r="PG51" s="1"/>
      <c r="PH51" s="487">
        <v>17.928571428571431</v>
      </c>
      <c r="PI51" s="1">
        <v>0.75</v>
      </c>
      <c r="PJ51" s="487"/>
      <c r="PK51" s="1"/>
      <c r="PL51" s="487"/>
      <c r="PM51" s="1"/>
      <c r="PN51" s="487"/>
      <c r="PO51" s="1"/>
      <c r="PP51" s="487"/>
      <c r="PQ51" s="1"/>
      <c r="PR51" s="487">
        <v>14.65714285714286</v>
      </c>
      <c r="PS51" s="1">
        <v>1</v>
      </c>
      <c r="PT51" s="487"/>
      <c r="PU51" s="1"/>
      <c r="PV51" s="487">
        <v>7.4857142857142867</v>
      </c>
      <c r="PW51" s="1">
        <v>1</v>
      </c>
      <c r="PX51" s="487">
        <v>-2.1857142857142855</v>
      </c>
      <c r="PY51" s="1">
        <v>0.5</v>
      </c>
      <c r="PZ51" s="487">
        <v>-5.3142857142857149</v>
      </c>
      <c r="QA51" s="1">
        <v>0</v>
      </c>
      <c r="QB51" s="487">
        <v>21.157142857142858</v>
      </c>
      <c r="QC51" s="1">
        <v>1</v>
      </c>
      <c r="QD51" s="487">
        <v>15.028571428571428</v>
      </c>
      <c r="QE51" s="1">
        <v>1</v>
      </c>
      <c r="QF51" s="487"/>
      <c r="QG51" s="1"/>
      <c r="QH51" s="487">
        <v>-5.6857142857142859</v>
      </c>
      <c r="QI51" s="1">
        <v>0</v>
      </c>
      <c r="QJ51" s="487"/>
      <c r="QK51" s="1"/>
      <c r="QL51" s="487">
        <v>-5.1857142857142859</v>
      </c>
      <c r="QM51" s="1">
        <v>0.33333333333333331</v>
      </c>
      <c r="QN51" s="487">
        <v>-4.4571428571428573</v>
      </c>
      <c r="QO51" s="1">
        <v>0</v>
      </c>
      <c r="QP51" s="487">
        <v>-1.4571428571428573</v>
      </c>
      <c r="QQ51" s="1">
        <v>0</v>
      </c>
      <c r="QR51" s="487">
        <v>-14.7</v>
      </c>
      <c r="QS51" s="1">
        <v>0</v>
      </c>
      <c r="QT51" s="487"/>
      <c r="QU51" s="1"/>
      <c r="QV51" s="487"/>
      <c r="QW51" s="1"/>
      <c r="QX51" s="487"/>
      <c r="QY51" s="1"/>
      <c r="QZ51" s="487"/>
      <c r="RA51" s="1"/>
      <c r="RB51" s="487"/>
      <c r="RC51" s="1"/>
      <c r="RD51" s="487">
        <v>-3.7714285714285718</v>
      </c>
      <c r="RE51" s="1">
        <v>0</v>
      </c>
      <c r="RF51" s="487">
        <v>7.4142857142857155</v>
      </c>
      <c r="RG51" s="1">
        <v>1</v>
      </c>
      <c r="RH51" s="487"/>
      <c r="RI51" s="1"/>
      <c r="RJ51" s="487">
        <v>-1.1857142857142857</v>
      </c>
      <c r="RK51" s="1">
        <v>0</v>
      </c>
      <c r="RL51" s="487"/>
      <c r="RM51" s="1"/>
      <c r="RN51" s="487">
        <v>-18.2</v>
      </c>
      <c r="RO51" s="1">
        <v>0</v>
      </c>
      <c r="RP51" s="487"/>
      <c r="RQ51" s="1"/>
      <c r="RR51" s="487">
        <v>-31.914285714285715</v>
      </c>
      <c r="RS51" s="1">
        <v>0</v>
      </c>
      <c r="RT51" s="487"/>
      <c r="RU51" s="1"/>
      <c r="RV51" s="487">
        <v>-30.571428571428573</v>
      </c>
      <c r="RW51" s="1">
        <v>0</v>
      </c>
      <c r="RX51" s="487"/>
      <c r="RY51" s="1"/>
      <c r="RZ51" s="487">
        <v>-21.471428571428572</v>
      </c>
      <c r="SA51" s="1">
        <v>0</v>
      </c>
      <c r="SB51" s="487">
        <v>6.0000000000000018</v>
      </c>
      <c r="SC51" s="1">
        <v>0.6</v>
      </c>
      <c r="SD51" s="487"/>
      <c r="SE51" s="1"/>
      <c r="SF51" s="487">
        <v>-43.785714285714285</v>
      </c>
      <c r="SG51" s="1">
        <v>0.33333333333333331</v>
      </c>
      <c r="SH51" s="487"/>
      <c r="SI51" s="1"/>
      <c r="SJ51" s="487"/>
      <c r="SK51" s="1"/>
      <c r="SL51" s="487">
        <v>-9.7000000000000011</v>
      </c>
      <c r="SM51" s="1">
        <v>0</v>
      </c>
      <c r="SN51" s="487">
        <v>7.2857142857142856</v>
      </c>
      <c r="SO51" s="1">
        <v>1</v>
      </c>
      <c r="SP51" s="487"/>
      <c r="SQ51" s="1"/>
      <c r="SR51" s="487">
        <v>7.0428571428571427</v>
      </c>
      <c r="SS51" s="1">
        <v>1</v>
      </c>
      <c r="ST51" s="487"/>
      <c r="SU51" s="1"/>
      <c r="SV51" s="487"/>
      <c r="SW51" s="1"/>
      <c r="SX51" s="487"/>
      <c r="SY51" s="1"/>
      <c r="SZ51" s="487">
        <v>-15.114285714285716</v>
      </c>
      <c r="TA51" s="1">
        <v>0</v>
      </c>
      <c r="TB51" s="487"/>
      <c r="TC51" s="1"/>
      <c r="TD51" s="487"/>
      <c r="TE51" s="1"/>
      <c r="TF51" s="487"/>
      <c r="TG51" s="1"/>
      <c r="TH51" s="488"/>
      <c r="TI51" s="1"/>
      <c r="TJ51" s="489">
        <v>-24.914285714285711</v>
      </c>
      <c r="TK51" s="1">
        <v>0.33333333333333331</v>
      </c>
      <c r="TL51" s="490"/>
      <c r="TM51" s="1"/>
      <c r="TN51" s="495"/>
      <c r="TO51" s="1"/>
      <c r="TP51" s="500"/>
      <c r="TQ51" s="1"/>
      <c r="TR51" s="511">
        <v>-14.871428571428572</v>
      </c>
      <c r="TS51" s="1">
        <v>0</v>
      </c>
      <c r="TT51" s="515">
        <v>-4.5714285714285721</v>
      </c>
      <c r="TU51" s="1">
        <v>0</v>
      </c>
      <c r="TV51" s="518"/>
      <c r="TW51" s="1"/>
      <c r="TX51" s="521"/>
      <c r="TY51" s="1"/>
      <c r="TZ51" s="524"/>
      <c r="UA51" s="1"/>
      <c r="UB51" s="527"/>
      <c r="UC51" s="1"/>
      <c r="UD51" s="530">
        <v>2.7285714285714286</v>
      </c>
      <c r="UE51" s="1">
        <v>1</v>
      </c>
      <c r="UF51" s="533">
        <v>4.8999999999999995</v>
      </c>
      <c r="UG51" s="1">
        <v>0.5</v>
      </c>
      <c r="UH51" s="536">
        <v>-15.22857142857143</v>
      </c>
      <c r="UI51" s="1">
        <v>0</v>
      </c>
      <c r="UJ51" s="539">
        <v>11.814285714285715</v>
      </c>
      <c r="UK51" s="1">
        <v>1</v>
      </c>
      <c r="UL51" s="540">
        <v>7.5571428571428578</v>
      </c>
      <c r="UM51" s="1">
        <v>1</v>
      </c>
      <c r="UN51" s="543">
        <v>7.3285714285714292</v>
      </c>
      <c r="UO51" s="1">
        <v>1</v>
      </c>
      <c r="UP51" s="544"/>
      <c r="UQ51" s="1"/>
      <c r="UR51" s="551"/>
      <c r="US51" s="1"/>
      <c r="UT51" s="551"/>
      <c r="UU51" s="1"/>
      <c r="UV51" s="562"/>
      <c r="UW51" s="1"/>
      <c r="UX51" s="566">
        <v>7.0714285714285721</v>
      </c>
      <c r="UY51" s="1">
        <v>1</v>
      </c>
      <c r="UZ51" s="568"/>
      <c r="VA51" s="1"/>
      <c r="VB51" s="572">
        <v>7.1000000000000005</v>
      </c>
      <c r="VC51" s="1">
        <v>1</v>
      </c>
      <c r="VD51" s="576">
        <v>-10.428571428571429</v>
      </c>
      <c r="VE51" s="1">
        <v>0</v>
      </c>
      <c r="VF51" s="580">
        <v>0.84285714285714397</v>
      </c>
      <c r="VG51" s="1">
        <v>0.5</v>
      </c>
      <c r="VH51" s="584"/>
      <c r="VI51" s="1"/>
      <c r="VJ51" s="589"/>
      <c r="VK51" s="1"/>
      <c r="VL51" s="593">
        <v>-4.3857142857142861</v>
      </c>
      <c r="VM51" s="1">
        <v>0</v>
      </c>
      <c r="VN51" s="597">
        <v>-2.0428571428571427</v>
      </c>
      <c r="VO51" s="1">
        <v>0</v>
      </c>
      <c r="VP51" s="601"/>
      <c r="VQ51" s="1"/>
      <c r="VR51" s="603"/>
      <c r="VS51" s="1"/>
      <c r="VT51" s="607"/>
      <c r="VU51" s="1"/>
      <c r="VV51" s="609">
        <v>-7.0714285714285721</v>
      </c>
      <c r="VW51" s="1">
        <v>0</v>
      </c>
      <c r="VX51" s="613">
        <v>-14.671428571428573</v>
      </c>
      <c r="VY51" s="1">
        <v>0</v>
      </c>
      <c r="VZ51" s="617">
        <v>14.114285714285716</v>
      </c>
      <c r="WA51" s="1">
        <v>1</v>
      </c>
      <c r="WB51" s="619"/>
      <c r="WC51" s="1"/>
      <c r="WD51" s="624"/>
      <c r="WE51" s="1"/>
      <c r="WF51" s="626">
        <v>-8.1428571428571423</v>
      </c>
      <c r="WG51" s="1">
        <v>0.5</v>
      </c>
      <c r="WH51" s="630">
        <v>2.2142857142857135</v>
      </c>
      <c r="WI51" s="1">
        <v>0.66666666666666663</v>
      </c>
      <c r="WJ51" s="636">
        <v>-12.457142857142859</v>
      </c>
      <c r="WK51" s="1">
        <v>0</v>
      </c>
      <c r="WL51" s="638"/>
      <c r="WM51" s="1"/>
      <c r="WN51" s="642">
        <v>-33.200000000000003</v>
      </c>
      <c r="WO51" s="1">
        <v>0</v>
      </c>
      <c r="WP51" s="646">
        <v>-33.4375</v>
      </c>
      <c r="WQ51" s="1">
        <v>0.33333333333333331</v>
      </c>
      <c r="WR51" s="652">
        <v>-18.785714285714285</v>
      </c>
      <c r="WS51" s="1">
        <v>0</v>
      </c>
      <c r="WT51" s="659">
        <v>-5.0285714285714294</v>
      </c>
      <c r="WU51" s="1">
        <v>0</v>
      </c>
      <c r="WV51" s="659"/>
      <c r="WW51" s="1"/>
      <c r="WX51" s="672"/>
      <c r="WY51" s="1"/>
      <c r="WZ51" s="677"/>
      <c r="XA51" s="1"/>
      <c r="XB51" s="681"/>
      <c r="XC51" s="1"/>
      <c r="XD51" s="683"/>
      <c r="XE51" s="1"/>
      <c r="XF51" s="687"/>
      <c r="XG51" s="1"/>
      <c r="XH51" s="689">
        <v>1.7999999999999998</v>
      </c>
      <c r="XI51" s="1">
        <v>0.5</v>
      </c>
      <c r="XJ51" s="696"/>
      <c r="XK51" s="1"/>
      <c r="XL51" s="696">
        <v>-7.0857142857142863</v>
      </c>
      <c r="XM51" s="1">
        <v>0</v>
      </c>
      <c r="XN51" s="696"/>
      <c r="XO51" s="1"/>
      <c r="XP51" s="700"/>
      <c r="XQ51" s="1"/>
      <c r="XR51" s="705">
        <v>10.171428571428571</v>
      </c>
      <c r="XS51" s="1">
        <v>0.66666666666666663</v>
      </c>
      <c r="XT51" s="709">
        <v>6.1428571428571415</v>
      </c>
      <c r="XU51" s="1">
        <v>0.66666666666666663</v>
      </c>
      <c r="XV51" s="715"/>
      <c r="XW51" s="1"/>
    </row>
    <row r="52" spans="2:647" x14ac:dyDescent="0.25">
      <c r="B52" s="755"/>
      <c r="C52" s="760"/>
      <c r="D52" s="755" t="s">
        <v>47</v>
      </c>
      <c r="E52" s="755"/>
      <c r="F52" s="482">
        <v>0.8</v>
      </c>
      <c r="G52" s="475" t="s">
        <v>42</v>
      </c>
      <c r="H52" s="6"/>
      <c r="I52" s="6"/>
      <c r="J52" s="6"/>
      <c r="K52" s="6"/>
      <c r="L52" s="6"/>
      <c r="M52" s="6"/>
      <c r="N52" s="6"/>
      <c r="O52" s="6"/>
      <c r="P52" s="6"/>
      <c r="Q52" s="6"/>
      <c r="R52" s="6"/>
      <c r="S52" s="6"/>
      <c r="T52" s="6"/>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c r="BU52" s="6"/>
      <c r="BV52" s="6"/>
      <c r="BW52" s="6"/>
      <c r="BX52" s="6"/>
      <c r="BY52" s="6"/>
      <c r="BZ52" s="6"/>
      <c r="CA52" s="6"/>
      <c r="CB52" s="6"/>
      <c r="CC52" s="6"/>
      <c r="CD52" s="6"/>
      <c r="CE52" s="6"/>
      <c r="CF52" s="6"/>
      <c r="CG52" s="6"/>
      <c r="CH52" s="6"/>
      <c r="CI52" s="6"/>
      <c r="CJ52" s="6"/>
      <c r="CK52" s="6"/>
      <c r="CL52" s="6"/>
      <c r="CM52" s="6"/>
      <c r="CN52" s="6"/>
      <c r="CO52" s="6"/>
      <c r="CP52" s="6"/>
      <c r="CQ52" s="6"/>
      <c r="CR52" s="6"/>
      <c r="CS52" s="6"/>
      <c r="CT52" s="6"/>
      <c r="CU52" s="6"/>
      <c r="CV52" s="6"/>
      <c r="CW52" s="6"/>
      <c r="CX52" s="6"/>
      <c r="CY52" s="6"/>
      <c r="CZ52" s="6"/>
      <c r="DA52" s="6"/>
      <c r="DB52" s="6"/>
      <c r="DC52" s="6"/>
      <c r="DD52" s="6"/>
      <c r="DE52" s="6"/>
      <c r="DF52" s="6"/>
      <c r="DG52" s="6"/>
      <c r="DH52" s="6"/>
      <c r="DI52" s="6"/>
      <c r="DJ52" s="6"/>
      <c r="DK52" s="6"/>
      <c r="DL52" s="6"/>
      <c r="DM52" s="6"/>
      <c r="DN52" s="6"/>
      <c r="DO52" s="6"/>
      <c r="DP52" s="6"/>
      <c r="DQ52" s="6"/>
      <c r="DR52" s="6"/>
      <c r="DS52" s="6"/>
      <c r="DT52" s="6"/>
      <c r="DU52" s="6"/>
      <c r="DV52" s="6"/>
      <c r="DW52" s="6"/>
      <c r="DX52" s="6"/>
      <c r="DY52" s="6"/>
      <c r="DZ52" s="6"/>
      <c r="EA52" s="6"/>
      <c r="EB52" s="6"/>
      <c r="EC52" s="6"/>
      <c r="ED52" s="6"/>
      <c r="EE52" s="6"/>
      <c r="EF52" s="6"/>
      <c r="EG52" s="6"/>
      <c r="EH52" s="6"/>
      <c r="EI52" s="6"/>
      <c r="EJ52" s="6"/>
      <c r="EK52" s="6"/>
      <c r="EL52" s="6"/>
      <c r="EM52" s="6"/>
      <c r="EN52" s="6"/>
      <c r="EO52" s="6"/>
      <c r="EP52" s="6"/>
      <c r="EQ52" s="6"/>
      <c r="ER52" s="487"/>
      <c r="ES52" s="1"/>
      <c r="ET52" s="487"/>
      <c r="EU52" s="1"/>
      <c r="EV52" s="487"/>
      <c r="EW52" s="1"/>
      <c r="EX52" s="487"/>
      <c r="EY52" s="1"/>
      <c r="EZ52" s="487"/>
      <c r="FA52" s="1"/>
      <c r="FB52" s="487"/>
      <c r="FC52" s="1"/>
      <c r="FD52" s="487"/>
      <c r="FE52" s="1"/>
      <c r="FF52" s="487"/>
      <c r="FG52" s="1"/>
      <c r="FH52" s="487"/>
      <c r="FI52" s="1"/>
      <c r="FJ52" s="487"/>
      <c r="FK52" s="1"/>
      <c r="FL52" s="487"/>
      <c r="FM52" s="1"/>
      <c r="FN52" s="487"/>
      <c r="FO52" s="1"/>
      <c r="FP52" s="487"/>
      <c r="FQ52" s="1"/>
      <c r="FR52" s="487"/>
      <c r="FS52" s="1"/>
      <c r="FT52" s="487"/>
      <c r="FU52" s="1"/>
      <c r="FV52" s="487"/>
      <c r="FW52" s="1"/>
      <c r="FX52" s="487"/>
      <c r="FY52" s="1"/>
      <c r="FZ52" s="487"/>
      <c r="GA52" s="1"/>
      <c r="GB52" s="487"/>
      <c r="GC52" s="1"/>
      <c r="GD52" s="487"/>
      <c r="GE52" s="1"/>
      <c r="GF52" s="487"/>
      <c r="GG52" s="1"/>
      <c r="GH52" s="487"/>
      <c r="GI52" s="1"/>
      <c r="GJ52" s="487"/>
      <c r="GK52" s="1"/>
      <c r="GL52" s="487"/>
      <c r="GM52" s="1"/>
      <c r="GN52" s="487"/>
      <c r="GO52" s="1"/>
      <c r="GP52" s="487"/>
      <c r="GQ52" s="1"/>
      <c r="GR52" s="487"/>
      <c r="GS52" s="1"/>
      <c r="GT52" s="487"/>
      <c r="GU52" s="1"/>
      <c r="GV52" s="487"/>
      <c r="GW52" s="1"/>
      <c r="GX52" s="487"/>
      <c r="GY52" s="1"/>
      <c r="GZ52" s="487"/>
      <c r="HA52" s="1"/>
      <c r="HB52" s="487"/>
      <c r="HC52" s="1"/>
      <c r="HD52" s="487"/>
      <c r="HE52" s="1"/>
      <c r="HF52" s="487"/>
      <c r="HG52" s="1"/>
      <c r="HH52" s="487"/>
      <c r="HI52" s="1"/>
      <c r="HJ52" s="487"/>
      <c r="HK52" s="1"/>
      <c r="HL52" s="487"/>
      <c r="HM52" s="1"/>
      <c r="HN52" s="487"/>
      <c r="HO52" s="1"/>
      <c r="HP52" s="487"/>
      <c r="HQ52" s="1"/>
      <c r="HR52" s="487"/>
      <c r="HS52" s="1"/>
      <c r="HT52" s="487"/>
      <c r="HU52" s="1"/>
      <c r="HV52" s="487"/>
      <c r="HW52" s="1"/>
      <c r="HX52" s="487"/>
      <c r="HY52" s="1"/>
      <c r="HZ52" s="487"/>
      <c r="IA52" s="1"/>
      <c r="IB52" s="487"/>
      <c r="IC52" s="1"/>
      <c r="ID52" s="487"/>
      <c r="IE52" s="1"/>
      <c r="IF52" s="487"/>
      <c r="IG52" s="1"/>
      <c r="IH52" s="487"/>
      <c r="II52" s="1"/>
      <c r="IJ52" s="487"/>
      <c r="IK52" s="1"/>
      <c r="IL52" s="487"/>
      <c r="IM52" s="1"/>
      <c r="IN52" s="487"/>
      <c r="IO52" s="1"/>
      <c r="IP52" s="487"/>
      <c r="IQ52" s="1"/>
      <c r="IR52" s="487"/>
      <c r="IS52" s="1"/>
      <c r="IT52" s="487"/>
      <c r="IU52" s="1"/>
      <c r="IV52" s="487"/>
      <c r="IW52" s="1"/>
      <c r="IX52" s="487"/>
      <c r="IY52" s="1"/>
      <c r="IZ52" s="487"/>
      <c r="JA52" s="1"/>
      <c r="JB52" s="487"/>
      <c r="JC52" s="1"/>
      <c r="JD52" s="487"/>
      <c r="JE52" s="1"/>
      <c r="JF52" s="487"/>
      <c r="JG52" s="1"/>
      <c r="JH52" s="487"/>
      <c r="JI52" s="1"/>
      <c r="JJ52" s="487"/>
      <c r="JK52" s="1"/>
      <c r="JL52" s="487"/>
      <c r="JM52" s="1"/>
      <c r="JN52" s="487"/>
      <c r="JO52" s="1"/>
      <c r="JP52" s="487"/>
      <c r="JQ52" s="1"/>
      <c r="JR52" s="487"/>
      <c r="JS52" s="1"/>
      <c r="JT52" s="487"/>
      <c r="JU52" s="1"/>
      <c r="JV52" s="487"/>
      <c r="JW52" s="1"/>
      <c r="JX52" s="487"/>
      <c r="JY52" s="1"/>
      <c r="JZ52" s="487"/>
      <c r="KA52" s="1"/>
      <c r="KB52" s="487"/>
      <c r="KC52" s="1"/>
      <c r="KD52" s="487"/>
      <c r="KE52" s="1"/>
      <c r="KF52" s="487"/>
      <c r="KG52" s="1"/>
      <c r="KH52" s="487"/>
      <c r="KI52" s="1"/>
      <c r="KJ52" s="487"/>
      <c r="KK52" s="1"/>
      <c r="KL52" s="487"/>
      <c r="KM52" s="1"/>
      <c r="KN52" s="487"/>
      <c r="KO52" s="1"/>
      <c r="KP52" s="487"/>
      <c r="KQ52" s="1"/>
      <c r="KR52" s="487"/>
      <c r="KS52" s="1"/>
      <c r="KT52" s="487"/>
      <c r="KU52" s="1"/>
      <c r="KV52" s="487"/>
      <c r="KW52" s="1"/>
      <c r="KX52" s="487"/>
      <c r="KY52" s="1"/>
      <c r="KZ52" s="487"/>
      <c r="LA52" s="1"/>
      <c r="LB52" s="487"/>
      <c r="LC52" s="1"/>
      <c r="LD52" s="487"/>
      <c r="LE52" s="1"/>
      <c r="LF52" s="487"/>
      <c r="LG52" s="1"/>
      <c r="LH52" s="487">
        <v>-9.1374999999999975</v>
      </c>
      <c r="LI52" s="1">
        <v>0.7</v>
      </c>
      <c r="LJ52" s="487"/>
      <c r="LK52" s="1"/>
      <c r="LL52" s="487"/>
      <c r="LM52" s="1"/>
      <c r="LN52" s="487">
        <v>-33.612499999999997</v>
      </c>
      <c r="LO52" s="1">
        <v>0.4</v>
      </c>
      <c r="LP52" s="487">
        <v>9.8750000000000036</v>
      </c>
      <c r="LQ52" s="1">
        <v>0.77777777777777779</v>
      </c>
      <c r="LR52" s="487">
        <v>80.212499999999977</v>
      </c>
      <c r="LS52" s="1">
        <v>1</v>
      </c>
      <c r="LT52" s="487">
        <v>-51.587499999999991</v>
      </c>
      <c r="LU52" s="1">
        <v>0.5</v>
      </c>
      <c r="LV52" s="487">
        <v>35.737499999999997</v>
      </c>
      <c r="LW52" s="1">
        <v>0.83333333333333337</v>
      </c>
      <c r="LX52" s="487">
        <v>-4.9750000000000005</v>
      </c>
      <c r="LY52" s="1">
        <v>0.66666666666666663</v>
      </c>
      <c r="LZ52" s="487">
        <v>45.587499999999999</v>
      </c>
      <c r="MA52" s="1">
        <v>0.81818181818181823</v>
      </c>
      <c r="MB52" s="487">
        <v>18.525000000000002</v>
      </c>
      <c r="MC52" s="1">
        <v>0.7857142857142857</v>
      </c>
      <c r="MD52" s="487"/>
      <c r="ME52" s="1"/>
      <c r="MF52" s="487">
        <v>-60.012500000000003</v>
      </c>
      <c r="MG52" s="1">
        <v>0.2857142857142857</v>
      </c>
      <c r="MH52" s="487"/>
      <c r="MI52" s="1"/>
      <c r="MJ52" s="487">
        <v>6.0750000000000002</v>
      </c>
      <c r="MK52" s="1">
        <v>1</v>
      </c>
      <c r="ML52" s="487">
        <v>-14.6</v>
      </c>
      <c r="MM52" s="1">
        <v>0.5</v>
      </c>
      <c r="MN52" s="487">
        <v>7.5</v>
      </c>
      <c r="MO52" s="1">
        <v>1</v>
      </c>
      <c r="MP52" s="487"/>
      <c r="MQ52" s="1"/>
      <c r="MR52" s="487">
        <v>7.2499999999999991</v>
      </c>
      <c r="MS52" s="1">
        <v>1</v>
      </c>
      <c r="MT52" s="487">
        <v>-27.487500000000001</v>
      </c>
      <c r="MU52" s="1">
        <v>0.33333333333333331</v>
      </c>
      <c r="MV52" s="487">
        <v>2.0374999999999996</v>
      </c>
      <c r="MW52" s="1">
        <v>0.75</v>
      </c>
      <c r="MX52" s="487">
        <v>-7.9875000000000025</v>
      </c>
      <c r="MY52" s="1">
        <v>0.66666666666666663</v>
      </c>
      <c r="MZ52" s="487">
        <v>-53.324999999999996</v>
      </c>
      <c r="NA52" s="1">
        <v>0.2857142857142857</v>
      </c>
      <c r="NB52" s="487">
        <v>2.8250000000000006</v>
      </c>
      <c r="NC52" s="1">
        <v>0.66666666666666663</v>
      </c>
      <c r="ND52" s="487"/>
      <c r="NE52" s="1"/>
      <c r="NF52" s="487">
        <v>-24.712499999999999</v>
      </c>
      <c r="NG52" s="1">
        <v>0.625</v>
      </c>
      <c r="NH52" s="487">
        <v>-24.712499999999999</v>
      </c>
      <c r="NI52" s="1">
        <v>0.625</v>
      </c>
      <c r="NJ52" s="487">
        <v>-4.4625000000000004</v>
      </c>
      <c r="NK52" s="1">
        <v>0.7142857142857143</v>
      </c>
      <c r="NL52" s="487"/>
      <c r="NM52" s="1"/>
      <c r="NN52" s="487"/>
      <c r="NO52" s="1"/>
      <c r="NP52" s="487">
        <v>-38.899999999999991</v>
      </c>
      <c r="NQ52" s="1">
        <v>0.42857142857142855</v>
      </c>
      <c r="NR52" s="487">
        <v>-19.375000000000004</v>
      </c>
      <c r="NS52" s="1">
        <v>0.6</v>
      </c>
      <c r="NT52" s="487">
        <v>21.587499999999999</v>
      </c>
      <c r="NU52" s="1">
        <v>1</v>
      </c>
      <c r="NV52" s="487">
        <v>2.2249999999999992</v>
      </c>
      <c r="NW52" s="1">
        <v>0.75</v>
      </c>
      <c r="NX52" s="487">
        <v>-15.737499999999999</v>
      </c>
      <c r="NY52" s="1">
        <v>0.33333333333333331</v>
      </c>
      <c r="NZ52" s="487">
        <v>7.0499999999999989</v>
      </c>
      <c r="OA52" s="1">
        <v>1</v>
      </c>
      <c r="OB52" s="487">
        <v>-24.1875</v>
      </c>
      <c r="OC52" s="1">
        <v>0.2857142857142857</v>
      </c>
      <c r="OD52" s="487">
        <v>-45.912499999999994</v>
      </c>
      <c r="OE52" s="1">
        <v>0.4</v>
      </c>
      <c r="OF52" s="487">
        <v>-41.15</v>
      </c>
      <c r="OG52" s="1">
        <v>0</v>
      </c>
      <c r="OH52" s="487">
        <v>20.737499999999997</v>
      </c>
      <c r="OI52" s="1">
        <v>1</v>
      </c>
      <c r="OJ52" s="487"/>
      <c r="OK52" s="1"/>
      <c r="OL52" s="487">
        <v>-36.487500000000004</v>
      </c>
      <c r="OM52" s="1">
        <v>0.55555555555555558</v>
      </c>
      <c r="ON52" s="487"/>
      <c r="OO52" s="1"/>
      <c r="OP52" s="487">
        <v>-58.274999999999991</v>
      </c>
      <c r="OQ52" s="1">
        <v>0.4</v>
      </c>
      <c r="OR52" s="487">
        <v>-29.124999999999996</v>
      </c>
      <c r="OS52" s="1">
        <v>0.5714285714285714</v>
      </c>
      <c r="OT52" s="487">
        <v>2.2375000000000034</v>
      </c>
      <c r="OU52" s="1">
        <v>0.66666666666666663</v>
      </c>
      <c r="OV52" s="487"/>
      <c r="OW52" s="1"/>
      <c r="OX52" s="487">
        <v>4.7875000000000032</v>
      </c>
      <c r="OY52" s="1">
        <v>0.8</v>
      </c>
      <c r="OZ52" s="487">
        <v>-26.237499999999997</v>
      </c>
      <c r="PA52" s="1">
        <v>0.5</v>
      </c>
      <c r="PB52" s="487">
        <v>-33.799999999999997</v>
      </c>
      <c r="PC52" s="1">
        <v>0.6</v>
      </c>
      <c r="PD52" s="487">
        <v>-9.5125000000000011</v>
      </c>
      <c r="PE52" s="1">
        <v>0.7</v>
      </c>
      <c r="PF52" s="487">
        <v>57.062499999999993</v>
      </c>
      <c r="PG52" s="1">
        <v>1</v>
      </c>
      <c r="PH52" s="487">
        <v>18</v>
      </c>
      <c r="PI52" s="1">
        <v>0.6</v>
      </c>
      <c r="PJ52" s="487"/>
      <c r="PK52" s="1"/>
      <c r="PL52" s="487"/>
      <c r="PM52" s="1"/>
      <c r="PN52" s="487"/>
      <c r="PO52" s="1"/>
      <c r="PP52" s="487">
        <v>38.237499999999997</v>
      </c>
      <c r="PQ52" s="1">
        <v>0.88888888888888884</v>
      </c>
      <c r="PR52" s="487">
        <v>-42.874999999999993</v>
      </c>
      <c r="PS52" s="1">
        <v>0.54545454545454541</v>
      </c>
      <c r="PT52" s="487">
        <v>-35.324999999999996</v>
      </c>
      <c r="PU52" s="1">
        <v>0.63636363636363635</v>
      </c>
      <c r="PV52" s="487">
        <v>-19.237499999999994</v>
      </c>
      <c r="PW52" s="1">
        <v>0.66666666666666663</v>
      </c>
      <c r="PX52" s="487">
        <v>12.487500000000002</v>
      </c>
      <c r="PY52" s="1">
        <v>0.76923076923076927</v>
      </c>
      <c r="PZ52" s="487">
        <v>-84.574999999999989</v>
      </c>
      <c r="QA52" s="1">
        <v>0.45454545454545453</v>
      </c>
      <c r="QB52" s="487">
        <v>19.874999999999996</v>
      </c>
      <c r="QC52" s="1">
        <v>0.8</v>
      </c>
      <c r="QD52" s="487">
        <v>41.562499999999986</v>
      </c>
      <c r="QE52" s="1">
        <v>0.76923076923076927</v>
      </c>
      <c r="QF52" s="487">
        <v>-11.212500000000002</v>
      </c>
      <c r="QG52" s="1">
        <v>0.69230769230769229</v>
      </c>
      <c r="QH52" s="487">
        <v>-27.05</v>
      </c>
      <c r="QI52" s="1">
        <v>0.5</v>
      </c>
      <c r="QJ52" s="487">
        <v>-94.449999999999974</v>
      </c>
      <c r="QK52" s="1">
        <v>0.14285714285714285</v>
      </c>
      <c r="QL52" s="487">
        <v>10.549999999999999</v>
      </c>
      <c r="QM52" s="1">
        <v>0.77777777777777779</v>
      </c>
      <c r="QN52" s="487">
        <v>-56.124999999999993</v>
      </c>
      <c r="QO52" s="1">
        <v>0.2857142857142857</v>
      </c>
      <c r="QP52" s="487">
        <v>-53.937499999999993</v>
      </c>
      <c r="QQ52" s="1">
        <v>0.14285714285714285</v>
      </c>
      <c r="QR52" s="487">
        <v>30.362499999999994</v>
      </c>
      <c r="QS52" s="1">
        <v>0.875</v>
      </c>
      <c r="QT52" s="487">
        <v>42.575000000000003</v>
      </c>
      <c r="QU52" s="1">
        <v>1</v>
      </c>
      <c r="QV52" s="487">
        <v>33.262499999999996</v>
      </c>
      <c r="QW52" s="1">
        <v>0.75</v>
      </c>
      <c r="QX52" s="487">
        <v>-23.75</v>
      </c>
      <c r="QY52" s="1">
        <v>0.3</v>
      </c>
      <c r="QZ52" s="487"/>
      <c r="RA52" s="1"/>
      <c r="RB52" s="487">
        <v>11.287499999999998</v>
      </c>
      <c r="RC52" s="1">
        <v>0.7142857142857143</v>
      </c>
      <c r="RD52" s="487">
        <v>-9.8749999999999947</v>
      </c>
      <c r="RE52" s="1">
        <v>0.66666666666666663</v>
      </c>
      <c r="RF52" s="487">
        <v>30.3</v>
      </c>
      <c r="RG52" s="1">
        <v>0.875</v>
      </c>
      <c r="RH52" s="487">
        <v>-11.362499999999995</v>
      </c>
      <c r="RI52" s="1">
        <v>0.66666666666666663</v>
      </c>
      <c r="RJ52" s="487">
        <v>18.724999999999998</v>
      </c>
      <c r="RK52" s="1">
        <v>0.66666666666666663</v>
      </c>
      <c r="RL52" s="487"/>
      <c r="RM52" s="1"/>
      <c r="RN52" s="487">
        <v>22.774999999999988</v>
      </c>
      <c r="RO52" s="1">
        <v>0.75</v>
      </c>
      <c r="RP52" s="487">
        <v>47.55</v>
      </c>
      <c r="RQ52" s="1">
        <v>1</v>
      </c>
      <c r="RR52" s="487">
        <v>-22.612500000000004</v>
      </c>
      <c r="RS52" s="1">
        <v>0.6</v>
      </c>
      <c r="RT52" s="487"/>
      <c r="RU52" s="1"/>
      <c r="RV52" s="487">
        <v>-80.087499999999963</v>
      </c>
      <c r="RW52" s="1">
        <v>0.36363636363636365</v>
      </c>
      <c r="RX52" s="487">
        <v>27.862499999999997</v>
      </c>
      <c r="RY52" s="1">
        <v>0.7</v>
      </c>
      <c r="RZ52" s="487">
        <v>16.512499999999999</v>
      </c>
      <c r="SA52" s="1">
        <v>0.8</v>
      </c>
      <c r="SB52" s="487">
        <v>-63.862500000000004</v>
      </c>
      <c r="SC52" s="1">
        <v>0.42857142857142855</v>
      </c>
      <c r="SD52" s="487"/>
      <c r="SE52" s="1"/>
      <c r="SF52" s="487">
        <v>-59.099999999999987</v>
      </c>
      <c r="SG52" s="1">
        <v>0.46153846153846156</v>
      </c>
      <c r="SH52" s="487">
        <v>7.0874999999999995</v>
      </c>
      <c r="SI52" s="1">
        <v>1</v>
      </c>
      <c r="SJ52" s="487"/>
      <c r="SK52" s="1"/>
      <c r="SL52" s="487">
        <v>-44.537500000000001</v>
      </c>
      <c r="SM52" s="1">
        <v>0.53846153846153844</v>
      </c>
      <c r="SN52" s="487">
        <v>-15.725000000000001</v>
      </c>
      <c r="SO52" s="1">
        <v>0.7</v>
      </c>
      <c r="SP52" s="487">
        <v>-42.15</v>
      </c>
      <c r="SQ52" s="1">
        <v>0</v>
      </c>
      <c r="SR52" s="487">
        <v>-51.837500000000006</v>
      </c>
      <c r="SS52" s="1">
        <v>0.5</v>
      </c>
      <c r="ST52" s="487">
        <v>28.099999999999998</v>
      </c>
      <c r="SU52" s="1">
        <v>1</v>
      </c>
      <c r="SV52" s="487">
        <v>14.0625</v>
      </c>
      <c r="SW52" s="1">
        <v>1</v>
      </c>
      <c r="SX52" s="487"/>
      <c r="SY52" s="1"/>
      <c r="SZ52" s="487">
        <v>-20.074999999999996</v>
      </c>
      <c r="TA52" s="1">
        <v>0</v>
      </c>
      <c r="TB52" s="487">
        <v>16.437499999999996</v>
      </c>
      <c r="TC52" s="1">
        <v>0.83333333333333337</v>
      </c>
      <c r="TD52" s="487">
        <v>11.537499999999998</v>
      </c>
      <c r="TE52" s="1">
        <v>0.7142857142857143</v>
      </c>
      <c r="TF52" s="487"/>
      <c r="TG52" s="1"/>
      <c r="TH52" s="488">
        <v>37.574999999999996</v>
      </c>
      <c r="TI52" s="1">
        <v>0.75</v>
      </c>
      <c r="TJ52" s="489">
        <v>-38.924999999999997</v>
      </c>
      <c r="TK52" s="1">
        <v>0.5</v>
      </c>
      <c r="TL52" s="490"/>
      <c r="TM52" s="1"/>
      <c r="TN52" s="495"/>
      <c r="TO52" s="1"/>
      <c r="TP52" s="500">
        <v>-13.3125</v>
      </c>
      <c r="TQ52" s="1">
        <v>0.5</v>
      </c>
      <c r="TR52" s="511">
        <v>-36.824999999999996</v>
      </c>
      <c r="TS52" s="1">
        <v>0.44444444444444442</v>
      </c>
      <c r="TT52" s="515">
        <v>7.0249999999999995</v>
      </c>
      <c r="TU52" s="1">
        <v>1</v>
      </c>
      <c r="TV52" s="518">
        <v>7.0249999999999995</v>
      </c>
      <c r="TW52" s="1">
        <v>1</v>
      </c>
      <c r="TX52" s="521"/>
      <c r="TY52" s="1"/>
      <c r="TZ52" s="524"/>
      <c r="UA52" s="1"/>
      <c r="UB52" s="527">
        <v>-19.8125</v>
      </c>
      <c r="UC52" s="1">
        <v>0</v>
      </c>
      <c r="UD52" s="530">
        <v>-18.824999999999999</v>
      </c>
      <c r="UE52" s="1">
        <v>0</v>
      </c>
      <c r="UF52" s="533">
        <v>-44.012499999999996</v>
      </c>
      <c r="UG52" s="1">
        <v>0.44444444444444442</v>
      </c>
      <c r="UH52" s="536">
        <v>-13.087499999999999</v>
      </c>
      <c r="UI52" s="1">
        <v>0.5</v>
      </c>
      <c r="UJ52" s="539">
        <v>-22.062499999999993</v>
      </c>
      <c r="UK52" s="1">
        <v>0.5</v>
      </c>
      <c r="UL52" s="540">
        <v>-5.5</v>
      </c>
      <c r="UM52" s="1">
        <v>0.66666666666666663</v>
      </c>
      <c r="UN52" s="543">
        <v>16.0625</v>
      </c>
      <c r="UO52" s="1">
        <v>0.83333333333333337</v>
      </c>
      <c r="UP52" s="544">
        <v>-31.737499999999994</v>
      </c>
      <c r="UQ52" s="1">
        <v>0.5714285714285714</v>
      </c>
      <c r="UR52" s="551">
        <v>15.487500000000001</v>
      </c>
      <c r="US52" s="1">
        <v>0.83333333333333337</v>
      </c>
      <c r="UT52" s="551">
        <v>11.050000000000004</v>
      </c>
      <c r="UU52" s="1">
        <v>0.66666666666666663</v>
      </c>
      <c r="UV52" s="562">
        <v>21.024999999999999</v>
      </c>
      <c r="UW52" s="1">
        <v>1</v>
      </c>
      <c r="UX52" s="566">
        <v>7.0874999999999995</v>
      </c>
      <c r="UY52" s="1">
        <v>1</v>
      </c>
      <c r="UZ52" s="568"/>
      <c r="VA52" s="1"/>
      <c r="VB52" s="572">
        <v>-29.362499999999997</v>
      </c>
      <c r="VC52" s="1">
        <v>0.63636363636363635</v>
      </c>
      <c r="VD52" s="576">
        <v>8.75</v>
      </c>
      <c r="VE52" s="1">
        <v>0.8</v>
      </c>
      <c r="VF52" s="580">
        <v>18.875</v>
      </c>
      <c r="VG52" s="1">
        <v>0.83333333333333337</v>
      </c>
      <c r="VH52" s="584">
        <v>0.4125000000000012</v>
      </c>
      <c r="VI52" s="1">
        <v>0.75</v>
      </c>
      <c r="VJ52" s="589">
        <v>14.387500000000001</v>
      </c>
      <c r="VK52" s="1">
        <v>1</v>
      </c>
      <c r="VL52" s="593">
        <v>-23.5625</v>
      </c>
      <c r="VM52" s="1">
        <v>0.44444444444444442</v>
      </c>
      <c r="VN52" s="597">
        <v>-109.67499999999997</v>
      </c>
      <c r="VO52" s="1">
        <v>0.26666666666666666</v>
      </c>
      <c r="VP52" s="601">
        <v>13.875000000000002</v>
      </c>
      <c r="VQ52" s="1">
        <v>1</v>
      </c>
      <c r="VR52" s="603"/>
      <c r="VS52" s="1"/>
      <c r="VT52" s="607">
        <v>-20.049999999999997</v>
      </c>
      <c r="VU52" s="1">
        <v>0</v>
      </c>
      <c r="VV52" s="609">
        <v>9.5249999999999932</v>
      </c>
      <c r="VW52" s="1">
        <v>0.625</v>
      </c>
      <c r="VX52" s="613">
        <v>13.025000000000004</v>
      </c>
      <c r="VY52" s="1">
        <v>0.8</v>
      </c>
      <c r="VZ52" s="617">
        <v>-23.349999999999998</v>
      </c>
      <c r="WA52" s="1">
        <v>0.3</v>
      </c>
      <c r="WB52" s="619"/>
      <c r="WC52" s="1"/>
      <c r="WD52" s="624">
        <v>-20.074999999999996</v>
      </c>
      <c r="WE52" s="1">
        <v>0</v>
      </c>
      <c r="WF52" s="626">
        <v>23.625</v>
      </c>
      <c r="WG52" s="1">
        <v>0.8571428571428571</v>
      </c>
      <c r="WH52" s="630">
        <v>64.362499999999983</v>
      </c>
      <c r="WI52" s="1">
        <v>1</v>
      </c>
      <c r="WJ52" s="636">
        <v>-6.05</v>
      </c>
      <c r="WK52" s="1">
        <v>0.66666666666666663</v>
      </c>
      <c r="WL52" s="638">
        <v>-72.462499999999977</v>
      </c>
      <c r="WM52" s="1">
        <v>0.33333333333333331</v>
      </c>
      <c r="WN52" s="642">
        <v>-97.149999999999991</v>
      </c>
      <c r="WO52" s="1">
        <v>0.25</v>
      </c>
      <c r="WP52" s="646">
        <v>-33.833333333333329</v>
      </c>
      <c r="WQ52" s="1">
        <v>0.33333333333333331</v>
      </c>
      <c r="WR52" s="652">
        <v>35.599999999999994</v>
      </c>
      <c r="WS52" s="1">
        <v>1</v>
      </c>
      <c r="WT52" s="659">
        <v>-13.149999999999999</v>
      </c>
      <c r="WU52" s="1">
        <v>0.5</v>
      </c>
      <c r="WV52" s="659">
        <v>-82.687499999999986</v>
      </c>
      <c r="WW52" s="1">
        <v>0</v>
      </c>
      <c r="WX52" s="672">
        <v>-12.8125</v>
      </c>
      <c r="WY52" s="1">
        <v>0.5</v>
      </c>
      <c r="WZ52" s="677"/>
      <c r="XA52" s="1"/>
      <c r="XB52" s="681">
        <v>7.0499999999999989</v>
      </c>
      <c r="XC52" s="1">
        <v>1</v>
      </c>
      <c r="XD52" s="683"/>
      <c r="XE52" s="1"/>
      <c r="XF52" s="687">
        <v>7.0625</v>
      </c>
      <c r="XG52" s="1">
        <v>1</v>
      </c>
      <c r="XH52" s="689">
        <v>10.662499999999998</v>
      </c>
      <c r="XI52" s="1">
        <v>0.76923076923076927</v>
      </c>
      <c r="XJ52" s="696">
        <v>7.1875</v>
      </c>
      <c r="XK52" s="1">
        <v>1</v>
      </c>
      <c r="XL52" s="696">
        <v>29.274999999999995</v>
      </c>
      <c r="XM52" s="1">
        <v>0.8</v>
      </c>
      <c r="XN52" s="696">
        <v>6.9749999999999996</v>
      </c>
      <c r="XO52" s="1">
        <v>1</v>
      </c>
      <c r="XP52" s="700">
        <v>7.3124999999999991</v>
      </c>
      <c r="XQ52" s="1">
        <v>1</v>
      </c>
      <c r="XR52" s="705">
        <v>-58.524999999999991</v>
      </c>
      <c r="XS52" s="1">
        <v>0.47368421052631576</v>
      </c>
      <c r="XT52" s="709">
        <v>22.575000000000003</v>
      </c>
      <c r="XU52" s="1">
        <v>0.63636363636363635</v>
      </c>
      <c r="XV52" s="715"/>
      <c r="XW52" s="1"/>
    </row>
    <row r="53" spans="2:647" x14ac:dyDescent="0.25">
      <c r="B53" s="755"/>
      <c r="C53" s="760"/>
      <c r="D53" s="755"/>
      <c r="E53" s="755"/>
      <c r="F53" s="482">
        <v>0.9</v>
      </c>
      <c r="G53" s="475" t="s">
        <v>49</v>
      </c>
      <c r="H53" s="6"/>
      <c r="I53" s="6"/>
      <c r="J53" s="6"/>
      <c r="K53" s="6"/>
      <c r="L53" s="6"/>
      <c r="M53" s="6"/>
      <c r="N53" s="6"/>
      <c r="O53" s="6"/>
      <c r="P53" s="6"/>
      <c r="Q53" s="6"/>
      <c r="R53" s="6"/>
      <c r="S53" s="6"/>
      <c r="T53" s="6"/>
      <c r="U53" s="6"/>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c r="CA53" s="6"/>
      <c r="CB53" s="6"/>
      <c r="CC53" s="6"/>
      <c r="CD53" s="6"/>
      <c r="CE53" s="6"/>
      <c r="CF53" s="6"/>
      <c r="CG53" s="6"/>
      <c r="CH53" s="6"/>
      <c r="CI53" s="6"/>
      <c r="CJ53" s="6"/>
      <c r="CK53" s="6"/>
      <c r="CL53" s="6"/>
      <c r="CM53" s="6"/>
      <c r="CN53" s="6"/>
      <c r="CO53" s="6"/>
      <c r="CP53" s="6"/>
      <c r="CQ53" s="6"/>
      <c r="CR53" s="6"/>
      <c r="CS53" s="6"/>
      <c r="CT53" s="6"/>
      <c r="CU53" s="6"/>
      <c r="CV53" s="6"/>
      <c r="CW53" s="6"/>
      <c r="CX53" s="6"/>
      <c r="CY53" s="6"/>
      <c r="CZ53" s="6"/>
      <c r="DA53" s="6"/>
      <c r="DB53" s="6"/>
      <c r="DC53" s="6"/>
      <c r="DD53" s="6"/>
      <c r="DE53" s="6"/>
      <c r="DF53" s="6"/>
      <c r="DG53" s="6"/>
      <c r="DH53" s="6"/>
      <c r="DI53" s="6"/>
      <c r="DJ53" s="6"/>
      <c r="DK53" s="6"/>
      <c r="DL53" s="6"/>
      <c r="DM53" s="6"/>
      <c r="DN53" s="6"/>
      <c r="DO53" s="6"/>
      <c r="DP53" s="6"/>
      <c r="DQ53" s="6"/>
      <c r="DR53" s="6"/>
      <c r="DS53" s="6"/>
      <c r="DT53" s="6"/>
      <c r="DU53" s="6"/>
      <c r="DV53" s="6"/>
      <c r="DW53" s="6"/>
      <c r="DX53" s="6"/>
      <c r="DY53" s="6"/>
      <c r="DZ53" s="6"/>
      <c r="EA53" s="6"/>
      <c r="EB53" s="6"/>
      <c r="EC53" s="6"/>
      <c r="ED53" s="6"/>
      <c r="EE53" s="6"/>
      <c r="EF53" s="6"/>
      <c r="EG53" s="6"/>
      <c r="EH53" s="6"/>
      <c r="EI53" s="6"/>
      <c r="EJ53" s="6"/>
      <c r="EK53" s="6"/>
      <c r="EL53" s="6"/>
      <c r="EM53" s="6"/>
      <c r="EN53" s="6"/>
      <c r="EO53" s="6"/>
      <c r="EP53" s="6"/>
      <c r="EQ53" s="6"/>
      <c r="ER53" s="487"/>
      <c r="ES53" s="1"/>
      <c r="ET53" s="487"/>
      <c r="EU53" s="1"/>
      <c r="EV53" s="487"/>
      <c r="EW53" s="1"/>
      <c r="EX53" s="487"/>
      <c r="EY53" s="1"/>
      <c r="EZ53" s="487"/>
      <c r="FA53" s="1"/>
      <c r="FB53" s="487"/>
      <c r="FC53" s="1"/>
      <c r="FD53" s="487"/>
      <c r="FE53" s="1"/>
      <c r="FF53" s="487"/>
      <c r="FG53" s="1"/>
      <c r="FH53" s="487"/>
      <c r="FI53" s="1"/>
      <c r="FJ53" s="487"/>
      <c r="FK53" s="1"/>
      <c r="FL53" s="487"/>
      <c r="FM53" s="1"/>
      <c r="FN53" s="487"/>
      <c r="FO53" s="1"/>
      <c r="FP53" s="487"/>
      <c r="FQ53" s="1"/>
      <c r="FR53" s="487"/>
      <c r="FS53" s="1"/>
      <c r="FT53" s="487"/>
      <c r="FU53" s="1"/>
      <c r="FV53" s="487"/>
      <c r="FW53" s="1"/>
      <c r="FX53" s="487"/>
      <c r="FY53" s="1"/>
      <c r="FZ53" s="487"/>
      <c r="GA53" s="1"/>
      <c r="GB53" s="487"/>
      <c r="GC53" s="1"/>
      <c r="GD53" s="487"/>
      <c r="GE53" s="1"/>
      <c r="GF53" s="487"/>
      <c r="GG53" s="1"/>
      <c r="GH53" s="487"/>
      <c r="GI53" s="1"/>
      <c r="GJ53" s="487"/>
      <c r="GK53" s="1"/>
      <c r="GL53" s="487"/>
      <c r="GM53" s="1"/>
      <c r="GN53" s="487"/>
      <c r="GO53" s="1"/>
      <c r="GP53" s="487"/>
      <c r="GQ53" s="1"/>
      <c r="GR53" s="487"/>
      <c r="GS53" s="1"/>
      <c r="GT53" s="487"/>
      <c r="GU53" s="1"/>
      <c r="GV53" s="487"/>
      <c r="GW53" s="1"/>
      <c r="GX53" s="487"/>
      <c r="GY53" s="1"/>
      <c r="GZ53" s="487"/>
      <c r="HA53" s="1"/>
      <c r="HB53" s="487"/>
      <c r="HC53" s="1"/>
      <c r="HD53" s="487"/>
      <c r="HE53" s="1"/>
      <c r="HF53" s="487"/>
      <c r="HG53" s="1"/>
      <c r="HH53" s="487"/>
      <c r="HI53" s="1"/>
      <c r="HJ53" s="487"/>
      <c r="HK53" s="1"/>
      <c r="HL53" s="487"/>
      <c r="HM53" s="1"/>
      <c r="HN53" s="487"/>
      <c r="HO53" s="1"/>
      <c r="HP53" s="487"/>
      <c r="HQ53" s="1"/>
      <c r="HR53" s="487"/>
      <c r="HS53" s="1"/>
      <c r="HT53" s="487"/>
      <c r="HU53" s="1"/>
      <c r="HV53" s="487"/>
      <c r="HW53" s="1"/>
      <c r="HX53" s="487"/>
      <c r="HY53" s="1"/>
      <c r="HZ53" s="487"/>
      <c r="IA53" s="1"/>
      <c r="IB53" s="487"/>
      <c r="IC53" s="1"/>
      <c r="ID53" s="487"/>
      <c r="IE53" s="1"/>
      <c r="IF53" s="487"/>
      <c r="IG53" s="1"/>
      <c r="IH53" s="487"/>
      <c r="II53" s="1"/>
      <c r="IJ53" s="487"/>
      <c r="IK53" s="1"/>
      <c r="IL53" s="487"/>
      <c r="IM53" s="1"/>
      <c r="IN53" s="487"/>
      <c r="IO53" s="1"/>
      <c r="IP53" s="487"/>
      <c r="IQ53" s="1"/>
      <c r="IR53" s="487"/>
      <c r="IS53" s="1"/>
      <c r="IT53" s="487"/>
      <c r="IU53" s="1"/>
      <c r="IV53" s="487"/>
      <c r="IW53" s="1"/>
      <c r="IX53" s="487"/>
      <c r="IY53" s="1"/>
      <c r="IZ53" s="487"/>
      <c r="JA53" s="1"/>
      <c r="JB53" s="487"/>
      <c r="JC53" s="1"/>
      <c r="JD53" s="487"/>
      <c r="JE53" s="1"/>
      <c r="JF53" s="487"/>
      <c r="JG53" s="1"/>
      <c r="JH53" s="487"/>
      <c r="JI53" s="1"/>
      <c r="JJ53" s="487"/>
      <c r="JK53" s="1"/>
      <c r="JL53" s="487"/>
      <c r="JM53" s="1"/>
      <c r="JN53" s="487"/>
      <c r="JO53" s="1"/>
      <c r="JP53" s="487"/>
      <c r="JQ53" s="1"/>
      <c r="JR53" s="487"/>
      <c r="JS53" s="1"/>
      <c r="JT53" s="487"/>
      <c r="JU53" s="1"/>
      <c r="JV53" s="487"/>
      <c r="JW53" s="1"/>
      <c r="JX53" s="487"/>
      <c r="JY53" s="1"/>
      <c r="JZ53" s="487"/>
      <c r="KA53" s="1"/>
      <c r="KB53" s="487"/>
      <c r="KC53" s="1"/>
      <c r="KD53" s="487"/>
      <c r="KE53" s="1"/>
      <c r="KF53" s="487"/>
      <c r="KG53" s="1"/>
      <c r="KH53" s="487"/>
      <c r="KI53" s="1"/>
      <c r="KJ53" s="487"/>
      <c r="KK53" s="1"/>
      <c r="KL53" s="487"/>
      <c r="KM53" s="1"/>
      <c r="KN53" s="487"/>
      <c r="KO53" s="1"/>
      <c r="KP53" s="487"/>
      <c r="KQ53" s="1"/>
      <c r="KR53" s="487"/>
      <c r="KS53" s="1"/>
      <c r="KT53" s="487"/>
      <c r="KU53" s="1"/>
      <c r="KV53" s="487"/>
      <c r="KW53" s="1"/>
      <c r="KX53" s="487"/>
      <c r="KY53" s="1"/>
      <c r="KZ53" s="487"/>
      <c r="LA53" s="1"/>
      <c r="LB53" s="487"/>
      <c r="LC53" s="1"/>
      <c r="LD53" s="487"/>
      <c r="LE53" s="1"/>
      <c r="LF53" s="487"/>
      <c r="LG53" s="1"/>
      <c r="LH53" s="487">
        <v>-3.9666666666666619</v>
      </c>
      <c r="LI53" s="1">
        <v>0.72727272727272729</v>
      </c>
      <c r="LJ53" s="487"/>
      <c r="LK53" s="1"/>
      <c r="LL53" s="487"/>
      <c r="LM53" s="1"/>
      <c r="LN53" s="487">
        <v>-67.13333333333334</v>
      </c>
      <c r="LO53" s="1">
        <v>0.375</v>
      </c>
      <c r="LP53" s="487">
        <v>-27.022222222222219</v>
      </c>
      <c r="LQ53" s="1">
        <v>0.625</v>
      </c>
      <c r="LR53" s="487">
        <v>73.933333333333337</v>
      </c>
      <c r="LS53" s="1">
        <v>1</v>
      </c>
      <c r="LT53" s="487">
        <v>-73.12222222222222</v>
      </c>
      <c r="LU53" s="1">
        <v>0.44444444444444442</v>
      </c>
      <c r="LV53" s="487">
        <v>17.977777777777785</v>
      </c>
      <c r="LW53" s="1">
        <v>0.8</v>
      </c>
      <c r="LX53" s="487">
        <v>-24.18888888888889</v>
      </c>
      <c r="LY53" s="1">
        <v>0.61538461538461542</v>
      </c>
      <c r="LZ53" s="487">
        <v>31.299999999999997</v>
      </c>
      <c r="MA53" s="1">
        <v>0.75</v>
      </c>
      <c r="MB53" s="487">
        <v>17.711111111111105</v>
      </c>
      <c r="MC53" s="1">
        <v>0.7142857142857143</v>
      </c>
      <c r="MD53" s="487"/>
      <c r="ME53" s="1"/>
      <c r="MF53" s="487">
        <v>-80.600000000000009</v>
      </c>
      <c r="MG53" s="1">
        <v>0.25</v>
      </c>
      <c r="MH53" s="487">
        <v>7.333333333333333</v>
      </c>
      <c r="MI53" s="1">
        <v>1</v>
      </c>
      <c r="MJ53" s="487">
        <v>-14.088888888888889</v>
      </c>
      <c r="MK53" s="1">
        <v>0.5</v>
      </c>
      <c r="ML53" s="487">
        <v>-17.977777777777778</v>
      </c>
      <c r="MM53" s="1">
        <v>0.5</v>
      </c>
      <c r="MN53" s="487">
        <v>7.7111111111111112</v>
      </c>
      <c r="MO53" s="1">
        <v>1</v>
      </c>
      <c r="MP53" s="487">
        <v>7.0444444444444443</v>
      </c>
      <c r="MQ53" s="1">
        <v>1</v>
      </c>
      <c r="MR53" s="487">
        <v>7.2555555555555555</v>
      </c>
      <c r="MS53" s="1">
        <v>1</v>
      </c>
      <c r="MT53" s="487">
        <v>-34.68888888888889</v>
      </c>
      <c r="MU53" s="1">
        <v>0.25</v>
      </c>
      <c r="MV53" s="487">
        <v>1.2555555555555544</v>
      </c>
      <c r="MW53" s="1">
        <v>0.75</v>
      </c>
      <c r="MX53" s="487">
        <v>-6.1000000000000041</v>
      </c>
      <c r="MY53" s="1">
        <v>0.66666666666666663</v>
      </c>
      <c r="MZ53" s="487">
        <v>-55.022222222222219</v>
      </c>
      <c r="NA53" s="1">
        <v>0.2857142857142857</v>
      </c>
      <c r="NB53" s="487">
        <v>1.5111111111111104</v>
      </c>
      <c r="NC53" s="1">
        <v>0.625</v>
      </c>
      <c r="ND53" s="487"/>
      <c r="NE53" s="1"/>
      <c r="NF53" s="487">
        <v>-25.788888888888891</v>
      </c>
      <c r="NG53" s="1">
        <v>0.625</v>
      </c>
      <c r="NH53" s="487">
        <v>-25.788888888888891</v>
      </c>
      <c r="NI53" s="1">
        <v>0.625</v>
      </c>
      <c r="NJ53" s="487">
        <v>7.4888888888888898</v>
      </c>
      <c r="NK53" s="1">
        <v>0.77777777777777779</v>
      </c>
      <c r="NL53" s="487"/>
      <c r="NM53" s="1"/>
      <c r="NN53" s="487"/>
      <c r="NO53" s="1"/>
      <c r="NP53" s="487">
        <v>10.499999999999995</v>
      </c>
      <c r="NQ53" s="1">
        <v>0.7</v>
      </c>
      <c r="NR53" s="487">
        <v>8.1333333333333311</v>
      </c>
      <c r="NS53" s="1">
        <v>0.8</v>
      </c>
      <c r="NT53" s="487">
        <v>28.888888888888889</v>
      </c>
      <c r="NU53" s="1">
        <v>1</v>
      </c>
      <c r="NV53" s="487">
        <v>-31.744444444444436</v>
      </c>
      <c r="NW53" s="1">
        <v>0.5714285714285714</v>
      </c>
      <c r="NX53" s="487">
        <v>5.4222222222222234</v>
      </c>
      <c r="NY53" s="1">
        <v>0.66666666666666663</v>
      </c>
      <c r="NZ53" s="487">
        <v>6.9666666666666659</v>
      </c>
      <c r="OA53" s="1">
        <v>1</v>
      </c>
      <c r="OB53" s="487">
        <v>-2.9888888888888894</v>
      </c>
      <c r="OC53" s="1">
        <v>0.33333333333333331</v>
      </c>
      <c r="OD53" s="487">
        <v>-38.766666666666673</v>
      </c>
      <c r="OE53" s="1">
        <v>0.5</v>
      </c>
      <c r="OF53" s="487">
        <v>-40.25555555555556</v>
      </c>
      <c r="OG53" s="1">
        <v>0</v>
      </c>
      <c r="OH53" s="487">
        <v>1.7555555555555566</v>
      </c>
      <c r="OI53" s="1">
        <v>0.75</v>
      </c>
      <c r="OJ53" s="487"/>
      <c r="OK53" s="1"/>
      <c r="OL53" s="487">
        <v>-36.766666666666673</v>
      </c>
      <c r="OM53" s="1">
        <v>0.55555555555555558</v>
      </c>
      <c r="ON53" s="487"/>
      <c r="OO53" s="1"/>
      <c r="OP53" s="487">
        <v>-30.188888888888883</v>
      </c>
      <c r="OQ53" s="1">
        <v>0.5</v>
      </c>
      <c r="OR53" s="487">
        <v>-42.3</v>
      </c>
      <c r="OS53" s="1">
        <v>0.55555555555555558</v>
      </c>
      <c r="OT53" s="487">
        <v>37.422222222222224</v>
      </c>
      <c r="OU53" s="1">
        <v>1</v>
      </c>
      <c r="OV53" s="487"/>
      <c r="OW53" s="1"/>
      <c r="OX53" s="487">
        <v>0.72222222222222354</v>
      </c>
      <c r="OY53" s="1">
        <v>0.75</v>
      </c>
      <c r="OZ53" s="487">
        <v>-25.377777777777773</v>
      </c>
      <c r="PA53" s="1">
        <v>0.5</v>
      </c>
      <c r="PB53" s="487">
        <v>-8.8333333333333339</v>
      </c>
      <c r="PC53" s="1">
        <v>0.66666666666666663</v>
      </c>
      <c r="PD53" s="487">
        <v>-23.099999999999994</v>
      </c>
      <c r="PE53" s="1">
        <v>0.66666666666666663</v>
      </c>
      <c r="PF53" s="487">
        <v>92.677777777777777</v>
      </c>
      <c r="PG53" s="1">
        <v>1</v>
      </c>
      <c r="PH53" s="487">
        <v>18.911111111111111</v>
      </c>
      <c r="PI53" s="1">
        <v>0.61538461538461542</v>
      </c>
      <c r="PJ53" s="487"/>
      <c r="PK53" s="1"/>
      <c r="PL53" s="487"/>
      <c r="PM53" s="1"/>
      <c r="PN53" s="487"/>
      <c r="PO53" s="1"/>
      <c r="PP53" s="487">
        <v>45.155555555555559</v>
      </c>
      <c r="PQ53" s="1">
        <v>0.9</v>
      </c>
      <c r="PR53" s="487">
        <v>-50.722222222222221</v>
      </c>
      <c r="PS53" s="1">
        <v>0.5</v>
      </c>
      <c r="PT53" s="487">
        <v>-62.144444444444453</v>
      </c>
      <c r="PU53" s="1">
        <v>0.54545454545454541</v>
      </c>
      <c r="PV53" s="487">
        <v>-21.833333333333339</v>
      </c>
      <c r="PW53" s="1">
        <v>0.66666666666666663</v>
      </c>
      <c r="PX53" s="487">
        <v>4.0555555555555536</v>
      </c>
      <c r="PY53" s="1">
        <v>0.75</v>
      </c>
      <c r="PZ53" s="487">
        <v>-111.91111111111113</v>
      </c>
      <c r="QA53" s="1">
        <v>0.36363636363636365</v>
      </c>
      <c r="QB53" s="487">
        <v>-4.3444444444444441</v>
      </c>
      <c r="QC53" s="1">
        <v>0.7</v>
      </c>
      <c r="QD53" s="487">
        <v>49.933333333333323</v>
      </c>
      <c r="QE53" s="1">
        <v>0.7857142857142857</v>
      </c>
      <c r="QF53" s="487">
        <v>-6.5111111111111128</v>
      </c>
      <c r="QG53" s="1">
        <v>0.7142857142857143</v>
      </c>
      <c r="QH53" s="487">
        <v>-18.577777777777779</v>
      </c>
      <c r="QI53" s="1">
        <v>0.5714285714285714</v>
      </c>
      <c r="QJ53" s="487">
        <v>-117.1</v>
      </c>
      <c r="QK53" s="1">
        <v>0.33333333333333331</v>
      </c>
      <c r="QL53" s="487">
        <v>31.722222222222218</v>
      </c>
      <c r="QM53" s="1">
        <v>0.81818181818181823</v>
      </c>
      <c r="QN53" s="487">
        <v>-51.800000000000004</v>
      </c>
      <c r="QO53" s="1">
        <v>0.4</v>
      </c>
      <c r="QP53" s="487">
        <v>-83.411111111111111</v>
      </c>
      <c r="QQ53" s="1">
        <v>0.1</v>
      </c>
      <c r="QR53" s="487">
        <v>26.344444444444445</v>
      </c>
      <c r="QS53" s="1">
        <v>0.83333333333333337</v>
      </c>
      <c r="QT53" s="487">
        <v>37.000000000000007</v>
      </c>
      <c r="QU53" s="1">
        <v>0.75</v>
      </c>
      <c r="QV53" s="487">
        <v>49.144444444444446</v>
      </c>
      <c r="QW53" s="1">
        <v>0.875</v>
      </c>
      <c r="QX53" s="487">
        <v>-30.677777777777777</v>
      </c>
      <c r="QY53" s="1">
        <v>0.3</v>
      </c>
      <c r="QZ53" s="487"/>
      <c r="RA53" s="1"/>
      <c r="RB53" s="487">
        <v>23.633333333333336</v>
      </c>
      <c r="RC53" s="1">
        <v>0.8571428571428571</v>
      </c>
      <c r="RD53" s="487">
        <v>9.266666666666671</v>
      </c>
      <c r="RE53" s="1">
        <v>0.69230769230769229</v>
      </c>
      <c r="RF53" s="487">
        <v>39.788888888888891</v>
      </c>
      <c r="RG53" s="1">
        <v>0.81818181818181823</v>
      </c>
      <c r="RH53" s="487">
        <v>-9.8000000000000007</v>
      </c>
      <c r="RI53" s="1">
        <v>0.7</v>
      </c>
      <c r="RJ53" s="487">
        <v>48.166666666666671</v>
      </c>
      <c r="RK53" s="1">
        <v>0.88888888888888884</v>
      </c>
      <c r="RL53" s="487"/>
      <c r="RM53" s="1"/>
      <c r="RN53" s="487">
        <v>25.944444444444446</v>
      </c>
      <c r="RO53" s="1">
        <v>0.8</v>
      </c>
      <c r="RP53" s="487">
        <v>30.722222222222229</v>
      </c>
      <c r="RQ53" s="1">
        <v>0.88888888888888884</v>
      </c>
      <c r="RR53" s="487">
        <v>-23.866666666666664</v>
      </c>
      <c r="RS53" s="1">
        <v>0.6</v>
      </c>
      <c r="RT53" s="487"/>
      <c r="RU53" s="1"/>
      <c r="RV53" s="487">
        <v>-73.966666666666669</v>
      </c>
      <c r="RW53" s="1">
        <v>0.41666666666666669</v>
      </c>
      <c r="RX53" s="487">
        <v>34.955555555555556</v>
      </c>
      <c r="RY53" s="1">
        <v>0.72727272727272729</v>
      </c>
      <c r="RZ53" s="487">
        <v>23.188888888888886</v>
      </c>
      <c r="SA53" s="1">
        <v>0.81818181818181823</v>
      </c>
      <c r="SB53" s="487">
        <v>-119.36666666666667</v>
      </c>
      <c r="SC53" s="1">
        <v>0.3</v>
      </c>
      <c r="SD53" s="487"/>
      <c r="SE53" s="1"/>
      <c r="SF53" s="487">
        <v>-41.533333333333324</v>
      </c>
      <c r="SG53" s="1">
        <v>0.53846153846153844</v>
      </c>
      <c r="SH53" s="487">
        <v>13.933333333333332</v>
      </c>
      <c r="SI53" s="1">
        <v>1</v>
      </c>
      <c r="SJ53" s="487"/>
      <c r="SK53" s="1"/>
      <c r="SL53" s="487">
        <v>-64.722222222222243</v>
      </c>
      <c r="SM53" s="1">
        <v>0.5</v>
      </c>
      <c r="SN53" s="487">
        <v>-46.666666666666664</v>
      </c>
      <c r="SO53" s="1">
        <v>0.55555555555555558</v>
      </c>
      <c r="SP53" s="487">
        <v>4.2888888888888879</v>
      </c>
      <c r="SQ53" s="1">
        <v>0.5</v>
      </c>
      <c r="SR53" s="487">
        <v>20.799999999999997</v>
      </c>
      <c r="SS53" s="1">
        <v>1</v>
      </c>
      <c r="ST53" s="487">
        <v>21.155555555555555</v>
      </c>
      <c r="SU53" s="1">
        <v>1</v>
      </c>
      <c r="SV53" s="487">
        <v>14.288888888888888</v>
      </c>
      <c r="SW53" s="1">
        <v>1</v>
      </c>
      <c r="SX53" s="487"/>
      <c r="SY53" s="1"/>
      <c r="SZ53" s="487">
        <v>-20</v>
      </c>
      <c r="TA53" s="1">
        <v>0</v>
      </c>
      <c r="TB53" s="487">
        <v>2.2666666666666657</v>
      </c>
      <c r="TC53" s="1">
        <v>0.75</v>
      </c>
      <c r="TD53" s="487">
        <v>-3.9444444444444362</v>
      </c>
      <c r="TE53" s="1">
        <v>0.66666666666666663</v>
      </c>
      <c r="TF53" s="487"/>
      <c r="TG53" s="1"/>
      <c r="TH53" s="488">
        <v>42.033333333333331</v>
      </c>
      <c r="TI53" s="1">
        <v>1</v>
      </c>
      <c r="TJ53" s="489">
        <v>-42.5</v>
      </c>
      <c r="TK53" s="1">
        <v>0.6</v>
      </c>
      <c r="TL53" s="490">
        <v>20.9</v>
      </c>
      <c r="TM53" s="1">
        <v>1</v>
      </c>
      <c r="TN53" s="495"/>
      <c r="TO53" s="1"/>
      <c r="TP53" s="500">
        <v>-78.633333333333326</v>
      </c>
      <c r="TQ53" s="1">
        <v>0.375</v>
      </c>
      <c r="TR53" s="511">
        <v>-37.355555555555554</v>
      </c>
      <c r="TS53" s="1">
        <v>0.44444444444444442</v>
      </c>
      <c r="TT53" s="515">
        <v>14.122222222222224</v>
      </c>
      <c r="TU53" s="1">
        <v>1</v>
      </c>
      <c r="TV53" s="518">
        <v>6.9444444444444446</v>
      </c>
      <c r="TW53" s="1">
        <v>1</v>
      </c>
      <c r="TX53" s="521"/>
      <c r="TY53" s="1"/>
      <c r="TZ53" s="524">
        <v>7.2222222222222223</v>
      </c>
      <c r="UA53" s="1">
        <v>1</v>
      </c>
      <c r="UB53" s="527">
        <v>-20.033333333333335</v>
      </c>
      <c r="UC53" s="1">
        <v>0</v>
      </c>
      <c r="UD53" s="530">
        <v>-20.044444444444444</v>
      </c>
      <c r="UE53" s="1">
        <v>0</v>
      </c>
      <c r="UF53" s="533">
        <v>-64.87777777777778</v>
      </c>
      <c r="UG53" s="1">
        <v>0.4</v>
      </c>
      <c r="UH53" s="536">
        <v>-52.944444444444436</v>
      </c>
      <c r="UI53" s="1">
        <v>0.25</v>
      </c>
      <c r="UJ53" s="539">
        <v>-3.4333333333333336</v>
      </c>
      <c r="UK53" s="1">
        <v>0.58333333333333337</v>
      </c>
      <c r="UL53" s="540">
        <v>1.9000000000000008</v>
      </c>
      <c r="UM53" s="1">
        <v>0.75</v>
      </c>
      <c r="UN53" s="543">
        <v>15.700000000000003</v>
      </c>
      <c r="UO53" s="1">
        <v>0.83333333333333337</v>
      </c>
      <c r="UP53" s="544">
        <v>-18.81111111111111</v>
      </c>
      <c r="UQ53" s="1">
        <v>0.6</v>
      </c>
      <c r="UR53" s="551">
        <v>36.522222222222226</v>
      </c>
      <c r="US53" s="1">
        <v>0.88888888888888884</v>
      </c>
      <c r="UT53" s="551">
        <v>18.744444444444444</v>
      </c>
      <c r="UU53" s="1">
        <v>0.69230769230769229</v>
      </c>
      <c r="UV53" s="562">
        <v>28.011111111111113</v>
      </c>
      <c r="UW53" s="1">
        <v>1</v>
      </c>
      <c r="UX53" s="566">
        <v>7.0777777777777775</v>
      </c>
      <c r="UY53" s="1">
        <v>1</v>
      </c>
      <c r="UZ53" s="568"/>
      <c r="VA53" s="1"/>
      <c r="VB53" s="572">
        <v>-45.766666666666644</v>
      </c>
      <c r="VC53" s="1">
        <v>0.6</v>
      </c>
      <c r="VD53" s="576">
        <v>-4.5888888888888841</v>
      </c>
      <c r="VE53" s="1">
        <v>0.7142857142857143</v>
      </c>
      <c r="VF53" s="580">
        <v>9.18888888888889</v>
      </c>
      <c r="VG53" s="1">
        <v>0.66666666666666663</v>
      </c>
      <c r="VH53" s="584">
        <v>-19.455555555555552</v>
      </c>
      <c r="VI53" s="1">
        <v>0.6</v>
      </c>
      <c r="VJ53" s="589">
        <v>14.477777777777778</v>
      </c>
      <c r="VK53" s="1">
        <v>1</v>
      </c>
      <c r="VL53" s="593">
        <v>-54.422222222222224</v>
      </c>
      <c r="VM53" s="1">
        <v>0.3</v>
      </c>
      <c r="VN53" s="597">
        <v>-109.87777777777779</v>
      </c>
      <c r="VO53" s="1">
        <v>0.26666666666666666</v>
      </c>
      <c r="VP53" s="601">
        <v>14.5</v>
      </c>
      <c r="VQ53" s="1">
        <v>1</v>
      </c>
      <c r="VR53" s="603"/>
      <c r="VS53" s="1"/>
      <c r="VT53" s="607">
        <v>-40.266666666666666</v>
      </c>
      <c r="VU53" s="1">
        <v>0</v>
      </c>
      <c r="VV53" s="609">
        <v>30.911111111111111</v>
      </c>
      <c r="VW53" s="1">
        <v>0.8</v>
      </c>
      <c r="VX53" s="613">
        <v>-0.93333333333333757</v>
      </c>
      <c r="VY53" s="1">
        <v>0.75</v>
      </c>
      <c r="VZ53" s="617">
        <v>-29.433333333333334</v>
      </c>
      <c r="WA53" s="1">
        <v>0.25</v>
      </c>
      <c r="WB53" s="619"/>
      <c r="WC53" s="1"/>
      <c r="WD53" s="624">
        <v>-13.011111111111111</v>
      </c>
      <c r="WE53" s="1">
        <v>0.5</v>
      </c>
      <c r="WF53" s="626">
        <v>1.0444444444444458</v>
      </c>
      <c r="WG53" s="1">
        <v>0.66666666666666663</v>
      </c>
      <c r="WH53" s="630">
        <v>79.599999999999994</v>
      </c>
      <c r="WI53" s="1">
        <v>1</v>
      </c>
      <c r="WJ53" s="636">
        <v>-7.4</v>
      </c>
      <c r="WK53" s="1">
        <v>0.66666666666666663</v>
      </c>
      <c r="WL53" s="638">
        <v>-74.066666666666663</v>
      </c>
      <c r="WM53" s="1">
        <v>0.2</v>
      </c>
      <c r="WN53" s="642">
        <v>-26.344444444444445</v>
      </c>
      <c r="WO53" s="1">
        <v>0.55555555555555558</v>
      </c>
      <c r="WP53" s="646">
        <v>-51.7</v>
      </c>
      <c r="WQ53" s="1">
        <v>0</v>
      </c>
      <c r="WR53" s="652">
        <v>55.844444444444434</v>
      </c>
      <c r="WS53" s="1">
        <v>1</v>
      </c>
      <c r="WT53" s="659">
        <v>7.3555555555555552</v>
      </c>
      <c r="WU53" s="1">
        <v>1</v>
      </c>
      <c r="WV53" s="659">
        <v>-82.466666666666669</v>
      </c>
      <c r="WW53" s="1">
        <v>0</v>
      </c>
      <c r="WX53" s="672">
        <v>-13.277777777777779</v>
      </c>
      <c r="WY53" s="1">
        <v>0.5</v>
      </c>
      <c r="WZ53" s="677"/>
      <c r="XA53" s="1"/>
      <c r="XB53" s="681">
        <v>7.5111111111111111</v>
      </c>
      <c r="XC53" s="1">
        <v>1</v>
      </c>
      <c r="XD53" s="683"/>
      <c r="XE53" s="1"/>
      <c r="XF53" s="687">
        <v>7.0666666666666664</v>
      </c>
      <c r="XG53" s="1">
        <v>1</v>
      </c>
      <c r="XH53" s="689">
        <v>3.5555555555555545</v>
      </c>
      <c r="XI53" s="1">
        <v>0.75</v>
      </c>
      <c r="XJ53" s="696"/>
      <c r="XK53" s="1"/>
      <c r="XL53" s="696">
        <v>8.9000000000000021</v>
      </c>
      <c r="XM53" s="1">
        <v>0.72727272727272729</v>
      </c>
      <c r="XN53" s="696">
        <v>7.0555555555555554</v>
      </c>
      <c r="XO53" s="1">
        <v>1</v>
      </c>
      <c r="XP53" s="700">
        <v>7.0777777777777775</v>
      </c>
      <c r="XQ53" s="1">
        <v>1</v>
      </c>
      <c r="XR53" s="705">
        <v>-24.766666666666676</v>
      </c>
      <c r="XS53" s="1">
        <v>0.58333333333333337</v>
      </c>
      <c r="XT53" s="709">
        <v>38.977777777777767</v>
      </c>
      <c r="XU53" s="1">
        <v>0.75</v>
      </c>
      <c r="XV53" s="715"/>
      <c r="XW53" s="1"/>
    </row>
    <row r="54" spans="2:647" x14ac:dyDescent="0.25">
      <c r="B54" s="755"/>
      <c r="C54" s="760"/>
      <c r="D54" s="773" t="s">
        <v>68</v>
      </c>
      <c r="E54" s="773"/>
      <c r="F54" s="482">
        <v>1</v>
      </c>
      <c r="G54" s="475" t="s">
        <v>40</v>
      </c>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c r="CA54" s="6"/>
      <c r="CB54" s="6"/>
      <c r="CC54" s="6"/>
      <c r="CD54" s="6"/>
      <c r="CE54" s="6"/>
      <c r="CF54" s="6"/>
      <c r="CG54" s="6"/>
      <c r="CH54" s="6"/>
      <c r="CI54" s="6"/>
      <c r="CJ54" s="6"/>
      <c r="CK54" s="6"/>
      <c r="CL54" s="6"/>
      <c r="CM54" s="6"/>
      <c r="CN54" s="6"/>
      <c r="CO54" s="6"/>
      <c r="CP54" s="6"/>
      <c r="CQ54" s="6"/>
      <c r="CR54" s="6"/>
      <c r="CS54" s="6"/>
      <c r="CT54" s="6"/>
      <c r="CU54" s="6"/>
      <c r="CV54" s="6"/>
      <c r="CW54" s="6"/>
      <c r="CX54" s="6"/>
      <c r="CY54" s="6"/>
      <c r="CZ54" s="6"/>
      <c r="DA54" s="6"/>
      <c r="DB54" s="6"/>
      <c r="DC54" s="6"/>
      <c r="DD54" s="6"/>
      <c r="DE54" s="6"/>
      <c r="DF54" s="6"/>
      <c r="DG54" s="6"/>
      <c r="DH54" s="6"/>
      <c r="DI54" s="6"/>
      <c r="DJ54" s="6"/>
      <c r="DK54" s="6"/>
      <c r="DL54" s="6"/>
      <c r="DM54" s="6"/>
      <c r="DN54" s="6"/>
      <c r="DO54" s="6"/>
      <c r="DP54" s="6"/>
      <c r="DQ54" s="6"/>
      <c r="DR54" s="6"/>
      <c r="DS54" s="6"/>
      <c r="DT54" s="6"/>
      <c r="DU54" s="6"/>
      <c r="DV54" s="6"/>
      <c r="DW54" s="6"/>
      <c r="DX54" s="6"/>
      <c r="DY54" s="6"/>
      <c r="DZ54" s="6"/>
      <c r="EA54" s="6"/>
      <c r="EB54" s="6"/>
      <c r="EC54" s="6"/>
      <c r="ED54" s="6"/>
      <c r="EE54" s="6"/>
      <c r="EF54" s="6"/>
      <c r="EG54" s="6"/>
      <c r="EH54" s="6"/>
      <c r="EI54" s="6"/>
      <c r="EJ54" s="6"/>
      <c r="EK54" s="6"/>
      <c r="EL54" s="6"/>
      <c r="EM54" s="6"/>
      <c r="EN54" s="6"/>
      <c r="EO54" s="6"/>
      <c r="EP54" s="6"/>
      <c r="EQ54" s="6"/>
      <c r="ER54" s="487"/>
      <c r="ES54" s="1"/>
      <c r="ET54" s="487"/>
      <c r="EU54" s="1"/>
      <c r="EV54" s="487"/>
      <c r="EW54" s="1"/>
      <c r="EX54" s="487"/>
      <c r="EY54" s="1"/>
      <c r="EZ54" s="487"/>
      <c r="FA54" s="1"/>
      <c r="FB54" s="487"/>
      <c r="FC54" s="1"/>
      <c r="FD54" s="487"/>
      <c r="FE54" s="1"/>
      <c r="FF54" s="487"/>
      <c r="FG54" s="1"/>
      <c r="FH54" s="487"/>
      <c r="FI54" s="1"/>
      <c r="FJ54" s="487"/>
      <c r="FK54" s="1"/>
      <c r="FL54" s="487"/>
      <c r="FM54" s="1"/>
      <c r="FN54" s="487"/>
      <c r="FO54" s="1"/>
      <c r="FP54" s="487"/>
      <c r="FQ54" s="1"/>
      <c r="FR54" s="487"/>
      <c r="FS54" s="1"/>
      <c r="FT54" s="487"/>
      <c r="FU54" s="1"/>
      <c r="FV54" s="487"/>
      <c r="FW54" s="1"/>
      <c r="FX54" s="487"/>
      <c r="FY54" s="1"/>
      <c r="FZ54" s="487"/>
      <c r="GA54" s="1"/>
      <c r="GB54" s="487"/>
      <c r="GC54" s="1"/>
      <c r="GD54" s="487"/>
      <c r="GE54" s="1"/>
      <c r="GF54" s="487"/>
      <c r="GG54" s="1"/>
      <c r="GH54" s="487"/>
      <c r="GI54" s="1"/>
      <c r="GJ54" s="487"/>
      <c r="GK54" s="1"/>
      <c r="GL54" s="487"/>
      <c r="GM54" s="1"/>
      <c r="GN54" s="487"/>
      <c r="GO54" s="1"/>
      <c r="GP54" s="487"/>
      <c r="GQ54" s="1"/>
      <c r="GR54" s="487"/>
      <c r="GS54" s="1"/>
      <c r="GT54" s="487"/>
      <c r="GU54" s="1"/>
      <c r="GV54" s="487"/>
      <c r="GW54" s="1"/>
      <c r="GX54" s="487"/>
      <c r="GY54" s="1"/>
      <c r="GZ54" s="487"/>
      <c r="HA54" s="1"/>
      <c r="HB54" s="487"/>
      <c r="HC54" s="1"/>
      <c r="HD54" s="487"/>
      <c r="HE54" s="1"/>
      <c r="HF54" s="487"/>
      <c r="HG54" s="1"/>
      <c r="HH54" s="487"/>
      <c r="HI54" s="1"/>
      <c r="HJ54" s="487"/>
      <c r="HK54" s="1"/>
      <c r="HL54" s="487"/>
      <c r="HM54" s="1"/>
      <c r="HN54" s="487"/>
      <c r="HO54" s="1"/>
      <c r="HP54" s="487"/>
      <c r="HQ54" s="1"/>
      <c r="HR54" s="487"/>
      <c r="HS54" s="1"/>
      <c r="HT54" s="487"/>
      <c r="HU54" s="1"/>
      <c r="HV54" s="487"/>
      <c r="HW54" s="1"/>
      <c r="HX54" s="487"/>
      <c r="HY54" s="1"/>
      <c r="HZ54" s="487"/>
      <c r="IA54" s="1"/>
      <c r="IB54" s="487"/>
      <c r="IC54" s="1"/>
      <c r="ID54" s="487"/>
      <c r="IE54" s="1"/>
      <c r="IF54" s="487"/>
      <c r="IG54" s="1"/>
      <c r="IH54" s="487"/>
      <c r="II54" s="1"/>
      <c r="IJ54" s="487"/>
      <c r="IK54" s="1"/>
      <c r="IL54" s="487"/>
      <c r="IM54" s="1"/>
      <c r="IN54" s="487"/>
      <c r="IO54" s="1"/>
      <c r="IP54" s="487"/>
      <c r="IQ54" s="1"/>
      <c r="IR54" s="487"/>
      <c r="IS54" s="1"/>
      <c r="IT54" s="487"/>
      <c r="IU54" s="1"/>
      <c r="IV54" s="487"/>
      <c r="IW54" s="1"/>
      <c r="IX54" s="487"/>
      <c r="IY54" s="1"/>
      <c r="IZ54" s="487"/>
      <c r="JA54" s="1"/>
      <c r="JB54" s="487"/>
      <c r="JC54" s="1"/>
      <c r="JD54" s="487"/>
      <c r="JE54" s="1"/>
      <c r="JF54" s="487"/>
      <c r="JG54" s="1"/>
      <c r="JH54" s="487"/>
      <c r="JI54" s="1"/>
      <c r="JJ54" s="487"/>
      <c r="JK54" s="1"/>
      <c r="JL54" s="487"/>
      <c r="JM54" s="1"/>
      <c r="JN54" s="487"/>
      <c r="JO54" s="1"/>
      <c r="JP54" s="487"/>
      <c r="JQ54" s="1"/>
      <c r="JR54" s="487"/>
      <c r="JS54" s="1"/>
      <c r="JT54" s="487"/>
      <c r="JU54" s="1"/>
      <c r="JV54" s="487"/>
      <c r="JW54" s="1"/>
      <c r="JX54" s="487"/>
      <c r="JY54" s="1"/>
      <c r="JZ54" s="487"/>
      <c r="KA54" s="1"/>
      <c r="KB54" s="487"/>
      <c r="KC54" s="1"/>
      <c r="KD54" s="487"/>
      <c r="KE54" s="1"/>
      <c r="KF54" s="487"/>
      <c r="KG54" s="1"/>
      <c r="KH54" s="487"/>
      <c r="KI54" s="1"/>
      <c r="KJ54" s="487"/>
      <c r="KK54" s="1"/>
      <c r="KL54" s="487"/>
      <c r="KM54" s="1"/>
      <c r="KN54" s="487"/>
      <c r="KO54" s="1"/>
      <c r="KP54" s="487"/>
      <c r="KQ54" s="1"/>
      <c r="KR54" s="487"/>
      <c r="KS54" s="1"/>
      <c r="KT54" s="487"/>
      <c r="KU54" s="1"/>
      <c r="KV54" s="487"/>
      <c r="KW54" s="1"/>
      <c r="KX54" s="487"/>
      <c r="KY54" s="1"/>
      <c r="KZ54" s="487"/>
      <c r="LA54" s="1"/>
      <c r="LB54" s="487"/>
      <c r="LC54" s="1"/>
      <c r="LD54" s="487"/>
      <c r="LE54" s="1"/>
      <c r="LF54" s="487"/>
      <c r="LG54" s="1"/>
      <c r="LH54" s="487"/>
      <c r="LI54" s="1"/>
      <c r="LJ54" s="487"/>
      <c r="LK54" s="1"/>
      <c r="LL54" s="487"/>
      <c r="LM54" s="1"/>
      <c r="LN54" s="487"/>
      <c r="LO54" s="1"/>
      <c r="LP54" s="487"/>
      <c r="LQ54" s="1"/>
      <c r="LR54" s="487"/>
      <c r="LS54" s="1"/>
      <c r="LT54" s="487"/>
      <c r="LU54" s="1"/>
      <c r="LV54" s="487"/>
      <c r="LW54" s="1"/>
      <c r="LX54" s="487"/>
      <c r="LY54" s="1"/>
      <c r="LZ54" s="487"/>
      <c r="MA54" s="1"/>
      <c r="MB54" s="487"/>
      <c r="MC54" s="1"/>
      <c r="MD54" s="487"/>
      <c r="ME54" s="1"/>
      <c r="MF54" s="487"/>
      <c r="MG54" s="1"/>
      <c r="MH54" s="487"/>
      <c r="MI54" s="1"/>
      <c r="MJ54" s="487"/>
      <c r="MK54" s="1"/>
      <c r="ML54" s="487"/>
      <c r="MM54" s="1"/>
      <c r="MN54" s="487"/>
      <c r="MO54" s="1"/>
      <c r="MP54" s="487"/>
      <c r="MQ54" s="1"/>
      <c r="MR54" s="487"/>
      <c r="MS54" s="1"/>
      <c r="MT54" s="487"/>
      <c r="MU54" s="1"/>
      <c r="MV54" s="487"/>
      <c r="MW54" s="1"/>
      <c r="MX54" s="487"/>
      <c r="MY54" s="1"/>
      <c r="MZ54" s="487"/>
      <c r="NA54" s="1"/>
      <c r="NB54" s="487"/>
      <c r="NC54" s="1"/>
      <c r="ND54" s="487"/>
      <c r="NE54" s="1"/>
      <c r="NF54" s="487"/>
      <c r="NG54" s="1"/>
      <c r="NH54" s="487"/>
      <c r="NI54" s="1"/>
      <c r="NJ54" s="487"/>
      <c r="NK54" s="1"/>
      <c r="NL54" s="487"/>
      <c r="NM54" s="1"/>
      <c r="NN54" s="487"/>
      <c r="NO54" s="1"/>
      <c r="NP54" s="487"/>
      <c r="NQ54" s="1"/>
      <c r="NR54" s="487"/>
      <c r="NS54" s="1"/>
      <c r="NT54" s="487"/>
      <c r="NU54" s="1"/>
      <c r="NV54" s="487"/>
      <c r="NW54" s="1"/>
      <c r="NX54" s="487"/>
      <c r="NY54" s="1"/>
      <c r="NZ54" s="487"/>
      <c r="OA54" s="1"/>
      <c r="OB54" s="487"/>
      <c r="OC54" s="1"/>
      <c r="OD54" s="487"/>
      <c r="OE54" s="1"/>
      <c r="OF54" s="487"/>
      <c r="OG54" s="1"/>
      <c r="OH54" s="487"/>
      <c r="OI54" s="1"/>
      <c r="OJ54" s="487"/>
      <c r="OK54" s="1"/>
      <c r="OL54" s="487"/>
      <c r="OM54" s="1"/>
      <c r="ON54" s="487"/>
      <c r="OO54" s="1"/>
      <c r="OP54" s="487"/>
      <c r="OQ54" s="1"/>
      <c r="OR54" s="487"/>
      <c r="OS54" s="1"/>
      <c r="OT54" s="487"/>
      <c r="OU54" s="1"/>
      <c r="OV54" s="487"/>
      <c r="OW54" s="1"/>
      <c r="OX54" s="487"/>
      <c r="OY54" s="1"/>
      <c r="OZ54" s="487"/>
      <c r="PA54" s="1"/>
      <c r="PB54" s="487"/>
      <c r="PC54" s="1"/>
      <c r="PD54" s="487"/>
      <c r="PE54" s="1"/>
      <c r="PF54" s="487"/>
      <c r="PG54" s="1"/>
      <c r="PH54" s="487"/>
      <c r="PI54" s="1"/>
      <c r="PJ54" s="487"/>
      <c r="PK54" s="1"/>
      <c r="PL54" s="487"/>
      <c r="PM54" s="1"/>
      <c r="PN54" s="487"/>
      <c r="PO54" s="1"/>
      <c r="PP54" s="487"/>
      <c r="PQ54" s="1"/>
      <c r="PR54" s="487"/>
      <c r="PS54" s="1"/>
      <c r="PT54" s="487"/>
      <c r="PU54" s="1"/>
      <c r="PV54" s="487"/>
      <c r="PW54" s="1"/>
      <c r="PX54" s="487"/>
      <c r="PY54" s="1"/>
      <c r="PZ54" s="487"/>
      <c r="QA54" s="1"/>
      <c r="QB54" s="487"/>
      <c r="QC54" s="1"/>
      <c r="QD54" s="487"/>
      <c r="QE54" s="1"/>
      <c r="QF54" s="487"/>
      <c r="QG54" s="1"/>
      <c r="QH54" s="487"/>
      <c r="QI54" s="1"/>
      <c r="QJ54" s="487"/>
      <c r="QK54" s="1"/>
      <c r="QL54" s="487"/>
      <c r="QM54" s="1"/>
      <c r="QN54" s="487"/>
      <c r="QO54" s="1"/>
      <c r="QP54" s="487"/>
      <c r="QQ54" s="1"/>
      <c r="QR54" s="487"/>
      <c r="QS54" s="1"/>
      <c r="QT54" s="487"/>
      <c r="QU54" s="1"/>
      <c r="QV54" s="487"/>
      <c r="QW54" s="1"/>
      <c r="QX54" s="487"/>
      <c r="QY54" s="1"/>
      <c r="QZ54" s="487"/>
      <c r="RA54" s="1"/>
      <c r="RB54" s="487"/>
      <c r="RC54" s="1"/>
      <c r="RD54" s="487"/>
      <c r="RE54" s="1"/>
      <c r="RF54" s="487"/>
      <c r="RG54" s="1"/>
      <c r="RH54" s="487"/>
      <c r="RI54" s="1"/>
      <c r="RJ54" s="487"/>
      <c r="RK54" s="1"/>
      <c r="RL54" s="487"/>
      <c r="RM54" s="1"/>
      <c r="RN54" s="487"/>
      <c r="RO54" s="1"/>
      <c r="RP54" s="487"/>
      <c r="RQ54" s="1"/>
      <c r="RR54" s="487"/>
      <c r="RS54" s="1"/>
      <c r="RT54" s="487"/>
      <c r="RU54" s="1"/>
      <c r="RV54" s="487"/>
      <c r="RW54" s="1"/>
      <c r="RX54" s="487"/>
      <c r="RY54" s="1"/>
      <c r="RZ54" s="487"/>
      <c r="SA54" s="1"/>
      <c r="SB54" s="487"/>
      <c r="SC54" s="1"/>
      <c r="SD54" s="487"/>
      <c r="SE54" s="1"/>
      <c r="SF54" s="487">
        <v>8.9899999999999984</v>
      </c>
      <c r="SG54" s="1">
        <v>0.75</v>
      </c>
      <c r="SH54" s="487"/>
      <c r="SI54" s="1"/>
      <c r="SJ54" s="487"/>
      <c r="SK54" s="1"/>
      <c r="SL54" s="487">
        <v>-28.480000000000004</v>
      </c>
      <c r="SM54" s="1">
        <v>0.33333333333333331</v>
      </c>
      <c r="SN54" s="487">
        <v>16.990000000000002</v>
      </c>
      <c r="SO54" s="1">
        <v>0.5</v>
      </c>
      <c r="SP54" s="487"/>
      <c r="SQ54" s="1"/>
      <c r="SR54" s="487">
        <v>20.420000000000002</v>
      </c>
      <c r="SS54" s="1">
        <v>1</v>
      </c>
      <c r="ST54" s="487">
        <v>-28.830000000000002</v>
      </c>
      <c r="SU54" s="1">
        <v>0</v>
      </c>
      <c r="SV54" s="487">
        <v>-0.22999999999999998</v>
      </c>
      <c r="SW54" s="1">
        <v>0</v>
      </c>
      <c r="SX54" s="487"/>
      <c r="SY54" s="1"/>
      <c r="SZ54" s="487"/>
      <c r="TA54" s="1"/>
      <c r="TB54" s="487"/>
      <c r="TC54" s="1"/>
      <c r="TD54" s="487">
        <v>6.44</v>
      </c>
      <c r="TE54" s="1">
        <v>0.75</v>
      </c>
      <c r="TF54" s="487"/>
      <c r="TG54" s="1"/>
      <c r="TH54" s="488"/>
      <c r="TI54" s="1"/>
      <c r="TJ54" s="489"/>
      <c r="TK54" s="1"/>
      <c r="TL54" s="490"/>
      <c r="TM54" s="1"/>
      <c r="TN54" s="495"/>
      <c r="TO54" s="1"/>
      <c r="TP54" s="500">
        <v>30.7</v>
      </c>
      <c r="TQ54" s="1">
        <v>1</v>
      </c>
      <c r="TR54" s="511">
        <v>27.259999999999998</v>
      </c>
      <c r="TS54" s="1">
        <v>1</v>
      </c>
      <c r="TT54" s="515">
        <v>12.9</v>
      </c>
      <c r="TU54" s="1">
        <v>1</v>
      </c>
      <c r="TV54" s="518"/>
      <c r="TW54" s="1"/>
      <c r="TX54" s="521"/>
      <c r="TY54" s="1"/>
      <c r="TZ54" s="524"/>
      <c r="UA54" s="1"/>
      <c r="UB54" s="527"/>
      <c r="UC54" s="1"/>
      <c r="UD54" s="530"/>
      <c r="UE54" s="1"/>
      <c r="UF54" s="533">
        <v>24.6</v>
      </c>
      <c r="UG54" s="1">
        <v>1</v>
      </c>
      <c r="UH54" s="536">
        <v>13.51</v>
      </c>
      <c r="UI54" s="1">
        <v>1</v>
      </c>
      <c r="UJ54" s="539">
        <v>21.67</v>
      </c>
      <c r="UK54" s="1">
        <v>1</v>
      </c>
      <c r="UL54" s="540">
        <v>-8.39</v>
      </c>
      <c r="UM54" s="1">
        <v>0</v>
      </c>
      <c r="UN54" s="543">
        <v>21.39</v>
      </c>
      <c r="UO54" s="1">
        <v>0.66666666666666663</v>
      </c>
      <c r="UP54" s="544">
        <v>16.54</v>
      </c>
      <c r="UQ54" s="1">
        <v>1</v>
      </c>
      <c r="UR54" s="551">
        <v>-1.0600000000000005</v>
      </c>
      <c r="US54" s="1">
        <v>0.5</v>
      </c>
      <c r="UT54" s="551">
        <v>-3.24</v>
      </c>
      <c r="UU54" s="1">
        <v>0.6</v>
      </c>
      <c r="UV54" s="562"/>
      <c r="UW54" s="1"/>
      <c r="UX54" s="566"/>
      <c r="UY54" s="1"/>
      <c r="UZ54" s="568"/>
      <c r="VA54" s="1"/>
      <c r="VB54" s="572">
        <v>-1.6800000000000002</v>
      </c>
      <c r="VC54" s="1">
        <v>0.4</v>
      </c>
      <c r="VD54" s="576">
        <v>-7.0900000000000007</v>
      </c>
      <c r="VE54" s="1">
        <v>0.5</v>
      </c>
      <c r="VF54" s="580">
        <v>-33.489999999999995</v>
      </c>
      <c r="VG54" s="1">
        <v>0</v>
      </c>
      <c r="VH54" s="584"/>
      <c r="VI54" s="1"/>
      <c r="VJ54" s="589"/>
      <c r="VK54" s="1"/>
      <c r="VL54" s="593">
        <v>-40.630000000000003</v>
      </c>
      <c r="VM54" s="1">
        <v>0</v>
      </c>
      <c r="VN54" s="597"/>
      <c r="VO54" s="1"/>
      <c r="VP54" s="601"/>
      <c r="VQ54" s="1"/>
      <c r="VR54" s="603"/>
      <c r="VS54" s="1"/>
      <c r="VT54" s="607"/>
      <c r="VU54" s="1"/>
      <c r="VV54" s="609">
        <v>29.29</v>
      </c>
      <c r="VW54" s="1">
        <v>0.75</v>
      </c>
      <c r="VX54" s="613">
        <v>-25.760000000000005</v>
      </c>
      <c r="VY54" s="1">
        <v>0.5</v>
      </c>
      <c r="VZ54" s="617">
        <v>-2.9399999999999995</v>
      </c>
      <c r="WA54" s="1">
        <v>0.5</v>
      </c>
      <c r="WB54" s="619"/>
      <c r="WC54" s="1"/>
      <c r="WD54" s="624"/>
      <c r="WE54" s="1"/>
      <c r="WF54" s="626">
        <v>-6.9499999999999984</v>
      </c>
      <c r="WG54" s="1">
        <v>0.25</v>
      </c>
      <c r="WH54" s="630">
        <v>-13.17</v>
      </c>
      <c r="WI54" s="1">
        <v>0</v>
      </c>
      <c r="WJ54" s="636">
        <v>-6.75</v>
      </c>
      <c r="WK54" s="1">
        <v>0.33333333333333331</v>
      </c>
      <c r="WL54" s="638">
        <v>11.13</v>
      </c>
      <c r="WM54" s="1">
        <v>1</v>
      </c>
      <c r="WN54" s="642">
        <v>1.1900000000000013</v>
      </c>
      <c r="WO54" s="1">
        <v>0.5</v>
      </c>
      <c r="WP54" s="646">
        <v>-24.990909090909092</v>
      </c>
      <c r="WQ54" s="1">
        <v>0</v>
      </c>
      <c r="WR54" s="652">
        <v>-18.07</v>
      </c>
      <c r="WS54" s="1">
        <v>0.33333333333333331</v>
      </c>
      <c r="WT54" s="659"/>
      <c r="WU54" s="1"/>
      <c r="WV54" s="659">
        <v>1.5599999999999998</v>
      </c>
      <c r="WW54" s="1">
        <v>0.5</v>
      </c>
      <c r="WX54" s="672"/>
      <c r="WY54" s="1"/>
      <c r="WZ54" s="677"/>
      <c r="XA54" s="1"/>
      <c r="XB54" s="681"/>
      <c r="XC54" s="1"/>
      <c r="XD54" s="683"/>
      <c r="XE54" s="1"/>
      <c r="XF54" s="687"/>
      <c r="XG54" s="1"/>
      <c r="XH54" s="689">
        <v>-1.4400000000000013</v>
      </c>
      <c r="XI54" s="1">
        <v>0.4</v>
      </c>
      <c r="XJ54" s="696"/>
      <c r="XK54" s="1"/>
      <c r="XL54" s="696">
        <v>-25.909999999999997</v>
      </c>
      <c r="XM54" s="1">
        <v>0</v>
      </c>
      <c r="XN54" s="696"/>
      <c r="XO54" s="1"/>
      <c r="XP54" s="700"/>
      <c r="XQ54" s="1"/>
      <c r="XR54" s="705">
        <v>-1.25</v>
      </c>
      <c r="XS54" s="1">
        <v>0.6</v>
      </c>
      <c r="XT54" s="709">
        <v>2.0600000000000005</v>
      </c>
      <c r="XU54" s="1">
        <v>0.25</v>
      </c>
      <c r="XV54" s="715"/>
      <c r="XW54" s="1"/>
    </row>
    <row r="55" spans="2:647" x14ac:dyDescent="0.25">
      <c r="B55" s="755"/>
      <c r="C55" s="760"/>
      <c r="D55" s="773"/>
      <c r="E55" s="773"/>
      <c r="F55" s="482">
        <v>1.1000000000000001</v>
      </c>
      <c r="G55" s="476" t="s">
        <v>52</v>
      </c>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c r="BJ55" s="6"/>
      <c r="BK55" s="6"/>
      <c r="BL55" s="6"/>
      <c r="BM55" s="6"/>
      <c r="BN55" s="6"/>
      <c r="BO55" s="6"/>
      <c r="BP55" s="6"/>
      <c r="BQ55" s="6"/>
      <c r="BR55" s="6"/>
      <c r="BS55" s="6"/>
      <c r="BT55" s="6"/>
      <c r="BU55" s="6"/>
      <c r="BV55" s="6"/>
      <c r="BW55" s="6"/>
      <c r="BX55" s="6"/>
      <c r="BY55" s="6"/>
      <c r="BZ55" s="6"/>
      <c r="CA55" s="6"/>
      <c r="CB55" s="6"/>
      <c r="CC55" s="6"/>
      <c r="CD55" s="6"/>
      <c r="CE55" s="6"/>
      <c r="CF55" s="6"/>
      <c r="CG55" s="6"/>
      <c r="CH55" s="6"/>
      <c r="CI55" s="6"/>
      <c r="CJ55" s="6"/>
      <c r="CK55" s="6"/>
      <c r="CL55" s="6"/>
      <c r="CM55" s="6"/>
      <c r="CN55" s="6"/>
      <c r="CO55" s="6"/>
      <c r="CP55" s="6"/>
      <c r="CQ55" s="6"/>
      <c r="CR55" s="6"/>
      <c r="CS55" s="6"/>
      <c r="CT55" s="6"/>
      <c r="CU55" s="6"/>
      <c r="CV55" s="6"/>
      <c r="CW55" s="6"/>
      <c r="CX55" s="6"/>
      <c r="CY55" s="6"/>
      <c r="CZ55" s="6"/>
      <c r="DA55" s="6"/>
      <c r="DB55" s="6"/>
      <c r="DC55" s="6"/>
      <c r="DD55" s="6"/>
      <c r="DE55" s="6"/>
      <c r="DF55" s="6"/>
      <c r="DG55" s="6"/>
      <c r="DH55" s="6"/>
      <c r="DI55" s="6"/>
      <c r="DJ55" s="6"/>
      <c r="DK55" s="6"/>
      <c r="DL55" s="6"/>
      <c r="DM55" s="6"/>
      <c r="DN55" s="6"/>
      <c r="DO55" s="6"/>
      <c r="DP55" s="6"/>
      <c r="DQ55" s="6"/>
      <c r="DR55" s="6"/>
      <c r="DS55" s="6"/>
      <c r="DT55" s="6"/>
      <c r="DU55" s="6"/>
      <c r="DV55" s="6"/>
      <c r="DW55" s="6"/>
      <c r="DX55" s="6"/>
      <c r="DY55" s="6"/>
      <c r="DZ55" s="6"/>
      <c r="EA55" s="6"/>
      <c r="EB55" s="6"/>
      <c r="EC55" s="6"/>
      <c r="ED55" s="6"/>
      <c r="EE55" s="6"/>
      <c r="EF55" s="6"/>
      <c r="EG55" s="6"/>
      <c r="EH55" s="6"/>
      <c r="EI55" s="6"/>
      <c r="EJ55" s="6"/>
      <c r="EK55" s="6"/>
      <c r="EL55" s="6"/>
      <c r="EM55" s="6"/>
      <c r="EN55" s="6"/>
      <c r="EO55" s="6"/>
      <c r="EP55" s="6"/>
      <c r="EQ55" s="6"/>
      <c r="ER55" s="487"/>
      <c r="ES55" s="1"/>
      <c r="ET55" s="487"/>
      <c r="EU55" s="1"/>
      <c r="EV55" s="487"/>
      <c r="EW55" s="1"/>
      <c r="EX55" s="487"/>
      <c r="EY55" s="1"/>
      <c r="EZ55" s="487"/>
      <c r="FA55" s="1"/>
      <c r="FB55" s="487"/>
      <c r="FC55" s="1"/>
      <c r="FD55" s="487"/>
      <c r="FE55" s="1"/>
      <c r="FF55" s="487"/>
      <c r="FG55" s="1"/>
      <c r="FH55" s="487"/>
      <c r="FI55" s="1"/>
      <c r="FJ55" s="487"/>
      <c r="FK55" s="1"/>
      <c r="FL55" s="487"/>
      <c r="FM55" s="1"/>
      <c r="FN55" s="487"/>
      <c r="FO55" s="1"/>
      <c r="FP55" s="487"/>
      <c r="FQ55" s="1"/>
      <c r="FR55" s="487"/>
      <c r="FS55" s="1"/>
      <c r="FT55" s="487"/>
      <c r="FU55" s="1"/>
      <c r="FV55" s="487"/>
      <c r="FW55" s="1"/>
      <c r="FX55" s="487"/>
      <c r="FY55" s="1"/>
      <c r="FZ55" s="487"/>
      <c r="GA55" s="1"/>
      <c r="GB55" s="487"/>
      <c r="GC55" s="1"/>
      <c r="GD55" s="487"/>
      <c r="GE55" s="1"/>
      <c r="GF55" s="487"/>
      <c r="GG55" s="1"/>
      <c r="GH55" s="487"/>
      <c r="GI55" s="1"/>
      <c r="GJ55" s="487"/>
      <c r="GK55" s="1"/>
      <c r="GL55" s="487"/>
      <c r="GM55" s="1"/>
      <c r="GN55" s="487"/>
      <c r="GO55" s="1"/>
      <c r="GP55" s="487"/>
      <c r="GQ55" s="1"/>
      <c r="GR55" s="487"/>
      <c r="GS55" s="1"/>
      <c r="GT55" s="487"/>
      <c r="GU55" s="1"/>
      <c r="GV55" s="487"/>
      <c r="GW55" s="1"/>
      <c r="GX55" s="487"/>
      <c r="GY55" s="1"/>
      <c r="GZ55" s="487"/>
      <c r="HA55" s="1"/>
      <c r="HB55" s="487"/>
      <c r="HC55" s="1"/>
      <c r="HD55" s="487"/>
      <c r="HE55" s="1"/>
      <c r="HF55" s="487"/>
      <c r="HG55" s="1"/>
      <c r="HH55" s="487"/>
      <c r="HI55" s="1"/>
      <c r="HJ55" s="487"/>
      <c r="HK55" s="1"/>
      <c r="HL55" s="487"/>
      <c r="HM55" s="1"/>
      <c r="HN55" s="487"/>
      <c r="HO55" s="1"/>
      <c r="HP55" s="487"/>
      <c r="HQ55" s="1"/>
      <c r="HR55" s="487"/>
      <c r="HS55" s="1"/>
      <c r="HT55" s="487"/>
      <c r="HU55" s="1"/>
      <c r="HV55" s="487"/>
      <c r="HW55" s="1"/>
      <c r="HX55" s="487"/>
      <c r="HY55" s="1"/>
      <c r="HZ55" s="487"/>
      <c r="IA55" s="1"/>
      <c r="IB55" s="487"/>
      <c r="IC55" s="1"/>
      <c r="ID55" s="487"/>
      <c r="IE55" s="1"/>
      <c r="IF55" s="487"/>
      <c r="IG55" s="1"/>
      <c r="IH55" s="487"/>
      <c r="II55" s="1"/>
      <c r="IJ55" s="487"/>
      <c r="IK55" s="1"/>
      <c r="IL55" s="487"/>
      <c r="IM55" s="1"/>
      <c r="IN55" s="487"/>
      <c r="IO55" s="1"/>
      <c r="IP55" s="487"/>
      <c r="IQ55" s="1"/>
      <c r="IR55" s="487"/>
      <c r="IS55" s="1"/>
      <c r="IT55" s="487"/>
      <c r="IU55" s="1"/>
      <c r="IV55" s="487"/>
      <c r="IW55" s="1"/>
      <c r="IX55" s="487"/>
      <c r="IY55" s="1"/>
      <c r="IZ55" s="487"/>
      <c r="JA55" s="1"/>
      <c r="JB55" s="487"/>
      <c r="JC55" s="1"/>
      <c r="JD55" s="487"/>
      <c r="JE55" s="1"/>
      <c r="JF55" s="487"/>
      <c r="JG55" s="1"/>
      <c r="JH55" s="487"/>
      <c r="JI55" s="1"/>
      <c r="JJ55" s="487"/>
      <c r="JK55" s="1"/>
      <c r="JL55" s="487"/>
      <c r="JM55" s="1"/>
      <c r="JN55" s="487"/>
      <c r="JO55" s="1"/>
      <c r="JP55" s="487"/>
      <c r="JQ55" s="1"/>
      <c r="JR55" s="487"/>
      <c r="JS55" s="1"/>
      <c r="JT55" s="487"/>
      <c r="JU55" s="1"/>
      <c r="JV55" s="487"/>
      <c r="JW55" s="1"/>
      <c r="JX55" s="487"/>
      <c r="JY55" s="1"/>
      <c r="JZ55" s="487"/>
      <c r="KA55" s="1"/>
      <c r="KB55" s="487"/>
      <c r="KC55" s="1"/>
      <c r="KD55" s="487"/>
      <c r="KE55" s="1"/>
      <c r="KF55" s="487"/>
      <c r="KG55" s="1"/>
      <c r="KH55" s="487"/>
      <c r="KI55" s="1"/>
      <c r="KJ55" s="487"/>
      <c r="KK55" s="1"/>
      <c r="KL55" s="487"/>
      <c r="KM55" s="1"/>
      <c r="KN55" s="487"/>
      <c r="KO55" s="1"/>
      <c r="KP55" s="487"/>
      <c r="KQ55" s="1"/>
      <c r="KR55" s="487"/>
      <c r="KS55" s="1"/>
      <c r="KT55" s="487"/>
      <c r="KU55" s="1"/>
      <c r="KV55" s="487"/>
      <c r="KW55" s="1"/>
      <c r="KX55" s="487"/>
      <c r="KY55" s="1"/>
      <c r="KZ55" s="487"/>
      <c r="LA55" s="1"/>
      <c r="LB55" s="487"/>
      <c r="LC55" s="1"/>
      <c r="LD55" s="487"/>
      <c r="LE55" s="1"/>
      <c r="LF55" s="487"/>
      <c r="LG55" s="1"/>
      <c r="LH55" s="487"/>
      <c r="LI55" s="1"/>
      <c r="LJ55" s="487"/>
      <c r="LK55" s="1"/>
      <c r="LL55" s="487"/>
      <c r="LM55" s="1"/>
      <c r="LN55" s="487"/>
      <c r="LO55" s="1"/>
      <c r="LP55" s="487"/>
      <c r="LQ55" s="1"/>
      <c r="LR55" s="487"/>
      <c r="LS55" s="1"/>
      <c r="LT55" s="487"/>
      <c r="LU55" s="1"/>
      <c r="LV55" s="487"/>
      <c r="LW55" s="1"/>
      <c r="LX55" s="487"/>
      <c r="LY55" s="1"/>
      <c r="LZ55" s="487"/>
      <c r="MA55" s="1"/>
      <c r="MB55" s="487"/>
      <c r="MC55" s="1"/>
      <c r="MD55" s="487"/>
      <c r="ME55" s="1"/>
      <c r="MF55" s="487"/>
      <c r="MG55" s="1"/>
      <c r="MH55" s="487"/>
      <c r="MI55" s="1"/>
      <c r="MJ55" s="487"/>
      <c r="MK55" s="1"/>
      <c r="ML55" s="487"/>
      <c r="MM55" s="1"/>
      <c r="MN55" s="487"/>
      <c r="MO55" s="1"/>
      <c r="MP55" s="487"/>
      <c r="MQ55" s="1"/>
      <c r="MR55" s="487"/>
      <c r="MS55" s="1"/>
      <c r="MT55" s="487"/>
      <c r="MU55" s="1"/>
      <c r="MV55" s="487"/>
      <c r="MW55" s="1"/>
      <c r="MX55" s="487"/>
      <c r="MY55" s="1"/>
      <c r="MZ55" s="487"/>
      <c r="NA55" s="1"/>
      <c r="NB55" s="487"/>
      <c r="NC55" s="1"/>
      <c r="ND55" s="487"/>
      <c r="NE55" s="1"/>
      <c r="NF55" s="487"/>
      <c r="NG55" s="1"/>
      <c r="NH55" s="487"/>
      <c r="NI55" s="1"/>
      <c r="NJ55" s="487"/>
      <c r="NK55" s="1"/>
      <c r="NL55" s="487"/>
      <c r="NM55" s="1"/>
      <c r="NN55" s="487"/>
      <c r="NO55" s="1"/>
      <c r="NP55" s="487"/>
      <c r="NQ55" s="1"/>
      <c r="NR55" s="487"/>
      <c r="NS55" s="1"/>
      <c r="NT55" s="487"/>
      <c r="NU55" s="1"/>
      <c r="NV55" s="487"/>
      <c r="NW55" s="1"/>
      <c r="NX55" s="487"/>
      <c r="NY55" s="1"/>
      <c r="NZ55" s="487"/>
      <c r="OA55" s="1"/>
      <c r="OB55" s="487"/>
      <c r="OC55" s="1"/>
      <c r="OD55" s="487"/>
      <c r="OE55" s="1"/>
      <c r="OF55" s="487"/>
      <c r="OG55" s="1"/>
      <c r="OH55" s="487"/>
      <c r="OI55" s="1"/>
      <c r="OJ55" s="487"/>
      <c r="OK55" s="1"/>
      <c r="OL55" s="487"/>
      <c r="OM55" s="1"/>
      <c r="ON55" s="487"/>
      <c r="OO55" s="1"/>
      <c r="OP55" s="487"/>
      <c r="OQ55" s="1"/>
      <c r="OR55" s="487"/>
      <c r="OS55" s="1"/>
      <c r="OT55" s="487"/>
      <c r="OU55" s="1"/>
      <c r="OV55" s="487"/>
      <c r="OW55" s="1"/>
      <c r="OX55" s="487"/>
      <c r="OY55" s="1"/>
      <c r="OZ55" s="487"/>
      <c r="PA55" s="1"/>
      <c r="PB55" s="487"/>
      <c r="PC55" s="1"/>
      <c r="PD55" s="487"/>
      <c r="PE55" s="1"/>
      <c r="PF55" s="487"/>
      <c r="PG55" s="1"/>
      <c r="PH55" s="487"/>
      <c r="PI55" s="1"/>
      <c r="PJ55" s="487"/>
      <c r="PK55" s="1"/>
      <c r="PL55" s="487"/>
      <c r="PM55" s="1"/>
      <c r="PN55" s="487"/>
      <c r="PO55" s="1"/>
      <c r="PP55" s="487"/>
      <c r="PQ55" s="1"/>
      <c r="PR55" s="487"/>
      <c r="PS55" s="1"/>
      <c r="PT55" s="487"/>
      <c r="PU55" s="1"/>
      <c r="PV55" s="487"/>
      <c r="PW55" s="1"/>
      <c r="PX55" s="487"/>
      <c r="PY55" s="1"/>
      <c r="PZ55" s="487"/>
      <c r="QA55" s="1"/>
      <c r="QB55" s="487"/>
      <c r="QC55" s="1"/>
      <c r="QD55" s="487"/>
      <c r="QE55" s="1"/>
      <c r="QF55" s="487"/>
      <c r="QG55" s="1"/>
      <c r="QH55" s="487"/>
      <c r="QI55" s="1"/>
      <c r="QJ55" s="487"/>
      <c r="QK55" s="1"/>
      <c r="QL55" s="487"/>
      <c r="QM55" s="1"/>
      <c r="QN55" s="487"/>
      <c r="QO55" s="1"/>
      <c r="QP55" s="487"/>
      <c r="QQ55" s="1"/>
      <c r="QR55" s="487"/>
      <c r="QS55" s="1"/>
      <c r="QT55" s="487"/>
      <c r="QU55" s="1"/>
      <c r="QV55" s="487"/>
      <c r="QW55" s="1"/>
      <c r="QX55" s="487"/>
      <c r="QY55" s="1"/>
      <c r="QZ55" s="487"/>
      <c r="RA55" s="1"/>
      <c r="RB55" s="487"/>
      <c r="RC55" s="1"/>
      <c r="RD55" s="487"/>
      <c r="RE55" s="1"/>
      <c r="RF55" s="487"/>
      <c r="RG55" s="1"/>
      <c r="RH55" s="487"/>
      <c r="RI55" s="1"/>
      <c r="RJ55" s="487"/>
      <c r="RK55" s="1"/>
      <c r="RL55" s="487"/>
      <c r="RM55" s="1"/>
      <c r="RN55" s="487"/>
      <c r="RO55" s="1"/>
      <c r="RP55" s="487"/>
      <c r="RQ55" s="1"/>
      <c r="RR55" s="487"/>
      <c r="RS55" s="1"/>
      <c r="RT55" s="487"/>
      <c r="RU55" s="1"/>
      <c r="RV55" s="487"/>
      <c r="RW55" s="1"/>
      <c r="RX55" s="487"/>
      <c r="RY55" s="1"/>
      <c r="RZ55" s="487"/>
      <c r="SA55" s="1"/>
      <c r="SB55" s="487"/>
      <c r="SC55" s="1"/>
      <c r="SD55" s="487"/>
      <c r="SE55" s="1"/>
      <c r="SF55" s="487">
        <v>-2.254545454545454</v>
      </c>
      <c r="SG55" s="1">
        <v>0.5</v>
      </c>
      <c r="SH55" s="487"/>
      <c r="SI55" s="1"/>
      <c r="SJ55" s="487">
        <v>7.6249999999999991</v>
      </c>
      <c r="SK55" s="1">
        <v>1</v>
      </c>
      <c r="SL55" s="487">
        <v>-17.636363636363637</v>
      </c>
      <c r="SM55" s="1">
        <v>0.25</v>
      </c>
      <c r="SN55" s="487">
        <v>10.28181818181818</v>
      </c>
      <c r="SO55" s="1">
        <v>0.5</v>
      </c>
      <c r="SP55" s="487"/>
      <c r="SQ55" s="1"/>
      <c r="SR55" s="487">
        <v>26.09090909090909</v>
      </c>
      <c r="SS55" s="1">
        <v>1</v>
      </c>
      <c r="ST55" s="487">
        <v>-13.609090909090909</v>
      </c>
      <c r="SU55" s="1">
        <v>0</v>
      </c>
      <c r="SV55" s="487">
        <v>-8.0090909090909097</v>
      </c>
      <c r="SW55" s="1">
        <v>0</v>
      </c>
      <c r="SX55" s="487"/>
      <c r="SY55" s="1"/>
      <c r="SZ55" s="487"/>
      <c r="TA55" s="1"/>
      <c r="TB55" s="487"/>
      <c r="TC55" s="1"/>
      <c r="TD55" s="487">
        <v>-1.1363636363636362</v>
      </c>
      <c r="TE55" s="1">
        <v>0.33333333333333331</v>
      </c>
      <c r="TF55" s="487"/>
      <c r="TG55" s="1"/>
      <c r="TH55" s="488"/>
      <c r="TI55" s="1"/>
      <c r="TJ55" s="489"/>
      <c r="TK55" s="1"/>
      <c r="TL55" s="490"/>
      <c r="TM55" s="1"/>
      <c r="TN55" s="495"/>
      <c r="TO55" s="1"/>
      <c r="TP55" s="500">
        <v>30.454545454545453</v>
      </c>
      <c r="TQ55" s="1">
        <v>1</v>
      </c>
      <c r="TR55" s="511">
        <v>10.727272727272725</v>
      </c>
      <c r="TS55" s="1">
        <v>0.5</v>
      </c>
      <c r="TT55" s="515">
        <v>13.063636363636363</v>
      </c>
      <c r="TU55" s="1">
        <v>1</v>
      </c>
      <c r="TV55" s="518"/>
      <c r="TW55" s="1"/>
      <c r="TX55" s="521"/>
      <c r="TY55" s="1"/>
      <c r="TZ55" s="524"/>
      <c r="UA55" s="1"/>
      <c r="UB55" s="527"/>
      <c r="UC55" s="1"/>
      <c r="UD55" s="530"/>
      <c r="UE55" s="1"/>
      <c r="UF55" s="533">
        <v>12.027272727272727</v>
      </c>
      <c r="UG55" s="1">
        <v>1</v>
      </c>
      <c r="UH55" s="536">
        <v>26.172727272727268</v>
      </c>
      <c r="UI55" s="1">
        <v>1</v>
      </c>
      <c r="UJ55" s="539">
        <v>20.254545454545454</v>
      </c>
      <c r="UK55" s="1">
        <v>1</v>
      </c>
      <c r="UL55" s="540">
        <v>-6.8090909090909086</v>
      </c>
      <c r="UM55" s="1">
        <v>0</v>
      </c>
      <c r="UN55" s="543">
        <v>22.127272727272725</v>
      </c>
      <c r="UO55" s="1">
        <v>0.66666666666666663</v>
      </c>
      <c r="UP55" s="544">
        <v>16.618181818181817</v>
      </c>
      <c r="UQ55" s="1">
        <v>1</v>
      </c>
      <c r="UR55" s="551">
        <v>-1.6545454545454548</v>
      </c>
      <c r="US55" s="1">
        <v>0.5</v>
      </c>
      <c r="UT55" s="551">
        <v>-18.718181818181815</v>
      </c>
      <c r="UU55" s="1">
        <v>0</v>
      </c>
      <c r="UV55" s="562"/>
      <c r="UW55" s="1"/>
      <c r="UX55" s="566"/>
      <c r="UY55" s="1"/>
      <c r="UZ55" s="568"/>
      <c r="VA55" s="1"/>
      <c r="VB55" s="572">
        <v>-15.790909090909091</v>
      </c>
      <c r="VC55" s="1">
        <v>0</v>
      </c>
      <c r="VD55" s="576">
        <v>-15.472727272727271</v>
      </c>
      <c r="VE55" s="1">
        <v>0</v>
      </c>
      <c r="VF55" s="580">
        <v>-18.627272727272725</v>
      </c>
      <c r="VG55" s="1">
        <v>0</v>
      </c>
      <c r="VH55" s="584"/>
      <c r="VI55" s="1"/>
      <c r="VJ55" s="589"/>
      <c r="VK55" s="1"/>
      <c r="VL55" s="593">
        <v>-13.454545454545453</v>
      </c>
      <c r="VM55" s="1">
        <v>0</v>
      </c>
      <c r="VN55" s="597"/>
      <c r="VO55" s="1"/>
      <c r="VP55" s="601"/>
      <c r="VQ55" s="1"/>
      <c r="VR55" s="603"/>
      <c r="VS55" s="1"/>
      <c r="VT55" s="607"/>
      <c r="VU55" s="1"/>
      <c r="VV55" s="609">
        <v>-14.918181818181818</v>
      </c>
      <c r="VW55" s="1">
        <v>0</v>
      </c>
      <c r="VX55" s="613">
        <v>-15.3</v>
      </c>
      <c r="VY55" s="1">
        <v>0</v>
      </c>
      <c r="VZ55" s="617">
        <v>-3.0272727272727269</v>
      </c>
      <c r="WA55" s="1">
        <v>0.5</v>
      </c>
      <c r="WB55" s="619"/>
      <c r="WC55" s="1"/>
      <c r="WD55" s="624"/>
      <c r="WE55" s="1"/>
      <c r="WF55" s="626">
        <v>-19.554545454545455</v>
      </c>
      <c r="WG55" s="1">
        <v>0</v>
      </c>
      <c r="WH55" s="630">
        <v>-18.954545454545453</v>
      </c>
      <c r="WI55" s="1">
        <v>0</v>
      </c>
      <c r="WJ55" s="636">
        <v>-10.390909090909091</v>
      </c>
      <c r="WK55" s="1">
        <v>0.33333333333333331</v>
      </c>
      <c r="WL55" s="638">
        <v>11.363636363636363</v>
      </c>
      <c r="WM55" s="1">
        <v>1</v>
      </c>
      <c r="WN55" s="642">
        <v>1.1909090909090914</v>
      </c>
      <c r="WO55" s="1">
        <v>0.5</v>
      </c>
      <c r="WP55" s="646">
        <v>-23.158333333333335</v>
      </c>
      <c r="WQ55" s="1">
        <v>0</v>
      </c>
      <c r="WR55" s="652">
        <v>-10.372727272727271</v>
      </c>
      <c r="WS55" s="1">
        <v>0.33333333333333331</v>
      </c>
      <c r="WT55" s="659"/>
      <c r="WU55" s="1"/>
      <c r="WV55" s="659">
        <v>1.4727272727272724</v>
      </c>
      <c r="WW55" s="1">
        <v>0.5</v>
      </c>
      <c r="WX55" s="672"/>
      <c r="WY55" s="1"/>
      <c r="WZ55" s="677"/>
      <c r="XA55" s="1"/>
      <c r="XB55" s="681"/>
      <c r="XC55" s="1"/>
      <c r="XD55" s="683"/>
      <c r="XE55" s="1"/>
      <c r="XF55" s="687"/>
      <c r="XG55" s="1"/>
      <c r="XH55" s="689">
        <v>-24.145454545454541</v>
      </c>
      <c r="XI55" s="1">
        <v>0</v>
      </c>
      <c r="XJ55" s="696"/>
      <c r="XK55" s="1"/>
      <c r="XL55" s="696"/>
      <c r="XM55" s="1"/>
      <c r="XN55" s="696"/>
      <c r="XO55" s="1"/>
      <c r="XP55" s="700"/>
      <c r="XQ55" s="1"/>
      <c r="XR55" s="705">
        <v>-18.290909090909086</v>
      </c>
      <c r="XS55" s="1">
        <v>0.4</v>
      </c>
      <c r="XT55" s="709">
        <v>-0.86363636363636376</v>
      </c>
      <c r="XU55" s="1">
        <v>0.25</v>
      </c>
      <c r="XV55" s="715"/>
      <c r="XW55" s="1"/>
    </row>
    <row r="56" spans="2:647" x14ac:dyDescent="0.25">
      <c r="B56" s="755"/>
      <c r="C56" s="760"/>
      <c r="D56" s="773"/>
      <c r="E56" s="773"/>
      <c r="F56" s="482">
        <v>1.2</v>
      </c>
      <c r="G56" s="475" t="s">
        <v>70</v>
      </c>
      <c r="H56" s="6"/>
      <c r="I56" s="6"/>
      <c r="J56" s="6"/>
      <c r="K56" s="6"/>
      <c r="L56" s="6"/>
      <c r="M56" s="6"/>
      <c r="N56" s="6"/>
      <c r="O56" s="6"/>
      <c r="P56" s="6"/>
      <c r="Q56" s="6"/>
      <c r="R56" s="6"/>
      <c r="S56" s="6"/>
      <c r="T56" s="6"/>
      <c r="U56" s="6"/>
      <c r="V56" s="6"/>
      <c r="W56" s="6"/>
      <c r="X56" s="6"/>
      <c r="Y56" s="6"/>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c r="BJ56" s="6"/>
      <c r="BK56" s="6"/>
      <c r="BL56" s="6"/>
      <c r="BM56" s="6"/>
      <c r="BN56" s="6"/>
      <c r="BO56" s="6"/>
      <c r="BP56" s="6"/>
      <c r="BQ56" s="6"/>
      <c r="BR56" s="6"/>
      <c r="BS56" s="6"/>
      <c r="BT56" s="6"/>
      <c r="BU56" s="6"/>
      <c r="BV56" s="6"/>
      <c r="BW56" s="6"/>
      <c r="BX56" s="6"/>
      <c r="BY56" s="6"/>
      <c r="BZ56" s="6"/>
      <c r="CA56" s="6"/>
      <c r="CB56" s="6"/>
      <c r="CC56" s="6"/>
      <c r="CD56" s="6"/>
      <c r="CE56" s="6"/>
      <c r="CF56" s="6"/>
      <c r="CG56" s="6"/>
      <c r="CH56" s="6"/>
      <c r="CI56" s="6"/>
      <c r="CJ56" s="6"/>
      <c r="CK56" s="6"/>
      <c r="CL56" s="6"/>
      <c r="CM56" s="6"/>
      <c r="CN56" s="6"/>
      <c r="CO56" s="6"/>
      <c r="CP56" s="6"/>
      <c r="CQ56" s="6"/>
      <c r="CR56" s="6"/>
      <c r="CS56" s="6"/>
      <c r="CT56" s="6"/>
      <c r="CU56" s="6"/>
      <c r="CV56" s="6"/>
      <c r="CW56" s="6"/>
      <c r="CX56" s="6"/>
      <c r="CY56" s="6"/>
      <c r="CZ56" s="6"/>
      <c r="DA56" s="6"/>
      <c r="DB56" s="6"/>
      <c r="DC56" s="6"/>
      <c r="DD56" s="6"/>
      <c r="DE56" s="6"/>
      <c r="DF56" s="6"/>
      <c r="DG56" s="6"/>
      <c r="DH56" s="6"/>
      <c r="DI56" s="6"/>
      <c r="DJ56" s="6"/>
      <c r="DK56" s="6"/>
      <c r="DL56" s="6"/>
      <c r="DM56" s="6"/>
      <c r="DN56" s="6"/>
      <c r="DO56" s="6"/>
      <c r="DP56" s="6"/>
      <c r="DQ56" s="6"/>
      <c r="DR56" s="6"/>
      <c r="DS56" s="6"/>
      <c r="DT56" s="6"/>
      <c r="DU56" s="6"/>
      <c r="DV56" s="6"/>
      <c r="DW56" s="6"/>
      <c r="DX56" s="6"/>
      <c r="DY56" s="6"/>
      <c r="DZ56" s="6"/>
      <c r="EA56" s="6"/>
      <c r="EB56" s="6"/>
      <c r="EC56" s="6"/>
      <c r="ED56" s="6"/>
      <c r="EE56" s="6"/>
      <c r="EF56" s="6"/>
      <c r="EG56" s="6"/>
      <c r="EH56" s="6"/>
      <c r="EI56" s="6"/>
      <c r="EJ56" s="6"/>
      <c r="EK56" s="6"/>
      <c r="EL56" s="6"/>
      <c r="EM56" s="6"/>
      <c r="EN56" s="6"/>
      <c r="EO56" s="6"/>
      <c r="EP56" s="6"/>
      <c r="EQ56" s="6"/>
      <c r="ER56" s="487"/>
      <c r="ES56" s="1"/>
      <c r="ET56" s="487"/>
      <c r="EU56" s="1"/>
      <c r="EV56" s="487"/>
      <c r="EW56" s="1"/>
      <c r="EX56" s="487"/>
      <c r="EY56" s="1"/>
      <c r="EZ56" s="487"/>
      <c r="FA56" s="1"/>
      <c r="FB56" s="487"/>
      <c r="FC56" s="1"/>
      <c r="FD56" s="487"/>
      <c r="FE56" s="1"/>
      <c r="FF56" s="487"/>
      <c r="FG56" s="1"/>
      <c r="FH56" s="487"/>
      <c r="FI56" s="1"/>
      <c r="FJ56" s="487"/>
      <c r="FK56" s="1"/>
      <c r="FL56" s="487"/>
      <c r="FM56" s="1"/>
      <c r="FN56" s="487"/>
      <c r="FO56" s="1"/>
      <c r="FP56" s="487"/>
      <c r="FQ56" s="1"/>
      <c r="FR56" s="487"/>
      <c r="FS56" s="1"/>
      <c r="FT56" s="487"/>
      <c r="FU56" s="1"/>
      <c r="FV56" s="487"/>
      <c r="FW56" s="1"/>
      <c r="FX56" s="487"/>
      <c r="FY56" s="1"/>
      <c r="FZ56" s="487"/>
      <c r="GA56" s="1"/>
      <c r="GB56" s="487"/>
      <c r="GC56" s="1"/>
      <c r="GD56" s="487"/>
      <c r="GE56" s="1"/>
      <c r="GF56" s="487"/>
      <c r="GG56" s="1"/>
      <c r="GH56" s="487"/>
      <c r="GI56" s="1"/>
      <c r="GJ56" s="487"/>
      <c r="GK56" s="1"/>
      <c r="GL56" s="487"/>
      <c r="GM56" s="1"/>
      <c r="GN56" s="487"/>
      <c r="GO56" s="1"/>
      <c r="GP56" s="487"/>
      <c r="GQ56" s="1"/>
      <c r="GR56" s="487"/>
      <c r="GS56" s="1"/>
      <c r="GT56" s="487"/>
      <c r="GU56" s="1"/>
      <c r="GV56" s="487"/>
      <c r="GW56" s="1"/>
      <c r="GX56" s="487"/>
      <c r="GY56" s="1"/>
      <c r="GZ56" s="487"/>
      <c r="HA56" s="1"/>
      <c r="HB56" s="487"/>
      <c r="HC56" s="1"/>
      <c r="HD56" s="487"/>
      <c r="HE56" s="1"/>
      <c r="HF56" s="487"/>
      <c r="HG56" s="1"/>
      <c r="HH56" s="487"/>
      <c r="HI56" s="1"/>
      <c r="HJ56" s="487"/>
      <c r="HK56" s="1"/>
      <c r="HL56" s="487"/>
      <c r="HM56" s="1"/>
      <c r="HN56" s="487"/>
      <c r="HO56" s="1"/>
      <c r="HP56" s="487"/>
      <c r="HQ56" s="1"/>
      <c r="HR56" s="487"/>
      <c r="HS56" s="1"/>
      <c r="HT56" s="487"/>
      <c r="HU56" s="1"/>
      <c r="HV56" s="487"/>
      <c r="HW56" s="1"/>
      <c r="HX56" s="487"/>
      <c r="HY56" s="1"/>
      <c r="HZ56" s="487"/>
      <c r="IA56" s="1"/>
      <c r="IB56" s="487"/>
      <c r="IC56" s="1"/>
      <c r="ID56" s="487"/>
      <c r="IE56" s="1"/>
      <c r="IF56" s="487"/>
      <c r="IG56" s="1"/>
      <c r="IH56" s="487"/>
      <c r="II56" s="1"/>
      <c r="IJ56" s="487"/>
      <c r="IK56" s="1"/>
      <c r="IL56" s="487"/>
      <c r="IM56" s="1"/>
      <c r="IN56" s="487"/>
      <c r="IO56" s="1"/>
      <c r="IP56" s="487"/>
      <c r="IQ56" s="1"/>
      <c r="IR56" s="487"/>
      <c r="IS56" s="1"/>
      <c r="IT56" s="487"/>
      <c r="IU56" s="1"/>
      <c r="IV56" s="487"/>
      <c r="IW56" s="1"/>
      <c r="IX56" s="487"/>
      <c r="IY56" s="1"/>
      <c r="IZ56" s="487"/>
      <c r="JA56" s="1"/>
      <c r="JB56" s="487"/>
      <c r="JC56" s="1"/>
      <c r="JD56" s="487"/>
      <c r="JE56" s="1"/>
      <c r="JF56" s="487"/>
      <c r="JG56" s="1"/>
      <c r="JH56" s="487"/>
      <c r="JI56" s="1"/>
      <c r="JJ56" s="487"/>
      <c r="JK56" s="1"/>
      <c r="JL56" s="487"/>
      <c r="JM56" s="1"/>
      <c r="JN56" s="487"/>
      <c r="JO56" s="1"/>
      <c r="JP56" s="487"/>
      <c r="JQ56" s="1"/>
      <c r="JR56" s="487"/>
      <c r="JS56" s="1"/>
      <c r="JT56" s="487"/>
      <c r="JU56" s="1"/>
      <c r="JV56" s="487"/>
      <c r="JW56" s="1"/>
      <c r="JX56" s="487"/>
      <c r="JY56" s="1"/>
      <c r="JZ56" s="487"/>
      <c r="KA56" s="1"/>
      <c r="KB56" s="487"/>
      <c r="KC56" s="1"/>
      <c r="KD56" s="487"/>
      <c r="KE56" s="1"/>
      <c r="KF56" s="487"/>
      <c r="KG56" s="1"/>
      <c r="KH56" s="487"/>
      <c r="KI56" s="1"/>
      <c r="KJ56" s="487"/>
      <c r="KK56" s="1"/>
      <c r="KL56" s="487"/>
      <c r="KM56" s="1"/>
      <c r="KN56" s="487"/>
      <c r="KO56" s="1"/>
      <c r="KP56" s="487"/>
      <c r="KQ56" s="1"/>
      <c r="KR56" s="487"/>
      <c r="KS56" s="1"/>
      <c r="KT56" s="487"/>
      <c r="KU56" s="1"/>
      <c r="KV56" s="487"/>
      <c r="KW56" s="1"/>
      <c r="KX56" s="487"/>
      <c r="KY56" s="1"/>
      <c r="KZ56" s="487"/>
      <c r="LA56" s="1"/>
      <c r="LB56" s="487"/>
      <c r="LC56" s="1"/>
      <c r="LD56" s="487"/>
      <c r="LE56" s="1"/>
      <c r="LF56" s="487"/>
      <c r="LG56" s="1"/>
      <c r="LH56" s="487"/>
      <c r="LI56" s="1"/>
      <c r="LJ56" s="487"/>
      <c r="LK56" s="1"/>
      <c r="LL56" s="487"/>
      <c r="LM56" s="1"/>
      <c r="LN56" s="487"/>
      <c r="LO56" s="1"/>
      <c r="LP56" s="487"/>
      <c r="LQ56" s="1"/>
      <c r="LR56" s="487"/>
      <c r="LS56" s="1"/>
      <c r="LT56" s="487"/>
      <c r="LU56" s="1"/>
      <c r="LV56" s="487"/>
      <c r="LW56" s="1"/>
      <c r="LX56" s="487"/>
      <c r="LY56" s="1"/>
      <c r="LZ56" s="487"/>
      <c r="MA56" s="1"/>
      <c r="MB56" s="487"/>
      <c r="MC56" s="1"/>
      <c r="MD56" s="487"/>
      <c r="ME56" s="1"/>
      <c r="MF56" s="487"/>
      <c r="MG56" s="1"/>
      <c r="MH56" s="487"/>
      <c r="MI56" s="1"/>
      <c r="MJ56" s="487"/>
      <c r="MK56" s="1"/>
      <c r="ML56" s="487"/>
      <c r="MM56" s="1"/>
      <c r="MN56" s="487"/>
      <c r="MO56" s="1"/>
      <c r="MP56" s="487"/>
      <c r="MQ56" s="1"/>
      <c r="MR56" s="487"/>
      <c r="MS56" s="1"/>
      <c r="MT56" s="487"/>
      <c r="MU56" s="1"/>
      <c r="MV56" s="487"/>
      <c r="MW56" s="1"/>
      <c r="MX56" s="487"/>
      <c r="MY56" s="1"/>
      <c r="MZ56" s="487"/>
      <c r="NA56" s="1"/>
      <c r="NB56" s="487"/>
      <c r="NC56" s="1"/>
      <c r="ND56" s="487"/>
      <c r="NE56" s="1"/>
      <c r="NF56" s="487"/>
      <c r="NG56" s="1"/>
      <c r="NH56" s="487"/>
      <c r="NI56" s="1"/>
      <c r="NJ56" s="487"/>
      <c r="NK56" s="1"/>
      <c r="NL56" s="487"/>
      <c r="NM56" s="1"/>
      <c r="NN56" s="487"/>
      <c r="NO56" s="1"/>
      <c r="NP56" s="487"/>
      <c r="NQ56" s="1"/>
      <c r="NR56" s="487"/>
      <c r="NS56" s="1"/>
      <c r="NT56" s="487"/>
      <c r="NU56" s="1"/>
      <c r="NV56" s="487"/>
      <c r="NW56" s="1"/>
      <c r="NX56" s="487"/>
      <c r="NY56" s="1"/>
      <c r="NZ56" s="487"/>
      <c r="OA56" s="1"/>
      <c r="OB56" s="487"/>
      <c r="OC56" s="1"/>
      <c r="OD56" s="487"/>
      <c r="OE56" s="1"/>
      <c r="OF56" s="487"/>
      <c r="OG56" s="1"/>
      <c r="OH56" s="487"/>
      <c r="OI56" s="1"/>
      <c r="OJ56" s="487"/>
      <c r="OK56" s="1"/>
      <c r="OL56" s="487"/>
      <c r="OM56" s="1"/>
      <c r="ON56" s="487"/>
      <c r="OO56" s="1"/>
      <c r="OP56" s="487"/>
      <c r="OQ56" s="1"/>
      <c r="OR56" s="487"/>
      <c r="OS56" s="1"/>
      <c r="OT56" s="487"/>
      <c r="OU56" s="1"/>
      <c r="OV56" s="487"/>
      <c r="OW56" s="1"/>
      <c r="OX56" s="487"/>
      <c r="OY56" s="1"/>
      <c r="OZ56" s="487"/>
      <c r="PA56" s="1"/>
      <c r="PB56" s="487"/>
      <c r="PC56" s="1"/>
      <c r="PD56" s="487"/>
      <c r="PE56" s="1"/>
      <c r="PF56" s="487"/>
      <c r="PG56" s="1"/>
      <c r="PH56" s="487"/>
      <c r="PI56" s="1"/>
      <c r="PJ56" s="487"/>
      <c r="PK56" s="1"/>
      <c r="PL56" s="487"/>
      <c r="PM56" s="1"/>
      <c r="PN56" s="487"/>
      <c r="PO56" s="1"/>
      <c r="PP56" s="487"/>
      <c r="PQ56" s="1"/>
      <c r="PR56" s="487"/>
      <c r="PS56" s="1"/>
      <c r="PT56" s="487"/>
      <c r="PU56" s="1"/>
      <c r="PV56" s="487"/>
      <c r="PW56" s="1"/>
      <c r="PX56" s="487"/>
      <c r="PY56" s="1"/>
      <c r="PZ56" s="487"/>
      <c r="QA56" s="1"/>
      <c r="QB56" s="487"/>
      <c r="QC56" s="1"/>
      <c r="QD56" s="487"/>
      <c r="QE56" s="1"/>
      <c r="QF56" s="487"/>
      <c r="QG56" s="1"/>
      <c r="QH56" s="487"/>
      <c r="QI56" s="1"/>
      <c r="QJ56" s="487"/>
      <c r="QK56" s="1"/>
      <c r="QL56" s="487"/>
      <c r="QM56" s="1"/>
      <c r="QN56" s="487"/>
      <c r="QO56" s="1"/>
      <c r="QP56" s="487"/>
      <c r="QQ56" s="1"/>
      <c r="QR56" s="487"/>
      <c r="QS56" s="1"/>
      <c r="QT56" s="487"/>
      <c r="QU56" s="1"/>
      <c r="QV56" s="487"/>
      <c r="QW56" s="1"/>
      <c r="QX56" s="487"/>
      <c r="QY56" s="1"/>
      <c r="QZ56" s="487"/>
      <c r="RA56" s="1"/>
      <c r="RB56" s="487"/>
      <c r="RC56" s="1"/>
      <c r="RD56" s="487"/>
      <c r="RE56" s="1"/>
      <c r="RF56" s="487"/>
      <c r="RG56" s="1"/>
      <c r="RH56" s="487"/>
      <c r="RI56" s="1"/>
      <c r="RJ56" s="487"/>
      <c r="RK56" s="1"/>
      <c r="RL56" s="487"/>
      <c r="RM56" s="1"/>
      <c r="RN56" s="487"/>
      <c r="RO56" s="1"/>
      <c r="RP56" s="487"/>
      <c r="RQ56" s="1"/>
      <c r="RR56" s="487"/>
      <c r="RS56" s="1"/>
      <c r="RT56" s="487"/>
      <c r="RU56" s="1"/>
      <c r="RV56" s="487"/>
      <c r="RW56" s="1"/>
      <c r="RX56" s="487"/>
      <c r="RY56" s="1"/>
      <c r="RZ56" s="487"/>
      <c r="SA56" s="1"/>
      <c r="SB56" s="487"/>
      <c r="SC56" s="1"/>
      <c r="SD56" s="487"/>
      <c r="SE56" s="1"/>
      <c r="SF56" s="487">
        <v>-13.5</v>
      </c>
      <c r="SG56" s="1">
        <v>0.33333333333333331</v>
      </c>
      <c r="SH56" s="487"/>
      <c r="SI56" s="1"/>
      <c r="SJ56" s="487">
        <v>7.6222222222222227</v>
      </c>
      <c r="SK56" s="1">
        <v>1</v>
      </c>
      <c r="SL56" s="487">
        <v>-4.6333333333333337</v>
      </c>
      <c r="SM56" s="1">
        <v>0.5</v>
      </c>
      <c r="SN56" s="487"/>
      <c r="SO56" s="1"/>
      <c r="SP56" s="487"/>
      <c r="SQ56" s="1"/>
      <c r="SR56" s="487"/>
      <c r="SS56" s="1"/>
      <c r="ST56" s="487"/>
      <c r="SU56" s="1"/>
      <c r="SV56" s="487"/>
      <c r="SW56" s="1"/>
      <c r="SX56" s="487"/>
      <c r="SY56" s="1"/>
      <c r="SZ56" s="487"/>
      <c r="TA56" s="1"/>
      <c r="TB56" s="487"/>
      <c r="TC56" s="1"/>
      <c r="TD56" s="487"/>
      <c r="TE56" s="1"/>
      <c r="TF56" s="487"/>
      <c r="TG56" s="1"/>
      <c r="TH56" s="488"/>
      <c r="TI56" s="1"/>
      <c r="TJ56" s="489"/>
      <c r="TK56" s="1"/>
      <c r="TL56" s="490"/>
      <c r="TM56" s="1"/>
      <c r="TN56" s="495"/>
      <c r="TO56" s="1"/>
      <c r="TP56" s="500">
        <v>8.1916666666666664</v>
      </c>
      <c r="TQ56" s="1">
        <v>1</v>
      </c>
      <c r="TR56" s="511"/>
      <c r="TS56" s="1"/>
      <c r="TT56" s="515"/>
      <c r="TU56" s="1"/>
      <c r="TV56" s="518"/>
      <c r="TW56" s="1"/>
      <c r="TX56" s="521"/>
      <c r="TY56" s="1"/>
      <c r="TZ56" s="524"/>
      <c r="UA56" s="1"/>
      <c r="UB56" s="527"/>
      <c r="UC56" s="1"/>
      <c r="UD56" s="530"/>
      <c r="UE56" s="1"/>
      <c r="UF56" s="533"/>
      <c r="UG56" s="1"/>
      <c r="UH56" s="536"/>
      <c r="UI56" s="1"/>
      <c r="UJ56" s="539"/>
      <c r="UK56" s="1"/>
      <c r="UL56" s="540"/>
      <c r="UM56" s="1"/>
      <c r="UN56" s="543"/>
      <c r="UO56" s="1"/>
      <c r="UP56" s="544"/>
      <c r="UQ56" s="1"/>
      <c r="UR56" s="551">
        <v>13.733333333333334</v>
      </c>
      <c r="US56" s="1">
        <v>1</v>
      </c>
      <c r="UT56" s="551"/>
      <c r="UU56" s="1"/>
      <c r="UV56" s="562"/>
      <c r="UW56" s="1"/>
      <c r="UX56" s="566"/>
      <c r="UY56" s="1"/>
      <c r="UZ56" s="568"/>
      <c r="VA56" s="1"/>
      <c r="VB56" s="572">
        <v>-0.3</v>
      </c>
      <c r="VC56" s="1">
        <v>0</v>
      </c>
      <c r="VD56" s="576"/>
      <c r="VE56" s="1"/>
      <c r="VF56" s="580"/>
      <c r="VG56" s="1"/>
      <c r="VH56" s="584"/>
      <c r="VI56" s="1"/>
      <c r="VJ56" s="589"/>
      <c r="VK56" s="1"/>
      <c r="VL56" s="593"/>
      <c r="VM56" s="1"/>
      <c r="VN56" s="597"/>
      <c r="VO56" s="1"/>
      <c r="VP56" s="601"/>
      <c r="VQ56" s="1"/>
      <c r="VR56" s="603"/>
      <c r="VS56" s="1"/>
      <c r="VT56" s="607"/>
      <c r="VU56" s="1"/>
      <c r="VV56" s="609"/>
      <c r="VW56" s="1"/>
      <c r="VX56" s="613"/>
      <c r="VY56" s="1"/>
      <c r="VZ56" s="617">
        <v>2.6583333333333332</v>
      </c>
      <c r="WA56" s="1">
        <v>1</v>
      </c>
      <c r="WB56" s="619"/>
      <c r="WC56" s="1"/>
      <c r="WD56" s="624"/>
      <c r="WE56" s="1"/>
      <c r="WF56" s="626"/>
      <c r="WG56" s="1"/>
      <c r="WH56" s="630"/>
      <c r="WI56" s="1"/>
      <c r="WJ56" s="636"/>
      <c r="WK56" s="1"/>
      <c r="WL56" s="638"/>
      <c r="WM56" s="1"/>
      <c r="WN56" s="642">
        <v>-12.141666666666667</v>
      </c>
      <c r="WO56" s="1">
        <v>0</v>
      </c>
      <c r="WP56" s="646"/>
      <c r="WQ56" s="1"/>
      <c r="WR56" s="652">
        <v>-11.908333333333333</v>
      </c>
      <c r="WS56" s="1">
        <v>0</v>
      </c>
      <c r="WT56" s="659"/>
      <c r="WU56" s="1"/>
      <c r="WV56" s="659"/>
      <c r="WW56" s="1"/>
      <c r="WX56" s="672"/>
      <c r="WY56" s="1"/>
      <c r="WZ56" s="677"/>
      <c r="XA56" s="1"/>
      <c r="XB56" s="681"/>
      <c r="XC56" s="1"/>
      <c r="XD56" s="683"/>
      <c r="XE56" s="1"/>
      <c r="XF56" s="687"/>
      <c r="XG56" s="1"/>
      <c r="XH56" s="689">
        <v>8.2583333333333346</v>
      </c>
      <c r="XI56" s="1">
        <v>1</v>
      </c>
      <c r="XJ56" s="696"/>
      <c r="XK56" s="1"/>
      <c r="XL56" s="696"/>
      <c r="XM56" s="1"/>
      <c r="XN56" s="696"/>
      <c r="XO56" s="1"/>
      <c r="XP56" s="700"/>
      <c r="XQ56" s="1"/>
      <c r="XR56" s="705">
        <v>14.983333333333334</v>
      </c>
      <c r="XS56" s="1">
        <v>0.66666666666666663</v>
      </c>
      <c r="XT56" s="709">
        <v>-1.3416666666666668</v>
      </c>
      <c r="XU56" s="1">
        <v>0</v>
      </c>
      <c r="XV56" s="715"/>
      <c r="XW56" s="1"/>
    </row>
    <row r="57" spans="2:647" x14ac:dyDescent="0.25">
      <c r="B57" s="755"/>
      <c r="C57" s="760"/>
      <c r="D57" s="765" t="s">
        <v>69</v>
      </c>
      <c r="E57" s="765"/>
      <c r="F57" s="482">
        <v>1.3</v>
      </c>
      <c r="G57" s="475"/>
      <c r="H57" s="6"/>
      <c r="I57" s="6"/>
      <c r="J57" s="6"/>
      <c r="K57" s="6"/>
      <c r="L57" s="6"/>
      <c r="M57" s="6"/>
      <c r="N57" s="6"/>
      <c r="O57" s="6"/>
      <c r="P57" s="6"/>
      <c r="Q57" s="6"/>
      <c r="R57" s="6"/>
      <c r="S57" s="6"/>
      <c r="T57" s="6"/>
      <c r="U57" s="6"/>
      <c r="V57" s="6"/>
      <c r="W57" s="6"/>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c r="BU57" s="6"/>
      <c r="BV57" s="6"/>
      <c r="BW57" s="6"/>
      <c r="BX57" s="6"/>
      <c r="BY57" s="6"/>
      <c r="BZ57" s="6"/>
      <c r="CA57" s="6"/>
      <c r="CB57" s="6"/>
      <c r="CC57" s="6"/>
      <c r="CD57" s="6"/>
      <c r="CE57" s="6"/>
      <c r="CF57" s="6"/>
      <c r="CG57" s="6"/>
      <c r="CH57" s="6"/>
      <c r="CI57" s="6"/>
      <c r="CJ57" s="6"/>
      <c r="CK57" s="6"/>
      <c r="CL57" s="6"/>
      <c r="CM57" s="6"/>
      <c r="CN57" s="6"/>
      <c r="CO57" s="6"/>
      <c r="CP57" s="6"/>
      <c r="CQ57" s="6"/>
      <c r="CR57" s="6"/>
      <c r="CS57" s="6"/>
      <c r="CT57" s="6"/>
      <c r="CU57" s="6"/>
      <c r="CV57" s="6"/>
      <c r="CW57" s="6"/>
      <c r="CX57" s="6"/>
      <c r="CY57" s="6"/>
      <c r="CZ57" s="6"/>
      <c r="DA57" s="6"/>
      <c r="DB57" s="6"/>
      <c r="DC57" s="6"/>
      <c r="DD57" s="6"/>
      <c r="DE57" s="6"/>
      <c r="DF57" s="6"/>
      <c r="DG57" s="6"/>
      <c r="DH57" s="6"/>
      <c r="DI57" s="6"/>
      <c r="DJ57" s="6"/>
      <c r="DK57" s="6"/>
      <c r="DL57" s="6"/>
      <c r="DM57" s="6"/>
      <c r="DN57" s="6"/>
      <c r="DO57" s="6"/>
      <c r="DP57" s="6"/>
      <c r="DQ57" s="6"/>
      <c r="DR57" s="6"/>
      <c r="DS57" s="6"/>
      <c r="DT57" s="6"/>
      <c r="DU57" s="6"/>
      <c r="DV57" s="6"/>
      <c r="DW57" s="6"/>
      <c r="DX57" s="6"/>
      <c r="DY57" s="6"/>
      <c r="DZ57" s="6"/>
      <c r="EA57" s="6"/>
      <c r="EB57" s="6"/>
      <c r="EC57" s="6"/>
      <c r="ED57" s="6"/>
      <c r="EE57" s="6"/>
      <c r="EF57" s="6"/>
      <c r="EG57" s="6"/>
      <c r="EH57" s="6"/>
      <c r="EI57" s="6"/>
      <c r="EJ57" s="6"/>
      <c r="EK57" s="6"/>
      <c r="EL57" s="6"/>
      <c r="EM57" s="6"/>
      <c r="EN57" s="6"/>
      <c r="EO57" s="6"/>
      <c r="EP57" s="6"/>
      <c r="EQ57" s="6"/>
      <c r="ER57" s="487"/>
      <c r="ES57" s="1"/>
      <c r="ET57" s="487"/>
      <c r="EU57" s="1"/>
      <c r="EV57" s="487"/>
      <c r="EW57" s="1"/>
      <c r="EX57" s="487"/>
      <c r="EY57" s="1"/>
      <c r="EZ57" s="487"/>
      <c r="FA57" s="1"/>
      <c r="FB57" s="487"/>
      <c r="FC57" s="1"/>
      <c r="FD57" s="487"/>
      <c r="FE57" s="1"/>
      <c r="FF57" s="487"/>
      <c r="FG57" s="1"/>
      <c r="FH57" s="487"/>
      <c r="FI57" s="1"/>
      <c r="FJ57" s="487"/>
      <c r="FK57" s="1"/>
      <c r="FL57" s="487"/>
      <c r="FM57" s="1"/>
      <c r="FN57" s="487"/>
      <c r="FO57" s="1"/>
      <c r="FP57" s="487"/>
      <c r="FQ57" s="1"/>
      <c r="FR57" s="487"/>
      <c r="FS57" s="1"/>
      <c r="FT57" s="487"/>
      <c r="FU57" s="1"/>
      <c r="FV57" s="487"/>
      <c r="FW57" s="1"/>
      <c r="FX57" s="487"/>
      <c r="FY57" s="1"/>
      <c r="FZ57" s="487"/>
      <c r="GA57" s="1"/>
      <c r="GB57" s="487"/>
      <c r="GC57" s="1"/>
      <c r="GD57" s="487"/>
      <c r="GE57" s="1"/>
      <c r="GF57" s="487"/>
      <c r="GG57" s="1"/>
      <c r="GH57" s="487"/>
      <c r="GI57" s="1"/>
      <c r="GJ57" s="487"/>
      <c r="GK57" s="1"/>
      <c r="GL57" s="487"/>
      <c r="GM57" s="1"/>
      <c r="GN57" s="487"/>
      <c r="GO57" s="1"/>
      <c r="GP57" s="487"/>
      <c r="GQ57" s="1"/>
      <c r="GR57" s="487"/>
      <c r="GS57" s="1"/>
      <c r="GT57" s="487"/>
      <c r="GU57" s="1"/>
      <c r="GV57" s="487"/>
      <c r="GW57" s="1"/>
      <c r="GX57" s="487"/>
      <c r="GY57" s="1"/>
      <c r="GZ57" s="487"/>
      <c r="HA57" s="1"/>
      <c r="HB57" s="487"/>
      <c r="HC57" s="1"/>
      <c r="HD57" s="487"/>
      <c r="HE57" s="1"/>
      <c r="HF57" s="487"/>
      <c r="HG57" s="1"/>
      <c r="HH57" s="487"/>
      <c r="HI57" s="1"/>
      <c r="HJ57" s="487"/>
      <c r="HK57" s="1"/>
      <c r="HL57" s="487"/>
      <c r="HM57" s="1"/>
      <c r="HN57" s="487"/>
      <c r="HO57" s="1"/>
      <c r="HP57" s="487"/>
      <c r="HQ57" s="1"/>
      <c r="HR57" s="487"/>
      <c r="HS57" s="1"/>
      <c r="HT57" s="487"/>
      <c r="HU57" s="1"/>
      <c r="HV57" s="487"/>
      <c r="HW57" s="1"/>
      <c r="HX57" s="487"/>
      <c r="HY57" s="1"/>
      <c r="HZ57" s="487"/>
      <c r="IA57" s="1"/>
      <c r="IB57" s="487"/>
      <c r="IC57" s="1"/>
      <c r="ID57" s="487"/>
      <c r="IE57" s="1"/>
      <c r="IF57" s="487"/>
      <c r="IG57" s="1"/>
      <c r="IH57" s="487"/>
      <c r="II57" s="1"/>
      <c r="IJ57" s="487"/>
      <c r="IK57" s="1"/>
      <c r="IL57" s="487"/>
      <c r="IM57" s="1"/>
      <c r="IN57" s="487"/>
      <c r="IO57" s="1"/>
      <c r="IP57" s="487"/>
      <c r="IQ57" s="1"/>
      <c r="IR57" s="487"/>
      <c r="IS57" s="1"/>
      <c r="IT57" s="487"/>
      <c r="IU57" s="1"/>
      <c r="IV57" s="487"/>
      <c r="IW57" s="1"/>
      <c r="IX57" s="487"/>
      <c r="IY57" s="1"/>
      <c r="IZ57" s="487"/>
      <c r="JA57" s="1"/>
      <c r="JB57" s="487"/>
      <c r="JC57" s="1"/>
      <c r="JD57" s="487"/>
      <c r="JE57" s="1"/>
      <c r="JF57" s="487"/>
      <c r="JG57" s="1"/>
      <c r="JH57" s="487"/>
      <c r="JI57" s="1"/>
      <c r="JJ57" s="487"/>
      <c r="JK57" s="1"/>
      <c r="JL57" s="487"/>
      <c r="JM57" s="1"/>
      <c r="JN57" s="487"/>
      <c r="JO57" s="1"/>
      <c r="JP57" s="487"/>
      <c r="JQ57" s="1"/>
      <c r="JR57" s="487"/>
      <c r="JS57" s="1"/>
      <c r="JT57" s="487"/>
      <c r="JU57" s="1"/>
      <c r="JV57" s="487"/>
      <c r="JW57" s="1"/>
      <c r="JX57" s="487"/>
      <c r="JY57" s="1"/>
      <c r="JZ57" s="487"/>
      <c r="KA57" s="1"/>
      <c r="KB57" s="487"/>
      <c r="KC57" s="1"/>
      <c r="KD57" s="487"/>
      <c r="KE57" s="1"/>
      <c r="KF57" s="487"/>
      <c r="KG57" s="1"/>
      <c r="KH57" s="487"/>
      <c r="KI57" s="1"/>
      <c r="KJ57" s="487"/>
      <c r="KK57" s="1"/>
      <c r="KL57" s="487"/>
      <c r="KM57" s="1"/>
      <c r="KN57" s="487"/>
      <c r="KO57" s="1"/>
      <c r="KP57" s="487"/>
      <c r="KQ57" s="1"/>
      <c r="KR57" s="487"/>
      <c r="KS57" s="1"/>
      <c r="KT57" s="487"/>
      <c r="KU57" s="1"/>
      <c r="KV57" s="487"/>
      <c r="KW57" s="1"/>
      <c r="KX57" s="487"/>
      <c r="KY57" s="1"/>
      <c r="KZ57" s="487"/>
      <c r="LA57" s="1"/>
      <c r="LB57" s="487"/>
      <c r="LC57" s="1"/>
      <c r="LD57" s="487"/>
      <c r="LE57" s="1"/>
      <c r="LF57" s="487"/>
      <c r="LG57" s="1"/>
      <c r="LH57" s="487"/>
      <c r="LI57" s="1"/>
      <c r="LJ57" s="487"/>
      <c r="LK57" s="1"/>
      <c r="LL57" s="487"/>
      <c r="LM57" s="1"/>
      <c r="LN57" s="487"/>
      <c r="LO57" s="1"/>
      <c r="LP57" s="487"/>
      <c r="LQ57" s="1"/>
      <c r="LR57" s="487"/>
      <c r="LS57" s="1"/>
      <c r="LT57" s="487"/>
      <c r="LU57" s="1"/>
      <c r="LV57" s="487"/>
      <c r="LW57" s="1"/>
      <c r="LX57" s="487"/>
      <c r="LY57" s="1"/>
      <c r="LZ57" s="487"/>
      <c r="MA57" s="1"/>
      <c r="MB57" s="487"/>
      <c r="MC57" s="1"/>
      <c r="MD57" s="487"/>
      <c r="ME57" s="1"/>
      <c r="MF57" s="487"/>
      <c r="MG57" s="1"/>
      <c r="MH57" s="487"/>
      <c r="MI57" s="1"/>
      <c r="MJ57" s="487"/>
      <c r="MK57" s="1"/>
      <c r="ML57" s="487"/>
      <c r="MM57" s="1"/>
      <c r="MN57" s="487"/>
      <c r="MO57" s="1"/>
      <c r="MP57" s="487"/>
      <c r="MQ57" s="1"/>
      <c r="MR57" s="487"/>
      <c r="MS57" s="1"/>
      <c r="MT57" s="487"/>
      <c r="MU57" s="1"/>
      <c r="MV57" s="487"/>
      <c r="MW57" s="1"/>
      <c r="MX57" s="487"/>
      <c r="MY57" s="1"/>
      <c r="MZ57" s="487"/>
      <c r="NA57" s="1"/>
      <c r="NB57" s="487"/>
      <c r="NC57" s="1"/>
      <c r="ND57" s="487"/>
      <c r="NE57" s="1"/>
      <c r="NF57" s="487"/>
      <c r="NG57" s="1"/>
      <c r="NH57" s="487"/>
      <c r="NI57" s="1"/>
      <c r="NJ57" s="487"/>
      <c r="NK57" s="1"/>
      <c r="NL57" s="487"/>
      <c r="NM57" s="1"/>
      <c r="NN57" s="487"/>
      <c r="NO57" s="1"/>
      <c r="NP57" s="487"/>
      <c r="NQ57" s="1"/>
      <c r="NR57" s="487"/>
      <c r="NS57" s="1"/>
      <c r="NT57" s="487"/>
      <c r="NU57" s="1"/>
      <c r="NV57" s="487"/>
      <c r="NW57" s="1"/>
      <c r="NX57" s="487"/>
      <c r="NY57" s="1"/>
      <c r="NZ57" s="487"/>
      <c r="OA57" s="1"/>
      <c r="OB57" s="487"/>
      <c r="OC57" s="1"/>
      <c r="OD57" s="487"/>
      <c r="OE57" s="1"/>
      <c r="OF57" s="487"/>
      <c r="OG57" s="1"/>
      <c r="OH57" s="487"/>
      <c r="OI57" s="1"/>
      <c r="OJ57" s="487"/>
      <c r="OK57" s="1"/>
      <c r="OL57" s="487"/>
      <c r="OM57" s="1"/>
      <c r="ON57" s="487"/>
      <c r="OO57" s="1"/>
      <c r="OP57" s="487"/>
      <c r="OQ57" s="1"/>
      <c r="OR57" s="487"/>
      <c r="OS57" s="1"/>
      <c r="OT57" s="487"/>
      <c r="OU57" s="1"/>
      <c r="OV57" s="487"/>
      <c r="OW57" s="1"/>
      <c r="OX57" s="487"/>
      <c r="OY57" s="1"/>
      <c r="OZ57" s="487"/>
      <c r="PA57" s="1"/>
      <c r="PB57" s="487"/>
      <c r="PC57" s="1"/>
      <c r="PD57" s="487"/>
      <c r="PE57" s="1"/>
      <c r="PF57" s="487"/>
      <c r="PG57" s="1"/>
      <c r="PH57" s="487"/>
      <c r="PI57" s="1"/>
      <c r="PJ57" s="487"/>
      <c r="PK57" s="1"/>
      <c r="PL57" s="487"/>
      <c r="PM57" s="1"/>
      <c r="PN57" s="487"/>
      <c r="PO57" s="1"/>
      <c r="PP57" s="487"/>
      <c r="PQ57" s="1"/>
      <c r="PR57" s="487"/>
      <c r="PS57" s="1"/>
      <c r="PT57" s="487"/>
      <c r="PU57" s="1"/>
      <c r="PV57" s="487"/>
      <c r="PW57" s="1"/>
      <c r="PX57" s="487"/>
      <c r="PY57" s="1"/>
      <c r="PZ57" s="487"/>
      <c r="QA57" s="1"/>
      <c r="QB57" s="487"/>
      <c r="QC57" s="1"/>
      <c r="QD57" s="487"/>
      <c r="QE57" s="1"/>
      <c r="QF57" s="487"/>
      <c r="QG57" s="1"/>
      <c r="QH57" s="487"/>
      <c r="QI57" s="1"/>
      <c r="QJ57" s="487"/>
      <c r="QK57" s="1"/>
      <c r="QL57" s="487"/>
      <c r="QM57" s="1"/>
      <c r="QN57" s="487"/>
      <c r="QO57" s="1"/>
      <c r="QP57" s="487"/>
      <c r="QQ57" s="1"/>
      <c r="QR57" s="487"/>
      <c r="QS57" s="1"/>
      <c r="QT57" s="487"/>
      <c r="QU57" s="1"/>
      <c r="QV57" s="487"/>
      <c r="QW57" s="1"/>
      <c r="QX57" s="487"/>
      <c r="QY57" s="1"/>
      <c r="QZ57" s="487"/>
      <c r="RA57" s="1"/>
      <c r="RB57" s="487"/>
      <c r="RC57" s="1"/>
      <c r="RD57" s="487"/>
      <c r="RE57" s="1"/>
      <c r="RF57" s="487"/>
      <c r="RG57" s="1"/>
      <c r="RH57" s="487"/>
      <c r="RI57" s="1"/>
      <c r="RJ57" s="487"/>
      <c r="RK57" s="1"/>
      <c r="RL57" s="487"/>
      <c r="RM57" s="1"/>
      <c r="RN57" s="487"/>
      <c r="RO57" s="1"/>
      <c r="RP57" s="487"/>
      <c r="RQ57" s="1"/>
      <c r="RR57" s="487"/>
      <c r="RS57" s="1"/>
      <c r="RT57" s="487"/>
      <c r="RU57" s="1"/>
      <c r="RV57" s="487"/>
      <c r="RW57" s="1"/>
      <c r="RX57" s="487"/>
      <c r="RY57" s="1"/>
      <c r="RZ57" s="487"/>
      <c r="SA57" s="1"/>
      <c r="SB57" s="487"/>
      <c r="SC57" s="1"/>
      <c r="SD57" s="487"/>
      <c r="SE57" s="1"/>
      <c r="SF57" s="487">
        <v>-26.761538461538461</v>
      </c>
      <c r="SG57" s="1">
        <v>0.25</v>
      </c>
      <c r="SH57" s="487"/>
      <c r="SI57" s="1"/>
      <c r="SJ57" s="487"/>
      <c r="SK57" s="1"/>
      <c r="SL57" s="487">
        <v>-9.7153846153846146</v>
      </c>
      <c r="SM57" s="1">
        <v>0</v>
      </c>
      <c r="SN57" s="487">
        <v>7.2923076923076922</v>
      </c>
      <c r="SO57" s="1">
        <v>1</v>
      </c>
      <c r="SP57" s="487"/>
      <c r="SQ57" s="1"/>
      <c r="SR57" s="487">
        <v>7.4846153846153847</v>
      </c>
      <c r="SS57" s="1">
        <v>1</v>
      </c>
      <c r="ST57" s="487"/>
      <c r="SU57" s="1"/>
      <c r="SV57" s="487"/>
      <c r="SW57" s="1"/>
      <c r="SX57" s="487"/>
      <c r="SY57" s="1"/>
      <c r="SZ57" s="487">
        <v>-15.115384615384613</v>
      </c>
      <c r="TA57" s="1">
        <v>0</v>
      </c>
      <c r="TB57" s="487"/>
      <c r="TC57" s="1"/>
      <c r="TD57" s="487"/>
      <c r="TE57" s="1"/>
      <c r="TF57" s="487"/>
      <c r="TG57" s="1"/>
      <c r="TH57" s="488"/>
      <c r="TI57" s="1"/>
      <c r="TJ57" s="489">
        <v>-24.930769230769226</v>
      </c>
      <c r="TK57" s="1">
        <v>0.33333333333333331</v>
      </c>
      <c r="TL57" s="490"/>
      <c r="TM57" s="1"/>
      <c r="TN57" s="495"/>
      <c r="TO57" s="1"/>
      <c r="TP57" s="500"/>
      <c r="TQ57" s="1"/>
      <c r="TR57" s="511">
        <v>-15.092307692307692</v>
      </c>
      <c r="TS57" s="1">
        <v>0</v>
      </c>
      <c r="TT57" s="515">
        <v>-4.5076923076923077</v>
      </c>
      <c r="TU57" s="1">
        <v>0</v>
      </c>
      <c r="TV57" s="518"/>
      <c r="TW57" s="1"/>
      <c r="TX57" s="521"/>
      <c r="TY57" s="1"/>
      <c r="TZ57" s="524"/>
      <c r="UA57" s="1"/>
      <c r="UB57" s="527"/>
      <c r="UC57" s="1"/>
      <c r="UD57" s="530">
        <v>2.5</v>
      </c>
      <c r="UE57" s="1">
        <v>1</v>
      </c>
      <c r="UF57" s="533">
        <v>4.6692307692307695</v>
      </c>
      <c r="UG57" s="1">
        <v>0.5</v>
      </c>
      <c r="UH57" s="536">
        <v>-15.076923076923077</v>
      </c>
      <c r="UI57" s="1">
        <v>0</v>
      </c>
      <c r="UJ57" s="539">
        <v>11.269230769230768</v>
      </c>
      <c r="UK57" s="1">
        <v>1</v>
      </c>
      <c r="UL57" s="540">
        <v>7.861538461538462</v>
      </c>
      <c r="UM57" s="1">
        <v>1</v>
      </c>
      <c r="UN57" s="543">
        <v>7.3230769230769228</v>
      </c>
      <c r="UO57" s="1">
        <v>1</v>
      </c>
      <c r="UP57" s="544"/>
      <c r="UQ57" s="1"/>
      <c r="UR57" s="551"/>
      <c r="US57" s="1"/>
      <c r="UT57" s="551"/>
      <c r="UU57" s="1"/>
      <c r="UV57" s="562"/>
      <c r="UW57" s="1"/>
      <c r="UX57" s="566">
        <v>7.0846153846153852</v>
      </c>
      <c r="UY57" s="1">
        <v>1</v>
      </c>
      <c r="UZ57" s="568"/>
      <c r="VA57" s="1"/>
      <c r="VB57" s="572">
        <v>7.1615384615384619</v>
      </c>
      <c r="VC57" s="1">
        <v>1</v>
      </c>
      <c r="VD57" s="576">
        <v>-10.646153846153846</v>
      </c>
      <c r="VE57" s="1">
        <v>0</v>
      </c>
      <c r="VF57" s="580">
        <v>0.84615384615384581</v>
      </c>
      <c r="VG57" s="1">
        <v>0.5</v>
      </c>
      <c r="VH57" s="584"/>
      <c r="VI57" s="1"/>
      <c r="VJ57" s="589"/>
      <c r="VK57" s="1"/>
      <c r="VL57" s="593">
        <v>-4.384615384615385</v>
      </c>
      <c r="VM57" s="1">
        <v>0</v>
      </c>
      <c r="VN57" s="597">
        <v>-2.046153846153846</v>
      </c>
      <c r="VO57" s="1">
        <v>0</v>
      </c>
      <c r="VP57" s="601"/>
      <c r="VQ57" s="1"/>
      <c r="VR57" s="603"/>
      <c r="VS57" s="1"/>
      <c r="VT57" s="607"/>
      <c r="VU57" s="1"/>
      <c r="VV57" s="609">
        <v>-7.2923076923076922</v>
      </c>
      <c r="VW57" s="1">
        <v>0</v>
      </c>
      <c r="VX57" s="613">
        <v>-15.123076923076923</v>
      </c>
      <c r="VY57" s="1">
        <v>0</v>
      </c>
      <c r="VZ57" s="617">
        <v>14.26923076923077</v>
      </c>
      <c r="WA57" s="1">
        <v>1</v>
      </c>
      <c r="WB57" s="619"/>
      <c r="WC57" s="1"/>
      <c r="WD57" s="624"/>
      <c r="WE57" s="1"/>
      <c r="WF57" s="626">
        <v>-8.2923076923076895</v>
      </c>
      <c r="WG57" s="1">
        <v>0.5</v>
      </c>
      <c r="WH57" s="630">
        <v>2.2076923076923083</v>
      </c>
      <c r="WI57" s="1">
        <v>0.66666666666666663</v>
      </c>
      <c r="WJ57" s="636">
        <v>-12.384615384615385</v>
      </c>
      <c r="WK57" s="1">
        <v>0</v>
      </c>
      <c r="WL57" s="638"/>
      <c r="WM57" s="1"/>
      <c r="WN57" s="642">
        <v>-33.438461538461539</v>
      </c>
      <c r="WO57" s="1">
        <v>0</v>
      </c>
      <c r="WP57" s="646">
        <v>-23.157142857142858</v>
      </c>
      <c r="WQ57" s="1">
        <v>0</v>
      </c>
      <c r="WR57" s="652">
        <v>-18.04615384615385</v>
      </c>
      <c r="WS57" s="1">
        <v>0</v>
      </c>
      <c r="WT57" s="659">
        <v>-4.8692307692307688</v>
      </c>
      <c r="WU57" s="1">
        <v>0</v>
      </c>
      <c r="WV57" s="659"/>
      <c r="WW57" s="1"/>
      <c r="WX57" s="672"/>
      <c r="WY57" s="1"/>
      <c r="WZ57" s="677"/>
      <c r="XA57" s="1"/>
      <c r="XB57" s="681"/>
      <c r="XC57" s="1"/>
      <c r="XD57" s="683"/>
      <c r="XE57" s="1"/>
      <c r="XF57" s="687"/>
      <c r="XG57" s="1"/>
      <c r="XH57" s="689">
        <v>1.3230769230769233</v>
      </c>
      <c r="XI57" s="1">
        <v>0.5</v>
      </c>
      <c r="XJ57" s="696"/>
      <c r="XK57" s="1"/>
      <c r="XL57" s="696">
        <v>-7.3153846153846152</v>
      </c>
      <c r="XM57" s="1">
        <v>0</v>
      </c>
      <c r="XN57" s="696"/>
      <c r="XO57" s="1"/>
      <c r="XP57" s="700"/>
      <c r="XQ57" s="1"/>
      <c r="XR57" s="705">
        <v>9.6999999999999993</v>
      </c>
      <c r="XS57" s="1">
        <v>0.66666666666666663</v>
      </c>
      <c r="XT57" s="709">
        <v>6.3615384615384611</v>
      </c>
      <c r="XU57" s="1">
        <v>0.66666666666666663</v>
      </c>
      <c r="XV57" s="715"/>
      <c r="XW57" s="1"/>
    </row>
    <row r="58" spans="2:647" x14ac:dyDescent="0.25">
      <c r="B58" s="755"/>
      <c r="C58" s="736"/>
      <c r="D58" s="772" t="s">
        <v>68</v>
      </c>
      <c r="E58" s="772"/>
      <c r="F58" s="483">
        <v>1.4</v>
      </c>
      <c r="G58" s="479" t="s">
        <v>72</v>
      </c>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c r="BH58" s="6"/>
      <c r="BI58" s="6"/>
      <c r="BJ58" s="6"/>
      <c r="BK58" s="6"/>
      <c r="BL58" s="6"/>
      <c r="BM58" s="6"/>
      <c r="BN58" s="6"/>
      <c r="BO58" s="6"/>
      <c r="BP58" s="6"/>
      <c r="BQ58" s="6"/>
      <c r="BR58" s="6"/>
      <c r="BS58" s="6"/>
      <c r="BT58" s="6"/>
      <c r="BU58" s="6"/>
      <c r="BV58" s="6"/>
      <c r="BW58" s="6"/>
      <c r="BX58" s="6"/>
      <c r="BY58" s="6"/>
      <c r="BZ58" s="6"/>
      <c r="CA58" s="6"/>
      <c r="CB58" s="6"/>
      <c r="CC58" s="6"/>
      <c r="CD58" s="6"/>
      <c r="CE58" s="6"/>
      <c r="CF58" s="6"/>
      <c r="CG58" s="6"/>
      <c r="CH58" s="6"/>
      <c r="CI58" s="6"/>
      <c r="CJ58" s="6"/>
      <c r="CK58" s="6"/>
      <c r="CL58" s="6"/>
      <c r="CM58" s="6"/>
      <c r="CN58" s="6"/>
      <c r="CO58" s="6"/>
      <c r="CP58" s="6"/>
      <c r="CQ58" s="6"/>
      <c r="CR58" s="6"/>
      <c r="CS58" s="6"/>
      <c r="CT58" s="6"/>
      <c r="CU58" s="6"/>
      <c r="CV58" s="6"/>
      <c r="CW58" s="6"/>
      <c r="CX58" s="6"/>
      <c r="CY58" s="6"/>
      <c r="CZ58" s="6"/>
      <c r="DA58" s="6"/>
      <c r="DB58" s="6"/>
      <c r="DC58" s="6"/>
      <c r="DD58" s="6"/>
      <c r="DE58" s="6"/>
      <c r="DF58" s="6"/>
      <c r="DG58" s="6"/>
      <c r="DH58" s="6"/>
      <c r="DI58" s="6"/>
      <c r="DJ58" s="6"/>
      <c r="DK58" s="6"/>
      <c r="DL58" s="6"/>
      <c r="DM58" s="6"/>
      <c r="DN58" s="6"/>
      <c r="DO58" s="6"/>
      <c r="DP58" s="6"/>
      <c r="DQ58" s="6"/>
      <c r="DR58" s="6"/>
      <c r="DS58" s="6"/>
      <c r="DT58" s="6"/>
      <c r="DU58" s="6"/>
      <c r="DV58" s="6"/>
      <c r="DW58" s="6"/>
      <c r="DX58" s="6"/>
      <c r="DY58" s="6"/>
      <c r="DZ58" s="6"/>
      <c r="EA58" s="6"/>
      <c r="EB58" s="6"/>
      <c r="EC58" s="6"/>
      <c r="ED58" s="6"/>
      <c r="EE58" s="6"/>
      <c r="EF58" s="6"/>
      <c r="EG58" s="6"/>
      <c r="EH58" s="6"/>
      <c r="EI58" s="6"/>
      <c r="EJ58" s="6"/>
      <c r="EK58" s="6"/>
      <c r="EL58" s="6"/>
      <c r="EM58" s="6"/>
      <c r="EN58" s="6"/>
      <c r="EO58" s="6"/>
      <c r="EP58" s="6"/>
      <c r="EQ58" s="6"/>
      <c r="ER58" s="4"/>
      <c r="ES58" s="5"/>
      <c r="ET58" s="4"/>
      <c r="EU58" s="5"/>
      <c r="EV58" s="4"/>
      <c r="EW58" s="5"/>
      <c r="EX58" s="4"/>
      <c r="EY58" s="5"/>
      <c r="EZ58" s="4"/>
      <c r="FA58" s="5"/>
      <c r="FB58" s="4"/>
      <c r="FC58" s="5"/>
      <c r="FD58" s="4"/>
      <c r="FE58" s="5"/>
      <c r="FF58" s="4"/>
      <c r="FG58" s="5"/>
      <c r="FH58" s="4"/>
      <c r="FI58" s="5"/>
      <c r="FJ58" s="4"/>
      <c r="FK58" s="5"/>
      <c r="FL58" s="4"/>
      <c r="FM58" s="5"/>
      <c r="FN58" s="4"/>
      <c r="FO58" s="5"/>
      <c r="FP58" s="4"/>
      <c r="FQ58" s="5"/>
      <c r="FR58" s="4"/>
      <c r="FS58" s="5"/>
      <c r="FT58" s="4"/>
      <c r="FU58" s="5"/>
      <c r="FV58" s="4"/>
      <c r="FW58" s="5"/>
      <c r="FX58" s="4"/>
      <c r="FY58" s="5"/>
      <c r="FZ58" s="4"/>
      <c r="GA58" s="5"/>
      <c r="GB58" s="4"/>
      <c r="GC58" s="5"/>
      <c r="GD58" s="4"/>
      <c r="GE58" s="5"/>
      <c r="GF58" s="4"/>
      <c r="GG58" s="5"/>
      <c r="GH58" s="4"/>
      <c r="GI58" s="5"/>
      <c r="GJ58" s="4"/>
      <c r="GK58" s="5"/>
      <c r="GL58" s="4"/>
      <c r="GM58" s="5"/>
      <c r="GN58" s="4"/>
      <c r="GO58" s="5"/>
      <c r="GP58" s="4"/>
      <c r="GQ58" s="5"/>
      <c r="GR58" s="4"/>
      <c r="GS58" s="5"/>
      <c r="GT58" s="4"/>
      <c r="GU58" s="5"/>
      <c r="GV58" s="4"/>
      <c r="GW58" s="5"/>
      <c r="GX58" s="4"/>
      <c r="GY58" s="5"/>
      <c r="GZ58" s="4"/>
      <c r="HA58" s="5"/>
      <c r="HB58" s="4"/>
      <c r="HC58" s="5"/>
      <c r="HD58" s="4"/>
      <c r="HE58" s="5"/>
      <c r="HF58" s="4"/>
      <c r="HG58" s="5"/>
      <c r="HH58" s="4"/>
      <c r="HI58" s="5"/>
      <c r="HJ58" s="4"/>
      <c r="HK58" s="5"/>
      <c r="HL58" s="4"/>
      <c r="HM58" s="5"/>
      <c r="HN58" s="4"/>
      <c r="HO58" s="5"/>
      <c r="HP58" s="4"/>
      <c r="HQ58" s="5"/>
      <c r="HR58" s="4"/>
      <c r="HS58" s="5"/>
      <c r="HT58" s="4"/>
      <c r="HU58" s="5"/>
      <c r="HV58" s="4"/>
      <c r="HW58" s="5"/>
      <c r="HX58" s="4"/>
      <c r="HY58" s="5"/>
      <c r="HZ58" s="4"/>
      <c r="IA58" s="5"/>
      <c r="IB58" s="4"/>
      <c r="IC58" s="5"/>
      <c r="ID58" s="4"/>
      <c r="IE58" s="5"/>
      <c r="IF58" s="4"/>
      <c r="IG58" s="5"/>
      <c r="IH58" s="4"/>
      <c r="II58" s="5"/>
      <c r="IJ58" s="4"/>
      <c r="IK58" s="5"/>
      <c r="IL58" s="4"/>
      <c r="IM58" s="5"/>
      <c r="IN58" s="4"/>
      <c r="IO58" s="5"/>
      <c r="IP58" s="4"/>
      <c r="IQ58" s="5"/>
      <c r="IR58" s="4"/>
      <c r="IS58" s="5"/>
      <c r="IT58" s="4"/>
      <c r="IU58" s="5"/>
      <c r="IV58" s="4"/>
      <c r="IW58" s="5"/>
      <c r="IX58" s="4"/>
      <c r="IY58" s="5"/>
      <c r="IZ58" s="4"/>
      <c r="JA58" s="5"/>
      <c r="JB58" s="4"/>
      <c r="JC58" s="5"/>
      <c r="JD58" s="4"/>
      <c r="JE58" s="5"/>
      <c r="JF58" s="4"/>
      <c r="JG58" s="5"/>
      <c r="JH58" s="4"/>
      <c r="JI58" s="5"/>
      <c r="JJ58" s="4"/>
      <c r="JK58" s="5"/>
      <c r="JL58" s="4"/>
      <c r="JM58" s="5"/>
      <c r="JN58" s="4"/>
      <c r="JO58" s="5"/>
      <c r="JP58" s="4"/>
      <c r="JQ58" s="5"/>
      <c r="JR58" s="4"/>
      <c r="JS58" s="5"/>
      <c r="JT58" s="4"/>
      <c r="JU58" s="5"/>
      <c r="JV58" s="4"/>
      <c r="JW58" s="5"/>
      <c r="JX58" s="4"/>
      <c r="JY58" s="5"/>
      <c r="JZ58" s="4"/>
      <c r="KA58" s="5"/>
      <c r="KB58" s="4"/>
      <c r="KC58" s="5"/>
      <c r="KD58" s="4"/>
      <c r="KE58" s="5"/>
      <c r="KF58" s="4"/>
      <c r="KG58" s="5"/>
      <c r="KH58" s="4"/>
      <c r="KI58" s="5"/>
      <c r="KJ58" s="4"/>
      <c r="KK58" s="5"/>
      <c r="KL58" s="4"/>
      <c r="KM58" s="5"/>
      <c r="KN58" s="4"/>
      <c r="KO58" s="5"/>
      <c r="KP58" s="4"/>
      <c r="KQ58" s="5"/>
      <c r="KR58" s="4"/>
      <c r="KS58" s="5"/>
      <c r="KT58" s="4"/>
      <c r="KU58" s="5"/>
      <c r="KV58" s="4"/>
      <c r="KW58" s="5"/>
      <c r="KX58" s="4"/>
      <c r="KY58" s="5"/>
      <c r="KZ58" s="4"/>
      <c r="LA58" s="5"/>
      <c r="LB58" s="4"/>
      <c r="LC58" s="5"/>
      <c r="LD58" s="4"/>
      <c r="LE58" s="5"/>
      <c r="LF58" s="4"/>
      <c r="LG58" s="5"/>
      <c r="LH58" s="4"/>
      <c r="LI58" s="5"/>
      <c r="LJ58" s="4"/>
      <c r="LK58" s="5"/>
      <c r="LL58" s="4"/>
      <c r="LM58" s="5"/>
      <c r="LN58" s="4"/>
      <c r="LO58" s="5"/>
      <c r="LP58" s="4"/>
      <c r="LQ58" s="5"/>
      <c r="LR58" s="4"/>
      <c r="LS58" s="5"/>
      <c r="LT58" s="4"/>
      <c r="LU58" s="5"/>
      <c r="LV58" s="4"/>
      <c r="LW58" s="5"/>
      <c r="LX58" s="4"/>
      <c r="LY58" s="5"/>
      <c r="LZ58" s="4"/>
      <c r="MA58" s="5"/>
      <c r="MB58" s="4"/>
      <c r="MC58" s="5"/>
      <c r="MD58" s="4"/>
      <c r="ME58" s="5"/>
      <c r="MF58" s="4"/>
      <c r="MG58" s="5"/>
      <c r="MH58" s="4"/>
      <c r="MI58" s="5"/>
      <c r="MJ58" s="4"/>
      <c r="MK58" s="5"/>
      <c r="ML58" s="4"/>
      <c r="MM58" s="5"/>
      <c r="MN58" s="4"/>
      <c r="MO58" s="5"/>
      <c r="MP58" s="4"/>
      <c r="MQ58" s="5"/>
      <c r="MR58" s="4"/>
      <c r="MS58" s="5"/>
      <c r="MT58" s="4"/>
      <c r="MU58" s="5"/>
      <c r="MV58" s="4"/>
      <c r="MW58" s="5"/>
      <c r="MX58" s="4"/>
      <c r="MY58" s="5"/>
      <c r="MZ58" s="4"/>
      <c r="NA58" s="5"/>
      <c r="NB58" s="4"/>
      <c r="NC58" s="5"/>
      <c r="ND58" s="4"/>
      <c r="NE58" s="5"/>
      <c r="NF58" s="4"/>
      <c r="NG58" s="5"/>
      <c r="NH58" s="4"/>
      <c r="NI58" s="5"/>
      <c r="NJ58" s="4"/>
      <c r="NK58" s="5"/>
      <c r="NL58" s="4"/>
      <c r="NM58" s="5"/>
      <c r="NN58" s="4"/>
      <c r="NO58" s="5"/>
      <c r="NP58" s="4"/>
      <c r="NQ58" s="5"/>
      <c r="NR58" s="4"/>
      <c r="NS58" s="5"/>
      <c r="NT58" s="4"/>
      <c r="NU58" s="5"/>
      <c r="NV58" s="4"/>
      <c r="NW58" s="5"/>
      <c r="NX58" s="4"/>
      <c r="NY58" s="5"/>
      <c r="NZ58" s="4"/>
      <c r="OA58" s="5"/>
      <c r="OB58" s="4"/>
      <c r="OC58" s="5"/>
      <c r="OD58" s="4"/>
      <c r="OE58" s="5"/>
      <c r="OF58" s="4"/>
      <c r="OG58" s="5"/>
      <c r="OH58" s="4"/>
      <c r="OI58" s="5"/>
      <c r="OJ58" s="4"/>
      <c r="OK58" s="5"/>
      <c r="OL58" s="4"/>
      <c r="OM58" s="5"/>
      <c r="ON58" s="4"/>
      <c r="OO58" s="5"/>
      <c r="OP58" s="4"/>
      <c r="OQ58" s="5"/>
      <c r="OR58" s="4"/>
      <c r="OS58" s="5"/>
      <c r="OT58" s="4"/>
      <c r="OU58" s="5"/>
      <c r="OV58" s="4"/>
      <c r="OW58" s="5"/>
      <c r="OX58" s="4"/>
      <c r="OY58" s="5"/>
      <c r="OZ58" s="4"/>
      <c r="PA58" s="5"/>
      <c r="PB58" s="4"/>
      <c r="PC58" s="5"/>
      <c r="PD58" s="4"/>
      <c r="PE58" s="5"/>
      <c r="PF58" s="4"/>
      <c r="PG58" s="5"/>
      <c r="PH58" s="4"/>
      <c r="PI58" s="5"/>
      <c r="PJ58" s="4"/>
      <c r="PK58" s="5"/>
      <c r="PL58" s="4"/>
      <c r="PM58" s="5"/>
      <c r="PN58" s="4"/>
      <c r="PO58" s="5"/>
      <c r="PP58" s="4"/>
      <c r="PQ58" s="5"/>
      <c r="PR58" s="4"/>
      <c r="PS58" s="5"/>
      <c r="PT58" s="4"/>
      <c r="PU58" s="5"/>
      <c r="PV58" s="4"/>
      <c r="PW58" s="5"/>
      <c r="PX58" s="4"/>
      <c r="PY58" s="5"/>
      <c r="PZ58" s="4"/>
      <c r="QA58" s="5"/>
      <c r="QB58" s="4"/>
      <c r="QC58" s="5"/>
      <c r="QD58" s="4"/>
      <c r="QE58" s="5"/>
      <c r="QF58" s="4"/>
      <c r="QG58" s="5"/>
      <c r="QH58" s="4"/>
      <c r="QI58" s="5"/>
      <c r="QJ58" s="4"/>
      <c r="QK58" s="5"/>
      <c r="QL58" s="4"/>
      <c r="QM58" s="5"/>
      <c r="QN58" s="4"/>
      <c r="QO58" s="5"/>
      <c r="QP58" s="4"/>
      <c r="QQ58" s="5"/>
      <c r="QR58" s="4"/>
      <c r="QS58" s="5"/>
      <c r="QT58" s="4"/>
      <c r="QU58" s="5"/>
      <c r="QV58" s="4"/>
      <c r="QW58" s="5"/>
      <c r="QX58" s="4"/>
      <c r="QY58" s="5"/>
      <c r="QZ58" s="4"/>
      <c r="RA58" s="5"/>
      <c r="RB58" s="4"/>
      <c r="RC58" s="5"/>
      <c r="RD58" s="4"/>
      <c r="RE58" s="5"/>
      <c r="RF58" s="4"/>
      <c r="RG58" s="5"/>
      <c r="RH58" s="4"/>
      <c r="RI58" s="5"/>
      <c r="RJ58" s="4"/>
      <c r="RK58" s="5"/>
      <c r="RL58" s="4"/>
      <c r="RM58" s="5"/>
      <c r="RN58" s="4"/>
      <c r="RO58" s="5"/>
      <c r="RP58" s="4"/>
      <c r="RQ58" s="5"/>
      <c r="RR58" s="4"/>
      <c r="RS58" s="5"/>
      <c r="RT58" s="4"/>
      <c r="RU58" s="5"/>
      <c r="RV58" s="4"/>
      <c r="RW58" s="5"/>
      <c r="RX58" s="4"/>
      <c r="RY58" s="5"/>
      <c r="RZ58" s="4"/>
      <c r="SA58" s="5"/>
      <c r="SB58" s="4"/>
      <c r="SC58" s="5"/>
      <c r="SD58" s="4"/>
      <c r="SE58" s="5"/>
      <c r="SF58" s="4">
        <v>19.907142857142855</v>
      </c>
      <c r="SG58" s="5">
        <v>0.75</v>
      </c>
      <c r="SH58" s="4">
        <v>7.1571428571428575</v>
      </c>
      <c r="SI58" s="5">
        <v>1</v>
      </c>
      <c r="SJ58" s="4"/>
      <c r="SK58" s="5"/>
      <c r="SL58" s="4">
        <v>-26.214285714285712</v>
      </c>
      <c r="SM58" s="5">
        <v>0.4</v>
      </c>
      <c r="SN58" s="4">
        <v>7.0642857142857149</v>
      </c>
      <c r="SO58" s="5">
        <v>1</v>
      </c>
      <c r="SP58" s="4"/>
      <c r="SQ58" s="5"/>
      <c r="SR58" s="4"/>
      <c r="SS58" s="5"/>
      <c r="ST58" s="4"/>
      <c r="SU58" s="5"/>
      <c r="SV58" s="4">
        <v>-0.15</v>
      </c>
      <c r="SW58" s="5">
        <v>0</v>
      </c>
      <c r="SX58" s="4"/>
      <c r="SY58" s="5"/>
      <c r="SZ58" s="4"/>
      <c r="TA58" s="5"/>
      <c r="TB58" s="4"/>
      <c r="TC58" s="5"/>
      <c r="TD58" s="4">
        <v>14.078571428571431</v>
      </c>
      <c r="TE58" s="5">
        <v>1</v>
      </c>
      <c r="TF58" s="4"/>
      <c r="TG58" s="5"/>
      <c r="TH58" s="4"/>
      <c r="TI58" s="5"/>
      <c r="TJ58" s="4"/>
      <c r="TK58" s="5"/>
      <c r="TL58" s="4"/>
      <c r="TM58" s="5"/>
      <c r="TN58" s="4"/>
      <c r="TO58" s="5"/>
      <c r="TP58" s="4">
        <v>7.0357142857142856</v>
      </c>
      <c r="TQ58" s="5">
        <v>1</v>
      </c>
      <c r="TR58" s="4">
        <v>-4.2071428571428582</v>
      </c>
      <c r="TS58" s="5">
        <v>0.5</v>
      </c>
      <c r="TT58" s="4"/>
      <c r="TU58" s="5"/>
      <c r="TV58" s="4"/>
      <c r="TW58" s="5"/>
      <c r="TX58" s="4"/>
      <c r="TY58" s="5"/>
      <c r="TZ58" s="4"/>
      <c r="UA58" s="5"/>
      <c r="UB58" s="4"/>
      <c r="UC58" s="5"/>
      <c r="UD58" s="4"/>
      <c r="UE58" s="5"/>
      <c r="UF58" s="4"/>
      <c r="UG58" s="5"/>
      <c r="UH58" s="4">
        <v>6.9714285714285715</v>
      </c>
      <c r="UI58" s="5">
        <v>1</v>
      </c>
      <c r="UJ58" s="4">
        <v>16.614285714285714</v>
      </c>
      <c r="UK58" s="5">
        <v>1</v>
      </c>
      <c r="UL58" s="4">
        <v>-11.157142857142857</v>
      </c>
      <c r="UM58" s="5">
        <v>0</v>
      </c>
      <c r="UN58" s="4">
        <v>3.6714285714285722</v>
      </c>
      <c r="UO58" s="5">
        <v>0.5</v>
      </c>
      <c r="UP58" s="4"/>
      <c r="UQ58" s="5"/>
      <c r="UR58" s="4">
        <v>12.978571428571431</v>
      </c>
      <c r="US58" s="5">
        <v>1</v>
      </c>
      <c r="UT58" s="4">
        <v>-11.064285714285715</v>
      </c>
      <c r="UU58" s="5">
        <v>0</v>
      </c>
      <c r="UV58" s="4"/>
      <c r="UW58" s="5"/>
      <c r="UX58" s="4"/>
      <c r="UY58" s="5"/>
      <c r="UZ58" s="4"/>
      <c r="VA58" s="5"/>
      <c r="VB58" s="4">
        <v>11.828571428571431</v>
      </c>
      <c r="VC58" s="5">
        <v>0.5</v>
      </c>
      <c r="VD58" s="4">
        <v>-11.021428571428572</v>
      </c>
      <c r="VE58" s="5">
        <v>0</v>
      </c>
      <c r="VF58" s="4">
        <v>-25.300000000000004</v>
      </c>
      <c r="VG58" s="5">
        <v>0</v>
      </c>
      <c r="VH58" s="4"/>
      <c r="VI58" s="5"/>
      <c r="VJ58" s="4"/>
      <c r="VK58" s="5"/>
      <c r="VL58" s="4">
        <v>-11.021428571428572</v>
      </c>
      <c r="VM58" s="5">
        <v>0</v>
      </c>
      <c r="VN58" s="4"/>
      <c r="VO58" s="5"/>
      <c r="VP58" s="4"/>
      <c r="VQ58" s="5"/>
      <c r="VR58" s="4"/>
      <c r="VS58" s="5"/>
      <c r="VT58" s="4"/>
      <c r="VU58" s="5"/>
      <c r="VV58" s="4">
        <v>14.435714285714287</v>
      </c>
      <c r="VW58" s="5">
        <v>1</v>
      </c>
      <c r="VX58" s="4">
        <v>-15.442857142857145</v>
      </c>
      <c r="VY58" s="5">
        <v>0.33333333333333331</v>
      </c>
      <c r="VZ58" s="4">
        <v>2.8142857142857154</v>
      </c>
      <c r="WA58" s="5">
        <v>0.66666666666666663</v>
      </c>
      <c r="WB58" s="4"/>
      <c r="WC58" s="5"/>
      <c r="WD58" s="4"/>
      <c r="WE58" s="5"/>
      <c r="WF58" s="4">
        <v>-16.014285714285716</v>
      </c>
      <c r="WG58" s="5">
        <v>0</v>
      </c>
      <c r="WH58" s="4"/>
      <c r="WI58" s="5"/>
      <c r="WJ58" s="4">
        <v>-11.014285714285714</v>
      </c>
      <c r="WK58" s="5">
        <v>0</v>
      </c>
      <c r="WL58" s="4">
        <v>7.1714285714285717</v>
      </c>
      <c r="WM58" s="5">
        <v>1</v>
      </c>
      <c r="WN58" s="4">
        <v>9.0642857142857132</v>
      </c>
      <c r="WO58" s="5">
        <v>0.75</v>
      </c>
      <c r="WP58" s="4"/>
      <c r="WQ58" s="5"/>
      <c r="WR58" s="4">
        <v>-15.221428571428573</v>
      </c>
      <c r="WS58" s="5">
        <v>0.33333333333333331</v>
      </c>
      <c r="WT58" s="4"/>
      <c r="WU58" s="5"/>
      <c r="WV58" s="4">
        <v>7.2285714285714286</v>
      </c>
      <c r="WW58" s="5">
        <v>1</v>
      </c>
      <c r="WX58" s="4"/>
      <c r="WY58" s="5"/>
      <c r="WZ58" s="4"/>
      <c r="XA58" s="5"/>
      <c r="XB58" s="4"/>
      <c r="XC58" s="5"/>
      <c r="XD58" s="4"/>
      <c r="XE58" s="5"/>
      <c r="XF58" s="4"/>
      <c r="XG58" s="5"/>
      <c r="XH58" s="4">
        <v>-35.642857142857146</v>
      </c>
      <c r="XI58" s="5">
        <v>0</v>
      </c>
      <c r="XJ58" s="4"/>
      <c r="XK58" s="5"/>
      <c r="XL58" s="4"/>
      <c r="XM58" s="5"/>
      <c r="XN58" s="4"/>
      <c r="XO58" s="5"/>
      <c r="XP58" s="4"/>
      <c r="XQ58" s="5"/>
      <c r="XR58" s="4">
        <v>-4.9357142857142877</v>
      </c>
      <c r="XS58" s="5">
        <v>0.33333333333333331</v>
      </c>
      <c r="XT58" s="4">
        <v>-5.7357142857142858</v>
      </c>
      <c r="XU58" s="5">
        <v>0.33333333333333331</v>
      </c>
      <c r="XV58" s="4"/>
      <c r="XW58" s="5"/>
    </row>
    <row r="59" spans="2:647" x14ac:dyDescent="0.25">
      <c r="B59" s="755"/>
      <c r="C59" s="726" t="s">
        <v>18</v>
      </c>
      <c r="D59" s="765" t="s">
        <v>26</v>
      </c>
      <c r="E59" s="765"/>
      <c r="F59" s="482">
        <v>0.3</v>
      </c>
      <c r="G59" s="475" t="s">
        <v>34</v>
      </c>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6"/>
      <c r="BX59" s="487">
        <v>-7.9266666666666659</v>
      </c>
      <c r="BY59" s="1">
        <v>0.25</v>
      </c>
      <c r="BZ59" s="487">
        <v>-5.9033333333333342</v>
      </c>
      <c r="CA59" s="1">
        <v>0</v>
      </c>
      <c r="CB59" s="487"/>
      <c r="CC59" s="1"/>
      <c r="CD59" s="487">
        <v>5.41</v>
      </c>
      <c r="CE59" s="1">
        <v>0.8</v>
      </c>
      <c r="CF59" s="487">
        <v>3.9050000000000002</v>
      </c>
      <c r="CG59" s="1">
        <v>0.66666666666666663</v>
      </c>
      <c r="CH59" s="487">
        <v>-6.3449999999999998</v>
      </c>
      <c r="CI59" s="1">
        <v>0</v>
      </c>
      <c r="CJ59" s="487">
        <v>5.9316666666666675</v>
      </c>
      <c r="CK59" s="1">
        <v>0.8</v>
      </c>
      <c r="CL59" s="487">
        <v>-1.0016666666666667</v>
      </c>
      <c r="CM59" s="1">
        <v>0</v>
      </c>
      <c r="CN59" s="487">
        <v>-5.1849999999999996</v>
      </c>
      <c r="CO59" s="1">
        <v>0</v>
      </c>
      <c r="CP59" s="487">
        <v>2.7899999999999991</v>
      </c>
      <c r="CQ59" s="1">
        <v>0.66666666666666663</v>
      </c>
      <c r="CR59" s="487">
        <v>-13.303333333333333</v>
      </c>
      <c r="CS59" s="1">
        <v>0</v>
      </c>
      <c r="CT59" s="487">
        <v>0</v>
      </c>
      <c r="CU59" s="1">
        <v>0</v>
      </c>
      <c r="CV59" s="487">
        <v>-0.11999999999999982</v>
      </c>
      <c r="CW59" s="1">
        <v>0.5</v>
      </c>
      <c r="CX59" s="487">
        <v>-18.811666666666667</v>
      </c>
      <c r="CY59" s="1">
        <v>0</v>
      </c>
      <c r="CZ59" s="487">
        <v>-1.0183333333333333</v>
      </c>
      <c r="DA59" s="1">
        <v>0.6</v>
      </c>
      <c r="DB59" s="487">
        <v>0.94666666666666555</v>
      </c>
      <c r="DC59" s="1">
        <v>0.66666666666666663</v>
      </c>
      <c r="DD59" s="487">
        <v>-1.5616666666666668</v>
      </c>
      <c r="DE59" s="1">
        <v>0.66666666666666663</v>
      </c>
      <c r="DF59" s="487">
        <v>5.5183333333333335</v>
      </c>
      <c r="DG59" s="1">
        <v>0.66666666666666663</v>
      </c>
      <c r="DH59" s="487">
        <v>-3.7850000000000001</v>
      </c>
      <c r="DI59" s="1">
        <v>0</v>
      </c>
      <c r="DJ59" s="487">
        <v>2.1499999999999986</v>
      </c>
      <c r="DK59" s="1">
        <v>0.7</v>
      </c>
      <c r="DL59" s="487">
        <v>-5.8833333333333337</v>
      </c>
      <c r="DM59" s="1">
        <v>0.33333333333333331</v>
      </c>
      <c r="DN59" s="487">
        <v>2.7300000000000009</v>
      </c>
      <c r="DO59" s="1">
        <v>0.66666666666666663</v>
      </c>
      <c r="DP59" s="487">
        <v>-2.3216666666666668</v>
      </c>
      <c r="DQ59" s="1">
        <v>0.33333333333333331</v>
      </c>
      <c r="DR59" s="487">
        <v>15.795000000000002</v>
      </c>
      <c r="DS59" s="1">
        <v>0.8</v>
      </c>
      <c r="DT59" s="487">
        <v>-1.38</v>
      </c>
      <c r="DU59" s="1">
        <v>0.5</v>
      </c>
      <c r="DV59" s="487">
        <v>-1.38</v>
      </c>
      <c r="DW59" s="1">
        <v>0.5</v>
      </c>
      <c r="DX59" s="487">
        <v>-9.1883333333333344</v>
      </c>
      <c r="DY59" s="1">
        <v>0.33333333333333331</v>
      </c>
      <c r="DZ59" s="487">
        <v>0.29500000000000054</v>
      </c>
      <c r="EA59" s="1">
        <v>0.33333333333333331</v>
      </c>
      <c r="EB59" s="487">
        <v>-6.163333333333334</v>
      </c>
      <c r="EC59" s="1">
        <v>0.55555555555555558</v>
      </c>
      <c r="ED59" s="487">
        <v>-2.4500000000000002</v>
      </c>
      <c r="EE59" s="1">
        <v>0.25</v>
      </c>
      <c r="EF59" s="487">
        <v>8.8566666666666674</v>
      </c>
      <c r="EG59" s="1">
        <v>0.8</v>
      </c>
      <c r="EH59" s="487">
        <v>9.3883333333333336</v>
      </c>
      <c r="EI59" s="1">
        <v>1</v>
      </c>
      <c r="EJ59" s="487">
        <v>9.27</v>
      </c>
      <c r="EK59" s="1">
        <v>1</v>
      </c>
      <c r="EL59" s="487">
        <v>3.0366666666666666</v>
      </c>
      <c r="EM59" s="1">
        <v>1</v>
      </c>
      <c r="EN59" s="487">
        <v>3.0416666666666665</v>
      </c>
      <c r="EO59" s="1">
        <v>1</v>
      </c>
      <c r="EP59" s="487">
        <v>6.2949999999999999</v>
      </c>
      <c r="EQ59" s="96">
        <v>1</v>
      </c>
      <c r="ER59" s="487">
        <v>-0.36166666666666669</v>
      </c>
      <c r="ES59" s="1">
        <v>0.5</v>
      </c>
      <c r="ET59" s="487">
        <v>0.5633333333333338</v>
      </c>
      <c r="EU59" s="1">
        <v>0.66666666666666663</v>
      </c>
      <c r="EV59" s="487"/>
      <c r="EW59" s="1"/>
      <c r="EX59" s="487"/>
      <c r="EY59" s="1"/>
      <c r="EZ59" s="487"/>
      <c r="FA59" s="1"/>
      <c r="FB59" s="487">
        <v>10.5</v>
      </c>
      <c r="FC59" s="1">
        <v>0.5</v>
      </c>
      <c r="FD59" s="487">
        <v>21.6</v>
      </c>
      <c r="FE59" s="1">
        <v>0.8</v>
      </c>
      <c r="FF59" s="487">
        <v>-2.8000000000000056</v>
      </c>
      <c r="FG59" s="1">
        <v>0.625</v>
      </c>
      <c r="FH59" s="487">
        <v>32.800000000000004</v>
      </c>
      <c r="FI59" s="1">
        <v>0.88888888888888884</v>
      </c>
      <c r="FJ59" s="487">
        <v>29.266666666666673</v>
      </c>
      <c r="FK59" s="1">
        <v>1</v>
      </c>
      <c r="FL59" s="487"/>
      <c r="FM59" s="1"/>
      <c r="FN59" s="487">
        <v>-18.233333333333338</v>
      </c>
      <c r="FO59" s="1">
        <v>0.5</v>
      </c>
      <c r="FP59" s="487">
        <v>18.133333333333336</v>
      </c>
      <c r="FQ59" s="1">
        <v>0.625</v>
      </c>
      <c r="FR59" s="487">
        <v>2.8333333333333339</v>
      </c>
      <c r="FS59" s="1">
        <v>0.55555555555555558</v>
      </c>
      <c r="FT59" s="487">
        <v>6.4999999999999991</v>
      </c>
      <c r="FU59" s="1">
        <v>0.75</v>
      </c>
      <c r="FV59" s="487">
        <v>36.033333333333339</v>
      </c>
      <c r="FW59" s="1">
        <v>1</v>
      </c>
      <c r="FX59" s="487">
        <v>-20.06666666666667</v>
      </c>
      <c r="FY59" s="1">
        <v>0.375</v>
      </c>
      <c r="FZ59" s="487">
        <v>16</v>
      </c>
      <c r="GA59" s="1">
        <v>0.75</v>
      </c>
      <c r="GB59" s="487">
        <v>-29</v>
      </c>
      <c r="GC59" s="1">
        <v>0.375</v>
      </c>
      <c r="GD59" s="487">
        <v>7.7</v>
      </c>
      <c r="GE59" s="1">
        <v>0.8</v>
      </c>
      <c r="GF59" s="487">
        <v>-16.2</v>
      </c>
      <c r="GG59" s="1">
        <v>0.33333333333333331</v>
      </c>
      <c r="GH59" s="487">
        <v>0.76666666666666738</v>
      </c>
      <c r="GI59" s="1">
        <v>0.33333333333333331</v>
      </c>
      <c r="GJ59" s="487">
        <v>41.800000000000004</v>
      </c>
      <c r="GK59" s="1">
        <v>0.875</v>
      </c>
      <c r="GL59" s="487">
        <v>1.0666666666666662</v>
      </c>
      <c r="GM59" s="1">
        <v>0.42857142857142855</v>
      </c>
      <c r="GN59" s="487"/>
      <c r="GO59" s="1"/>
      <c r="GP59" s="487">
        <v>25.099999999999998</v>
      </c>
      <c r="GQ59" s="1">
        <v>0.75</v>
      </c>
      <c r="GR59" s="487">
        <v>-17.000000000000007</v>
      </c>
      <c r="GS59" s="1">
        <v>0.5</v>
      </c>
      <c r="GT59" s="487">
        <v>33.233333333333334</v>
      </c>
      <c r="GU59" s="1">
        <v>0.75</v>
      </c>
      <c r="GV59" s="487">
        <v>13.333333333333332</v>
      </c>
      <c r="GW59" s="1">
        <v>0.5714285714285714</v>
      </c>
      <c r="GX59" s="487">
        <v>-0.83333333333333337</v>
      </c>
      <c r="GY59" s="1">
        <v>0.4</v>
      </c>
      <c r="GZ59" s="487"/>
      <c r="HA59" s="1"/>
      <c r="HB59" s="487">
        <v>-24.866666666666671</v>
      </c>
      <c r="HC59" s="1">
        <v>0.25</v>
      </c>
      <c r="HD59" s="487">
        <v>66.3</v>
      </c>
      <c r="HE59" s="1">
        <v>0.84615384615384615</v>
      </c>
      <c r="HF59" s="487">
        <v>-6.8666666666666689</v>
      </c>
      <c r="HG59" s="1">
        <v>0.6</v>
      </c>
      <c r="HH59" s="487">
        <v>18.399999999999999</v>
      </c>
      <c r="HI59" s="1">
        <v>0.66666666666666663</v>
      </c>
      <c r="HJ59" s="487">
        <v>17.599999999999998</v>
      </c>
      <c r="HK59" s="1">
        <v>0.6</v>
      </c>
      <c r="HL59" s="487">
        <v>-13.5</v>
      </c>
      <c r="HM59" s="1">
        <v>0.33333333333333331</v>
      </c>
      <c r="HN59" s="487">
        <v>28.266666666666669</v>
      </c>
      <c r="HO59" s="1">
        <v>1</v>
      </c>
      <c r="HP59" s="487">
        <v>-8.8666666666666671</v>
      </c>
      <c r="HQ59" s="1">
        <v>0.2</v>
      </c>
      <c r="HR59" s="487">
        <v>5.1666666666666679</v>
      </c>
      <c r="HS59" s="1">
        <v>0.5714285714285714</v>
      </c>
      <c r="HT59" s="487">
        <v>-55.799999999999983</v>
      </c>
      <c r="HU59" s="1">
        <v>0.2</v>
      </c>
      <c r="HV59" s="487">
        <v>17.166666666666664</v>
      </c>
      <c r="HW59" s="1">
        <v>0.75</v>
      </c>
      <c r="HX59" s="487"/>
      <c r="HY59" s="1"/>
      <c r="HZ59" s="487">
        <v>-68.666666666666657</v>
      </c>
      <c r="IA59" s="1">
        <v>0.125</v>
      </c>
      <c r="IB59" s="487">
        <v>-16.8</v>
      </c>
      <c r="IC59" s="1">
        <v>0.16666666666666666</v>
      </c>
      <c r="ID59" s="487">
        <v>-1.7666666666666675</v>
      </c>
      <c r="IE59" s="1">
        <v>0.625</v>
      </c>
      <c r="IF59" s="487"/>
      <c r="IG59" s="1"/>
      <c r="IH59" s="487">
        <v>7.1</v>
      </c>
      <c r="II59" s="1">
        <v>1</v>
      </c>
      <c r="IJ59" s="487"/>
      <c r="IK59" s="1"/>
      <c r="IL59" s="487">
        <v>21.93333333333333</v>
      </c>
      <c r="IM59" s="1">
        <v>0.67</v>
      </c>
      <c r="IN59" s="487">
        <v>-7.9666666666666686</v>
      </c>
      <c r="IO59" s="1">
        <v>0.33333333333333331</v>
      </c>
      <c r="IP59" s="487">
        <v>0.1749999999999996</v>
      </c>
      <c r="IQ59" s="1">
        <v>0.6</v>
      </c>
      <c r="IR59" s="487">
        <v>-26.533333333333331</v>
      </c>
      <c r="IS59" s="1">
        <v>0.2</v>
      </c>
      <c r="IT59" s="487">
        <v>7.1333333333333337</v>
      </c>
      <c r="IU59" s="1">
        <v>1</v>
      </c>
      <c r="IV59" s="487">
        <v>-23.8</v>
      </c>
      <c r="IW59" s="1">
        <v>0.2</v>
      </c>
      <c r="IX59" s="487">
        <v>-22.4</v>
      </c>
      <c r="IY59" s="1">
        <v>0.4</v>
      </c>
      <c r="IZ59" s="487">
        <v>22.56666666666667</v>
      </c>
      <c r="JA59" s="1">
        <v>1</v>
      </c>
      <c r="JB59" s="487">
        <v>45.633333333333333</v>
      </c>
      <c r="JC59" s="1">
        <v>0.8</v>
      </c>
      <c r="JD59" s="487">
        <v>13.966666666666665</v>
      </c>
      <c r="JE59" s="1">
        <v>1</v>
      </c>
      <c r="JF59" s="487">
        <v>1</v>
      </c>
      <c r="JG59" s="1">
        <v>1</v>
      </c>
      <c r="JH59" s="487">
        <v>7.0666666666666673</v>
      </c>
      <c r="JI59" s="1">
        <v>1</v>
      </c>
      <c r="JJ59" s="487">
        <v>9.4999999999999982</v>
      </c>
      <c r="JK59" s="1">
        <v>0.63636363636363635</v>
      </c>
      <c r="JL59" s="487">
        <v>-35.466666666666669</v>
      </c>
      <c r="JM59" s="1">
        <v>0.4</v>
      </c>
      <c r="JN59" s="487"/>
      <c r="JO59" s="1"/>
      <c r="JP59" s="487">
        <v>-18.7</v>
      </c>
      <c r="JQ59" s="1">
        <v>0</v>
      </c>
      <c r="JR59" s="487"/>
      <c r="JS59" s="1"/>
      <c r="JT59" s="487">
        <v>10.933333333333334</v>
      </c>
      <c r="JU59" s="1">
        <v>0.5</v>
      </c>
      <c r="JV59" s="487">
        <v>-14.299999999999997</v>
      </c>
      <c r="JW59" s="1">
        <v>0.6</v>
      </c>
      <c r="JX59" s="487">
        <v>14.566666666666668</v>
      </c>
      <c r="JY59" s="1">
        <v>1</v>
      </c>
      <c r="JZ59" s="487">
        <v>-3.5999999999999988</v>
      </c>
      <c r="KA59" s="1">
        <v>0.5</v>
      </c>
      <c r="KB59" s="487">
        <v>14.966666666666669</v>
      </c>
      <c r="KC59" s="1">
        <v>1</v>
      </c>
      <c r="KD59" s="487">
        <v>6.0333333333333341</v>
      </c>
      <c r="KE59" s="1">
        <v>0.75</v>
      </c>
      <c r="KF59" s="487">
        <v>4.1000000000000005</v>
      </c>
      <c r="KG59" s="1">
        <v>0.4</v>
      </c>
      <c r="KH59" s="487">
        <v>20.366666666666667</v>
      </c>
      <c r="KI59" s="1">
        <v>0.75</v>
      </c>
      <c r="KJ59" s="487">
        <v>-0.9666666666666679</v>
      </c>
      <c r="KK59" s="1">
        <v>0.4</v>
      </c>
      <c r="KL59" s="487">
        <v>8.9</v>
      </c>
      <c r="KM59" s="1">
        <v>0.5714285714285714</v>
      </c>
      <c r="KN59" s="487">
        <v>35.06666666666667</v>
      </c>
      <c r="KO59" s="1">
        <v>0.875</v>
      </c>
      <c r="KP59" s="487"/>
      <c r="KQ59" s="1"/>
      <c r="KR59" s="487">
        <v>-20.2</v>
      </c>
      <c r="KS59" s="1">
        <v>0.33333333333333331</v>
      </c>
      <c r="KT59" s="487"/>
      <c r="KU59" s="1"/>
      <c r="KV59" s="487">
        <v>-30.466666666666669</v>
      </c>
      <c r="KW59" s="1">
        <v>0.6</v>
      </c>
      <c r="KX59" s="487">
        <v>21.3</v>
      </c>
      <c r="KY59" s="1">
        <v>1</v>
      </c>
      <c r="KZ59" s="487">
        <v>14.166666666666668</v>
      </c>
      <c r="LA59" s="1">
        <v>1</v>
      </c>
      <c r="LB59" s="487">
        <v>-1.9666666666666663</v>
      </c>
      <c r="LC59" s="1">
        <v>0.5</v>
      </c>
      <c r="LD59" s="487">
        <v>28.533333333333331</v>
      </c>
      <c r="LE59" s="1">
        <v>1</v>
      </c>
      <c r="LF59" s="487"/>
      <c r="LG59" s="1"/>
      <c r="LH59" s="487">
        <v>-21.533333333333339</v>
      </c>
      <c r="LI59" s="1">
        <v>0.5</v>
      </c>
      <c r="LJ59" s="487"/>
      <c r="LK59" s="1"/>
      <c r="LL59" s="487">
        <v>-28.800000000000004</v>
      </c>
      <c r="LM59" s="1">
        <v>0.5714285714285714</v>
      </c>
      <c r="LN59" s="487">
        <v>-19.2</v>
      </c>
      <c r="LO59" s="1">
        <v>0.33333333333333331</v>
      </c>
      <c r="LP59" s="487">
        <v>6.9333333333333336</v>
      </c>
      <c r="LQ59" s="1">
        <v>1</v>
      </c>
      <c r="LR59" s="487">
        <v>7.2333333333333334</v>
      </c>
      <c r="LS59" s="1">
        <v>1</v>
      </c>
      <c r="LT59" s="487">
        <v>-10.433333333333334</v>
      </c>
      <c r="LU59" s="1">
        <v>0.66666666666666663</v>
      </c>
      <c r="LV59" s="487">
        <v>-7.5666666666666673</v>
      </c>
      <c r="LW59" s="1">
        <v>0</v>
      </c>
      <c r="LX59" s="487">
        <v>-44.1</v>
      </c>
      <c r="LY59" s="1">
        <v>0.33333333333333331</v>
      </c>
      <c r="LZ59" s="487">
        <v>-9.1666666666666679</v>
      </c>
      <c r="MA59" s="1">
        <v>0.5</v>
      </c>
      <c r="MB59" s="487">
        <v>-2.8</v>
      </c>
      <c r="MC59" s="1">
        <v>0.6</v>
      </c>
      <c r="MD59" s="487"/>
      <c r="ME59" s="1"/>
      <c r="MF59" s="487">
        <v>14.466666666666667</v>
      </c>
      <c r="MG59" s="1">
        <v>1</v>
      </c>
      <c r="MH59" s="487">
        <v>37.533333333333339</v>
      </c>
      <c r="MI59" s="1">
        <v>1</v>
      </c>
      <c r="MJ59" s="487">
        <v>-32.63333333333334</v>
      </c>
      <c r="MK59" s="1">
        <v>0.4</v>
      </c>
      <c r="ML59" s="487">
        <v>21.2</v>
      </c>
      <c r="MM59" s="1">
        <v>1</v>
      </c>
      <c r="MN59" s="487">
        <v>-2.2666666666666675</v>
      </c>
      <c r="MO59" s="1">
        <v>0.5</v>
      </c>
      <c r="MP59" s="487">
        <v>14.100000000000001</v>
      </c>
      <c r="MQ59" s="1">
        <v>1</v>
      </c>
      <c r="MR59" s="487">
        <v>11.299999999999999</v>
      </c>
      <c r="MS59" s="1">
        <v>0.75</v>
      </c>
      <c r="MT59" s="487">
        <v>-18.333333333333336</v>
      </c>
      <c r="MU59" s="1">
        <v>0.5</v>
      </c>
      <c r="MV59" s="487">
        <v>14.933333333333335</v>
      </c>
      <c r="MW59" s="1">
        <v>1</v>
      </c>
      <c r="MX59" s="487">
        <v>0.63333333333333175</v>
      </c>
      <c r="MY59" s="1">
        <v>0.75</v>
      </c>
      <c r="MZ59" s="487">
        <v>-54.066666666666663</v>
      </c>
      <c r="NA59" s="1">
        <v>0.42857142857142855</v>
      </c>
      <c r="NB59" s="487">
        <v>-52.466666666666661</v>
      </c>
      <c r="NC59" s="1">
        <v>0</v>
      </c>
      <c r="ND59" s="487"/>
      <c r="NE59" s="1"/>
      <c r="NF59" s="487">
        <v>-38.700000000000003</v>
      </c>
      <c r="NG59" s="1">
        <v>0.4</v>
      </c>
      <c r="NH59" s="487">
        <v>-38.700000000000003</v>
      </c>
      <c r="NI59" s="1">
        <v>0.4</v>
      </c>
      <c r="NJ59" s="487">
        <v>-12.066666666666672</v>
      </c>
      <c r="NK59" s="1">
        <v>0.66666666666666663</v>
      </c>
      <c r="NL59" s="487">
        <v>-44.1</v>
      </c>
      <c r="NM59" s="1">
        <v>0.42857142857142855</v>
      </c>
      <c r="NN59" s="487"/>
      <c r="NO59" s="1"/>
      <c r="NP59" s="487">
        <v>6.9000000000000012</v>
      </c>
      <c r="NQ59" s="1">
        <v>0.7142857142857143</v>
      </c>
      <c r="NR59" s="487">
        <v>-8.8666666666666671</v>
      </c>
      <c r="NS59" s="1">
        <v>0.5714285714285714</v>
      </c>
      <c r="NT59" s="487">
        <v>-30.066666666666666</v>
      </c>
      <c r="NU59" s="1">
        <v>0.33333333333333331</v>
      </c>
      <c r="NV59" s="487">
        <v>-9.8333333333333321</v>
      </c>
      <c r="NW59" s="1">
        <v>0.66666666666666663</v>
      </c>
      <c r="NX59" s="487">
        <v>-2.7666666666666671</v>
      </c>
      <c r="NY59" s="1">
        <v>0.5</v>
      </c>
      <c r="NZ59" s="487">
        <v>23.933333333333334</v>
      </c>
      <c r="OA59" s="1">
        <v>0.8</v>
      </c>
      <c r="OB59" s="487">
        <v>6.8000000000000007</v>
      </c>
      <c r="OC59" s="1">
        <v>0.5</v>
      </c>
      <c r="OD59" s="487">
        <v>-3.0000000000000004</v>
      </c>
      <c r="OE59" s="1">
        <v>0.66666666666666663</v>
      </c>
      <c r="OF59" s="487">
        <v>-14.366666666666669</v>
      </c>
      <c r="OG59" s="1">
        <v>0.5</v>
      </c>
      <c r="OH59" s="487">
        <v>3.6000000000000005</v>
      </c>
      <c r="OI59" s="1">
        <v>0.5</v>
      </c>
      <c r="OJ59" s="487"/>
      <c r="OK59" s="1"/>
      <c r="OL59" s="487">
        <v>-9.8666666666666671</v>
      </c>
      <c r="OM59" s="1">
        <v>0.5714285714285714</v>
      </c>
      <c r="ON59" s="487"/>
      <c r="OO59" s="1"/>
      <c r="OP59" s="487">
        <v>-10.733333333333334</v>
      </c>
      <c r="OQ59" s="1">
        <v>0.5</v>
      </c>
      <c r="OR59" s="487"/>
      <c r="OS59" s="1"/>
      <c r="OT59" s="487">
        <v>-24.8</v>
      </c>
      <c r="OU59" s="1">
        <v>0.5</v>
      </c>
      <c r="OV59" s="487"/>
      <c r="OW59" s="1"/>
      <c r="OX59" s="487">
        <v>32.866666666666667</v>
      </c>
      <c r="OY59" s="1">
        <v>0.7142857142857143</v>
      </c>
      <c r="OZ59" s="487">
        <v>21.466666666666665</v>
      </c>
      <c r="PA59" s="1">
        <v>1</v>
      </c>
      <c r="PB59" s="487">
        <v>-12.300000000000002</v>
      </c>
      <c r="PC59" s="1">
        <v>0.5714285714285714</v>
      </c>
      <c r="PD59" s="487">
        <v>-41.300000000000004</v>
      </c>
      <c r="PE59" s="1">
        <v>0.5</v>
      </c>
      <c r="PF59" s="487">
        <v>-1.3333333333333317</v>
      </c>
      <c r="PG59" s="1">
        <v>0.5714285714285714</v>
      </c>
      <c r="PH59" s="487">
        <v>7.0666666666666673</v>
      </c>
      <c r="PI59" s="1">
        <v>1</v>
      </c>
      <c r="PJ59" s="487"/>
      <c r="PK59" s="1"/>
      <c r="PL59" s="487">
        <v>-3.800000000000002</v>
      </c>
      <c r="PM59" s="1">
        <v>0.75</v>
      </c>
      <c r="PN59" s="487">
        <v>5.5333333333333323</v>
      </c>
      <c r="PO59" s="1">
        <v>0.66666666666666663</v>
      </c>
      <c r="PP59" s="487">
        <v>-22.866666666666667</v>
      </c>
      <c r="PQ59" s="1">
        <v>0.5714285714285714</v>
      </c>
      <c r="PR59" s="487">
        <v>-70.333333333333343</v>
      </c>
      <c r="PS59" s="1">
        <v>0.33333333333333331</v>
      </c>
      <c r="PT59" s="487">
        <v>14.6</v>
      </c>
      <c r="PU59" s="1">
        <v>1</v>
      </c>
      <c r="PV59" s="487">
        <v>7.8</v>
      </c>
      <c r="PW59" s="1">
        <v>1</v>
      </c>
      <c r="PX59" s="487">
        <v>28.733333333333338</v>
      </c>
      <c r="PY59" s="1">
        <v>1</v>
      </c>
      <c r="PZ59" s="487"/>
      <c r="QA59" s="1"/>
      <c r="QB59" s="487">
        <v>-22.266666666666673</v>
      </c>
      <c r="QC59" s="1">
        <v>0.66666666666666663</v>
      </c>
      <c r="QD59" s="487">
        <v>-51.099999999999994</v>
      </c>
      <c r="QE59" s="1">
        <v>0.58333333333333337</v>
      </c>
      <c r="QF59" s="487">
        <v>-100.4</v>
      </c>
      <c r="QG59" s="1">
        <v>0.4</v>
      </c>
      <c r="QH59" s="487">
        <v>18.800000000000004</v>
      </c>
      <c r="QI59" s="1">
        <v>0.83333333333333337</v>
      </c>
      <c r="QJ59" s="487">
        <v>38.799999999999997</v>
      </c>
      <c r="QK59" s="1">
        <v>0.88888888888888884</v>
      </c>
      <c r="QL59" s="487">
        <v>16.466666666666661</v>
      </c>
      <c r="QM59" s="1">
        <v>0.8</v>
      </c>
      <c r="QN59" s="487">
        <v>2.7333333333333334</v>
      </c>
      <c r="QO59" s="1">
        <v>0.63636363636363635</v>
      </c>
      <c r="QP59" s="487">
        <v>34.799999999999997</v>
      </c>
      <c r="QQ59" s="1">
        <v>0.8571428571428571</v>
      </c>
      <c r="QR59" s="487">
        <v>-44.666666666666664</v>
      </c>
      <c r="QS59" s="1">
        <v>0.5</v>
      </c>
      <c r="QT59" s="487">
        <v>-21.799999999999997</v>
      </c>
      <c r="QU59" s="1">
        <v>0.42857142857142855</v>
      </c>
      <c r="QV59" s="487">
        <v>30.666666666666679</v>
      </c>
      <c r="QW59" s="1">
        <v>0.625</v>
      </c>
      <c r="QX59" s="487">
        <v>-12.266666666666667</v>
      </c>
      <c r="QY59" s="1">
        <v>0.33333333333333331</v>
      </c>
      <c r="QZ59" s="487"/>
      <c r="RA59" s="1"/>
      <c r="RB59" s="487">
        <v>21.000000000000004</v>
      </c>
      <c r="RC59" s="1">
        <v>0.63636363636363635</v>
      </c>
      <c r="RD59" s="487">
        <v>4.9333333333333282</v>
      </c>
      <c r="RE59" s="1">
        <v>0.63636363636363635</v>
      </c>
      <c r="RF59" s="487">
        <v>5.2666666666666684</v>
      </c>
      <c r="RG59" s="1">
        <v>0.66666666666666663</v>
      </c>
      <c r="RH59" s="487">
        <v>-41.666666666666664</v>
      </c>
      <c r="RI59" s="1">
        <v>0.55555555555555558</v>
      </c>
      <c r="RJ59" s="487">
        <v>35.5</v>
      </c>
      <c r="RK59" s="1">
        <v>0.75</v>
      </c>
      <c r="RL59" s="487"/>
      <c r="RM59" s="1"/>
      <c r="RN59" s="487">
        <v>13.733333333333334</v>
      </c>
      <c r="RO59" s="1">
        <v>0.6</v>
      </c>
      <c r="RP59" s="487">
        <v>25.166666666666671</v>
      </c>
      <c r="RQ59" s="1">
        <v>0.8571428571428571</v>
      </c>
      <c r="RR59" s="487"/>
      <c r="RS59" s="1"/>
      <c r="RT59" s="487">
        <v>10.933333333333335</v>
      </c>
      <c r="RU59" s="1">
        <v>0.6</v>
      </c>
      <c r="RV59" s="487">
        <v>-61.133333333333347</v>
      </c>
      <c r="RW59" s="1">
        <v>0.42857142857142855</v>
      </c>
      <c r="RX59" s="487">
        <v>-60.83333333333335</v>
      </c>
      <c r="RY59" s="1">
        <v>0.41666666666666669</v>
      </c>
      <c r="RZ59" s="487">
        <v>-81.63333333333334</v>
      </c>
      <c r="SA59" s="1">
        <v>0.2857142857142857</v>
      </c>
      <c r="SB59" s="487">
        <v>35.699999999999996</v>
      </c>
      <c r="SC59" s="1">
        <v>1</v>
      </c>
      <c r="SD59" s="487"/>
      <c r="SE59" s="1"/>
      <c r="SF59" s="487"/>
      <c r="SG59" s="1"/>
      <c r="SH59" s="487">
        <v>-62.699999999999996</v>
      </c>
      <c r="SI59" s="1">
        <v>0.2857142857142857</v>
      </c>
      <c r="SJ59" s="487">
        <v>-6.9666666666666721</v>
      </c>
      <c r="SK59" s="1">
        <v>0.5</v>
      </c>
      <c r="SL59" s="487">
        <v>7.8333333333333339</v>
      </c>
      <c r="SM59" s="1">
        <v>0.75</v>
      </c>
      <c r="SN59" s="487">
        <v>-2.7666666666666684</v>
      </c>
      <c r="SO59" s="1">
        <v>0.66666666666666663</v>
      </c>
      <c r="SP59" s="487">
        <v>-16.233333333333331</v>
      </c>
      <c r="SQ59" s="1">
        <v>0.5</v>
      </c>
      <c r="SR59" s="487">
        <v>-14.533333333333331</v>
      </c>
      <c r="SS59" s="1">
        <v>0.25</v>
      </c>
      <c r="ST59" s="487">
        <v>31.433333333333334</v>
      </c>
      <c r="SU59" s="1">
        <v>0.66666666666666663</v>
      </c>
      <c r="SV59" s="487">
        <v>-21.1</v>
      </c>
      <c r="SW59" s="1">
        <v>0.3</v>
      </c>
      <c r="SX59" s="487"/>
      <c r="SY59" s="1"/>
      <c r="SZ59" s="487">
        <v>-68.833333333333329</v>
      </c>
      <c r="TA59" s="1">
        <v>0.4</v>
      </c>
      <c r="TB59" s="487">
        <v>-42.533333333333331</v>
      </c>
      <c r="TC59" s="1">
        <v>0</v>
      </c>
      <c r="TD59" s="487">
        <v>11.733333333333334</v>
      </c>
      <c r="TE59" s="1">
        <v>0.8</v>
      </c>
      <c r="TF59" s="487">
        <v>-4.4333333333333327</v>
      </c>
      <c r="TG59" s="1">
        <v>0.5</v>
      </c>
      <c r="TH59" s="488">
        <v>11.433333333333334</v>
      </c>
      <c r="TI59" s="1">
        <v>1</v>
      </c>
      <c r="TJ59" s="489">
        <v>-35.033333333333339</v>
      </c>
      <c r="TK59" s="1">
        <v>0.5</v>
      </c>
      <c r="TL59" s="490">
        <v>-29.966666666666669</v>
      </c>
      <c r="TM59" s="1">
        <v>0.5</v>
      </c>
      <c r="TN59" s="495"/>
      <c r="TO59" s="1"/>
      <c r="TP59" s="500">
        <v>-29.533333333333331</v>
      </c>
      <c r="TQ59" s="1">
        <v>0.58333333333333337</v>
      </c>
      <c r="TR59" s="511">
        <v>-16.600000000000001</v>
      </c>
      <c r="TS59" s="1">
        <v>0.5</v>
      </c>
      <c r="TT59" s="515">
        <v>-25.4</v>
      </c>
      <c r="TU59" s="1">
        <v>0.5</v>
      </c>
      <c r="TV59" s="518">
        <v>-46.466666666666676</v>
      </c>
      <c r="TW59" s="1">
        <v>0.42857142857142855</v>
      </c>
      <c r="TX59" s="521">
        <v>-57.466666666666676</v>
      </c>
      <c r="TY59" s="1">
        <v>0.2857142857142857</v>
      </c>
      <c r="TZ59" s="524">
        <v>-19.666666666666668</v>
      </c>
      <c r="UA59" s="1">
        <v>0.2857142857142857</v>
      </c>
      <c r="UB59" s="527">
        <v>-0.7666666666666655</v>
      </c>
      <c r="UC59" s="1">
        <v>0.63636363636363635</v>
      </c>
      <c r="UD59" s="530">
        <v>-3.5000000000000004</v>
      </c>
      <c r="UE59" s="1">
        <v>0.33333333333333331</v>
      </c>
      <c r="UF59" s="533">
        <v>14.5</v>
      </c>
      <c r="UG59" s="1">
        <v>1</v>
      </c>
      <c r="UH59" s="536">
        <v>13.9</v>
      </c>
      <c r="UI59" s="1">
        <v>1</v>
      </c>
      <c r="UJ59" s="539"/>
      <c r="UK59" s="1"/>
      <c r="UL59" s="540">
        <v>-38.833333333333343</v>
      </c>
      <c r="UM59" s="1">
        <v>0.4</v>
      </c>
      <c r="UN59" s="543">
        <v>29.000000000000004</v>
      </c>
      <c r="UO59" s="1">
        <v>0.8</v>
      </c>
      <c r="UP59" s="544">
        <v>21.433333333333334</v>
      </c>
      <c r="UQ59" s="1">
        <v>1</v>
      </c>
      <c r="UR59" s="551">
        <v>-10.566666666666668</v>
      </c>
      <c r="US59" s="1">
        <v>0.5</v>
      </c>
      <c r="UT59" s="551">
        <v>17.033333333333331</v>
      </c>
      <c r="UU59" s="1">
        <v>1</v>
      </c>
      <c r="UV59" s="562">
        <v>-25.033333333333339</v>
      </c>
      <c r="UW59" s="1">
        <v>0.7</v>
      </c>
      <c r="UX59" s="566">
        <v>35.233333333333327</v>
      </c>
      <c r="UY59" s="1">
        <v>0.66666666666666663</v>
      </c>
      <c r="UZ59" s="568"/>
      <c r="VA59" s="1"/>
      <c r="VB59" s="572">
        <v>-13.399999999999997</v>
      </c>
      <c r="VC59" s="1">
        <v>0.66666666666666663</v>
      </c>
      <c r="VD59" s="576">
        <v>-49.433333333333344</v>
      </c>
      <c r="VE59" s="1">
        <v>0.46666666666666667</v>
      </c>
      <c r="VF59" s="580">
        <v>22.8</v>
      </c>
      <c r="VG59" s="1">
        <v>0.8</v>
      </c>
      <c r="VH59" s="584">
        <v>17.933333333333337</v>
      </c>
      <c r="VI59" s="1">
        <v>1</v>
      </c>
      <c r="VJ59" s="589">
        <v>-32.1</v>
      </c>
      <c r="VK59" s="1">
        <v>0.5714285714285714</v>
      </c>
      <c r="VL59" s="593">
        <v>-28.000000000000004</v>
      </c>
      <c r="VM59" s="1">
        <v>0.25</v>
      </c>
      <c r="VN59" s="597">
        <v>7.1333333333333337</v>
      </c>
      <c r="VO59" s="1">
        <v>1</v>
      </c>
      <c r="VP59" s="601">
        <v>-60.86666666666666</v>
      </c>
      <c r="VQ59" s="1">
        <v>0.4</v>
      </c>
      <c r="VR59" s="603"/>
      <c r="VS59" s="1"/>
      <c r="VT59" s="607">
        <v>-30.733333333333331</v>
      </c>
      <c r="VU59" s="1">
        <v>0.33333333333333331</v>
      </c>
      <c r="VV59" s="609">
        <v>-1.6666666666666667</v>
      </c>
      <c r="VW59" s="1">
        <v>0.5</v>
      </c>
      <c r="VX59" s="613">
        <v>-30.033333333333321</v>
      </c>
      <c r="VY59" s="1">
        <v>0.5</v>
      </c>
      <c r="VZ59" s="617">
        <v>-6.5999999999999988</v>
      </c>
      <c r="WA59" s="1">
        <v>0.44444444444444442</v>
      </c>
      <c r="WB59" s="619">
        <v>21.566666666666666</v>
      </c>
      <c r="WC59" s="1">
        <v>1</v>
      </c>
      <c r="WD59" s="624">
        <v>-9.2666666666666622</v>
      </c>
      <c r="WE59" s="1">
        <v>0.66666666666666663</v>
      </c>
      <c r="WF59" s="626">
        <v>-12.233333333333334</v>
      </c>
      <c r="WG59" s="1">
        <v>0.63636363636363635</v>
      </c>
      <c r="WH59" s="630">
        <v>-48.100000000000016</v>
      </c>
      <c r="WI59" s="1">
        <v>0.5</v>
      </c>
      <c r="WJ59" s="636">
        <v>16.933333333333334</v>
      </c>
      <c r="WK59" s="1">
        <v>0.66666666666666663</v>
      </c>
      <c r="WL59" s="638">
        <v>3.7666666666666671</v>
      </c>
      <c r="WM59" s="1">
        <v>0.5</v>
      </c>
      <c r="WN59" s="642">
        <v>21.166666666666668</v>
      </c>
      <c r="WO59" s="1">
        <v>0.77777777777777779</v>
      </c>
      <c r="WP59" s="646">
        <v>21.366666666666667</v>
      </c>
      <c r="WQ59" s="1">
        <v>1</v>
      </c>
      <c r="WR59" s="652">
        <v>-29.433333333333341</v>
      </c>
      <c r="WS59" s="1">
        <v>0.6</v>
      </c>
      <c r="WT59" s="659">
        <v>5.799999999999998</v>
      </c>
      <c r="WU59" s="1">
        <v>0.66666666666666663</v>
      </c>
      <c r="WV59" s="659">
        <v>-3.3333333333333321</v>
      </c>
      <c r="WW59" s="1">
        <v>0.27272727272727271</v>
      </c>
      <c r="WX59" s="672">
        <v>24.133333333333329</v>
      </c>
      <c r="WY59" s="1">
        <v>0.66666666666666663</v>
      </c>
      <c r="WZ59" s="677">
        <v>-99.533333333333331</v>
      </c>
      <c r="XA59" s="1">
        <v>0</v>
      </c>
      <c r="XB59" s="681">
        <v>20.766666666666662</v>
      </c>
      <c r="XC59" s="1">
        <v>0.7142857142857143</v>
      </c>
      <c r="XD59" s="683"/>
      <c r="XE59" s="1"/>
      <c r="XF59" s="687">
        <v>-26.066666666666666</v>
      </c>
      <c r="XG59" s="1">
        <v>0.4</v>
      </c>
      <c r="XH59" s="689">
        <v>-10.266666666666667</v>
      </c>
      <c r="XI59" s="1">
        <v>0.5</v>
      </c>
      <c r="XJ59" s="696">
        <v>7.0000000000000009</v>
      </c>
      <c r="XK59" s="1">
        <v>1</v>
      </c>
      <c r="XL59" s="696">
        <v>-39.366666666666667</v>
      </c>
      <c r="XM59" s="1">
        <v>0.5</v>
      </c>
      <c r="XN59" s="696">
        <v>-35.833333333333329</v>
      </c>
      <c r="XO59" s="1">
        <v>0.55555555555555558</v>
      </c>
      <c r="XP59" s="700">
        <v>3.3333333333333366</v>
      </c>
      <c r="XQ59" s="1">
        <v>0.6</v>
      </c>
      <c r="XR59" s="705">
        <v>-51.766666666666666</v>
      </c>
      <c r="XS59" s="1">
        <v>0.375</v>
      </c>
      <c r="XT59" s="709">
        <v>38.533333333333331</v>
      </c>
      <c r="XU59" s="1">
        <v>0.875</v>
      </c>
      <c r="XV59" s="715">
        <v>-0.80000000000000282</v>
      </c>
      <c r="XW59" s="1">
        <v>0.5</v>
      </c>
    </row>
    <row r="60" spans="2:647" x14ac:dyDescent="0.25">
      <c r="B60" s="755"/>
      <c r="C60" s="756"/>
      <c r="D60" s="765" t="s">
        <v>32</v>
      </c>
      <c r="E60" s="765"/>
      <c r="F60" s="482">
        <v>0.4</v>
      </c>
      <c r="G60" s="475" t="s">
        <v>66</v>
      </c>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6"/>
      <c r="BX60" s="487"/>
      <c r="BY60" s="1"/>
      <c r="BZ60" s="487"/>
      <c r="CA60" s="1"/>
      <c r="CB60" s="487"/>
      <c r="CC60" s="1"/>
      <c r="CD60" s="487"/>
      <c r="CE60" s="1"/>
      <c r="CF60" s="487"/>
      <c r="CG60" s="1"/>
      <c r="CH60" s="487"/>
      <c r="CI60" s="1"/>
      <c r="CJ60" s="487"/>
      <c r="CK60" s="1"/>
      <c r="CL60" s="487"/>
      <c r="CM60" s="1"/>
      <c r="CN60" s="487"/>
      <c r="CO60" s="1"/>
      <c r="CP60" s="487"/>
      <c r="CQ60" s="1"/>
      <c r="CR60" s="487"/>
      <c r="CS60" s="1"/>
      <c r="CT60" s="487"/>
      <c r="CU60" s="1"/>
      <c r="CV60" s="487"/>
      <c r="CW60" s="1"/>
      <c r="CX60" s="487"/>
      <c r="CY60" s="1"/>
      <c r="CZ60" s="487"/>
      <c r="DA60" s="1"/>
      <c r="DB60" s="487"/>
      <c r="DC60" s="1"/>
      <c r="DD60" s="487"/>
      <c r="DE60" s="1"/>
      <c r="DF60" s="487"/>
      <c r="DG60" s="1"/>
      <c r="DH60" s="487"/>
      <c r="DI60" s="1"/>
      <c r="DJ60" s="487"/>
      <c r="DK60" s="1"/>
      <c r="DL60" s="487"/>
      <c r="DM60" s="1"/>
      <c r="DN60" s="487"/>
      <c r="DO60" s="1"/>
      <c r="DP60" s="487"/>
      <c r="DQ60" s="1"/>
      <c r="DR60" s="487"/>
      <c r="DS60" s="1"/>
      <c r="DT60" s="487"/>
      <c r="DU60" s="1"/>
      <c r="DV60" s="487"/>
      <c r="DW60" s="1"/>
      <c r="DX60" s="487"/>
      <c r="DY60" s="1"/>
      <c r="DZ60" s="487"/>
      <c r="EA60" s="1"/>
      <c r="EB60" s="487"/>
      <c r="EC60" s="1"/>
      <c r="ED60" s="487"/>
      <c r="EE60" s="1"/>
      <c r="EF60" s="487"/>
      <c r="EG60" s="1"/>
      <c r="EH60" s="487"/>
      <c r="EI60" s="1"/>
      <c r="EJ60" s="487"/>
      <c r="EK60" s="1"/>
      <c r="EL60" s="487"/>
      <c r="EM60" s="1"/>
      <c r="EN60" s="487"/>
      <c r="EO60" s="1"/>
      <c r="EP60" s="487"/>
      <c r="EQ60" s="1"/>
      <c r="ER60" s="487"/>
      <c r="ES60" s="1"/>
      <c r="ET60" s="487"/>
      <c r="EU60" s="1"/>
      <c r="EV60" s="487"/>
      <c r="EW60" s="1"/>
      <c r="EX60" s="487"/>
      <c r="EY60" s="1"/>
      <c r="EZ60" s="487"/>
      <c r="FA60" s="1"/>
      <c r="FB60" s="487"/>
      <c r="FC60" s="1"/>
      <c r="FD60" s="487"/>
      <c r="FE60" s="1"/>
      <c r="FF60" s="487"/>
      <c r="FG60" s="1"/>
      <c r="FH60" s="487"/>
      <c r="FI60" s="1"/>
      <c r="FJ60" s="487"/>
      <c r="FK60" s="1"/>
      <c r="FL60" s="487"/>
      <c r="FM60" s="1"/>
      <c r="FN60" s="487"/>
      <c r="FO60" s="1"/>
      <c r="FP60" s="487"/>
      <c r="FQ60" s="1"/>
      <c r="FR60" s="487"/>
      <c r="FS60" s="1"/>
      <c r="FT60" s="487"/>
      <c r="FU60" s="1"/>
      <c r="FV60" s="487"/>
      <c r="FW60" s="1"/>
      <c r="FX60" s="487"/>
      <c r="FY60" s="1"/>
      <c r="FZ60" s="487"/>
      <c r="GA60" s="1"/>
      <c r="GB60" s="487"/>
      <c r="GC60" s="1"/>
      <c r="GD60" s="487"/>
      <c r="GE60" s="1"/>
      <c r="GF60" s="487"/>
      <c r="GG60" s="1"/>
      <c r="GH60" s="487"/>
      <c r="GI60" s="1"/>
      <c r="GJ60" s="487"/>
      <c r="GK60" s="1"/>
      <c r="GL60" s="487"/>
      <c r="GM60" s="1"/>
      <c r="GN60" s="487"/>
      <c r="GO60" s="1"/>
      <c r="GP60" s="487"/>
      <c r="GQ60" s="1"/>
      <c r="GR60" s="487"/>
      <c r="GS60" s="1"/>
      <c r="GT60" s="487"/>
      <c r="GU60" s="1"/>
      <c r="GV60" s="487"/>
      <c r="GW60" s="1"/>
      <c r="GX60" s="487"/>
      <c r="GY60" s="1"/>
      <c r="GZ60" s="487"/>
      <c r="HA60" s="1"/>
      <c r="HB60" s="487"/>
      <c r="HC60" s="1"/>
      <c r="HD60" s="487"/>
      <c r="HE60" s="1"/>
      <c r="HF60" s="487"/>
      <c r="HG60" s="1"/>
      <c r="HH60" s="487"/>
      <c r="HI60" s="1"/>
      <c r="HJ60" s="487"/>
      <c r="HK60" s="1"/>
      <c r="HL60" s="487"/>
      <c r="HM60" s="1"/>
      <c r="HN60" s="487"/>
      <c r="HO60" s="1"/>
      <c r="HP60" s="487"/>
      <c r="HQ60" s="1"/>
      <c r="HR60" s="487"/>
      <c r="HS60" s="1"/>
      <c r="HT60" s="487"/>
      <c r="HU60" s="1"/>
      <c r="HV60" s="487"/>
      <c r="HW60" s="1"/>
      <c r="HX60" s="487"/>
      <c r="HY60" s="1"/>
      <c r="HZ60" s="487"/>
      <c r="IA60" s="1"/>
      <c r="IB60" s="487"/>
      <c r="IC60" s="1"/>
      <c r="ID60" s="487"/>
      <c r="IE60" s="1"/>
      <c r="IF60" s="487"/>
      <c r="IG60" s="1"/>
      <c r="IH60" s="487"/>
      <c r="II60" s="1"/>
      <c r="IJ60" s="487"/>
      <c r="IK60" s="1"/>
      <c r="IL60" s="487"/>
      <c r="IM60" s="1"/>
      <c r="IN60" s="487"/>
      <c r="IO60" s="1"/>
      <c r="IP60" s="487"/>
      <c r="IQ60" s="1"/>
      <c r="IR60" s="487"/>
      <c r="IS60" s="1"/>
      <c r="IT60" s="487"/>
      <c r="IU60" s="1"/>
      <c r="IV60" s="487"/>
      <c r="IW60" s="1"/>
      <c r="IX60" s="487"/>
      <c r="IY60" s="1"/>
      <c r="IZ60" s="487"/>
      <c r="JA60" s="1"/>
      <c r="JB60" s="487"/>
      <c r="JC60" s="1"/>
      <c r="JD60" s="487"/>
      <c r="JE60" s="1"/>
      <c r="JF60" s="487"/>
      <c r="JG60" s="1"/>
      <c r="JH60" s="487"/>
      <c r="JI60" s="1"/>
      <c r="JJ60" s="487"/>
      <c r="JK60" s="1"/>
      <c r="JL60" s="487"/>
      <c r="JM60" s="1"/>
      <c r="JN60" s="487"/>
      <c r="JO60" s="1"/>
      <c r="JP60" s="487"/>
      <c r="JQ60" s="1"/>
      <c r="JR60" s="487"/>
      <c r="JS60" s="1"/>
      <c r="JT60" s="487"/>
      <c r="JU60" s="1"/>
      <c r="JV60" s="487"/>
      <c r="JW60" s="1"/>
      <c r="JX60" s="487"/>
      <c r="JY60" s="1"/>
      <c r="JZ60" s="487"/>
      <c r="KA60" s="1"/>
      <c r="KB60" s="487"/>
      <c r="KC60" s="1"/>
      <c r="KD60" s="487"/>
      <c r="KE60" s="1"/>
      <c r="KF60" s="487"/>
      <c r="KG60" s="1"/>
      <c r="KH60" s="487"/>
      <c r="KI60" s="1"/>
      <c r="KJ60" s="487"/>
      <c r="KK60" s="1"/>
      <c r="KL60" s="487"/>
      <c r="KM60" s="1"/>
      <c r="KN60" s="487"/>
      <c r="KO60" s="1"/>
      <c r="KP60" s="487"/>
      <c r="KQ60" s="1"/>
      <c r="KR60" s="487"/>
      <c r="KS60" s="1"/>
      <c r="KT60" s="487"/>
      <c r="KU60" s="1"/>
      <c r="KV60" s="487"/>
      <c r="KW60" s="1"/>
      <c r="KX60" s="487"/>
      <c r="KY60" s="1"/>
      <c r="KZ60" s="487"/>
      <c r="LA60" s="1"/>
      <c r="LB60" s="487"/>
      <c r="LC60" s="1"/>
      <c r="LD60" s="487"/>
      <c r="LE60" s="1"/>
      <c r="LF60" s="487"/>
      <c r="LG60" s="1"/>
      <c r="LH60" s="487"/>
      <c r="LI60" s="1"/>
      <c r="LJ60" s="487"/>
      <c r="LK60" s="1"/>
      <c r="LL60" s="487"/>
      <c r="LM60" s="1"/>
      <c r="LN60" s="487"/>
      <c r="LO60" s="1"/>
      <c r="LP60" s="487"/>
      <c r="LQ60" s="1"/>
      <c r="LR60" s="487"/>
      <c r="LS60" s="1"/>
      <c r="LT60" s="487"/>
      <c r="LU60" s="1"/>
      <c r="LV60" s="487"/>
      <c r="LW60" s="1"/>
      <c r="LX60" s="487"/>
      <c r="LY60" s="1"/>
      <c r="LZ60" s="487"/>
      <c r="MA60" s="1"/>
      <c r="MB60" s="487"/>
      <c r="MC60" s="1"/>
      <c r="MD60" s="487"/>
      <c r="ME60" s="1"/>
      <c r="MF60" s="487"/>
      <c r="MG60" s="1"/>
      <c r="MH60" s="487"/>
      <c r="MI60" s="1"/>
      <c r="MJ60" s="487"/>
      <c r="MK60" s="1"/>
      <c r="ML60" s="487"/>
      <c r="MM60" s="1"/>
      <c r="MN60" s="487"/>
      <c r="MO60" s="1"/>
      <c r="MP60" s="487"/>
      <c r="MQ60" s="1"/>
      <c r="MR60" s="487"/>
      <c r="MS60" s="1"/>
      <c r="MT60" s="487"/>
      <c r="MU60" s="1"/>
      <c r="MV60" s="487"/>
      <c r="MW60" s="1"/>
      <c r="MX60" s="487"/>
      <c r="MY60" s="1"/>
      <c r="MZ60" s="487"/>
      <c r="NA60" s="1"/>
      <c r="NB60" s="487"/>
      <c r="NC60" s="1"/>
      <c r="ND60" s="487"/>
      <c r="NE60" s="1"/>
      <c r="NF60" s="487"/>
      <c r="NG60" s="1"/>
      <c r="NH60" s="487"/>
      <c r="NI60" s="1"/>
      <c r="NJ60" s="487"/>
      <c r="NK60" s="1"/>
      <c r="NL60" s="487"/>
      <c r="NM60" s="1"/>
      <c r="NN60" s="487"/>
      <c r="NO60" s="1"/>
      <c r="NP60" s="487"/>
      <c r="NQ60" s="1"/>
      <c r="NR60" s="487"/>
      <c r="NS60" s="1"/>
      <c r="NT60" s="487"/>
      <c r="NU60" s="1"/>
      <c r="NV60" s="487"/>
      <c r="NW60" s="1"/>
      <c r="NX60" s="487"/>
      <c r="NY60" s="1"/>
      <c r="NZ60" s="487"/>
      <c r="OA60" s="1"/>
      <c r="OB60" s="487"/>
      <c r="OC60" s="1"/>
      <c r="OD60" s="487"/>
      <c r="OE60" s="1"/>
      <c r="OF60" s="487"/>
      <c r="OG60" s="1"/>
      <c r="OH60" s="487"/>
      <c r="OI60" s="1"/>
      <c r="OJ60" s="487"/>
      <c r="OK60" s="1"/>
      <c r="OL60" s="487"/>
      <c r="OM60" s="1"/>
      <c r="ON60" s="487"/>
      <c r="OO60" s="1"/>
      <c r="OP60" s="487"/>
      <c r="OQ60" s="1"/>
      <c r="OR60" s="487"/>
      <c r="OS60" s="1"/>
      <c r="OT60" s="487"/>
      <c r="OU60" s="1"/>
      <c r="OV60" s="487"/>
      <c r="OW60" s="1"/>
      <c r="OX60" s="487"/>
      <c r="OY60" s="1"/>
      <c r="OZ60" s="487"/>
      <c r="PA60" s="1"/>
      <c r="PB60" s="487"/>
      <c r="PC60" s="1"/>
      <c r="PD60" s="487"/>
      <c r="PE60" s="1"/>
      <c r="PF60" s="487"/>
      <c r="PG60" s="1"/>
      <c r="PH60" s="487"/>
      <c r="PI60" s="1"/>
      <c r="PJ60" s="487"/>
      <c r="PK60" s="1"/>
      <c r="PL60" s="487"/>
      <c r="PM60" s="1"/>
      <c r="PN60" s="487"/>
      <c r="PO60" s="1"/>
      <c r="PP60" s="487"/>
      <c r="PQ60" s="1"/>
      <c r="PR60" s="487"/>
      <c r="PS60" s="1"/>
      <c r="PT60" s="487"/>
      <c r="PU60" s="1"/>
      <c r="PV60" s="487"/>
      <c r="PW60" s="1"/>
      <c r="PX60" s="487"/>
      <c r="PY60" s="1"/>
      <c r="PZ60" s="487"/>
      <c r="QA60" s="1"/>
      <c r="QB60" s="487"/>
      <c r="QC60" s="1"/>
      <c r="QD60" s="487"/>
      <c r="QE60" s="1"/>
      <c r="QF60" s="487"/>
      <c r="QG60" s="1"/>
      <c r="QH60" s="487"/>
      <c r="QI60" s="1"/>
      <c r="QJ60" s="487"/>
      <c r="QK60" s="1"/>
      <c r="QL60" s="487"/>
      <c r="QM60" s="1"/>
      <c r="QN60" s="487"/>
      <c r="QO60" s="1"/>
      <c r="QP60" s="487"/>
      <c r="QQ60" s="1"/>
      <c r="QR60" s="487"/>
      <c r="QS60" s="1"/>
      <c r="QT60" s="487"/>
      <c r="QU60" s="1"/>
      <c r="QV60" s="487"/>
      <c r="QW60" s="1"/>
      <c r="QX60" s="487"/>
      <c r="QY60" s="1"/>
      <c r="QZ60" s="487"/>
      <c r="RA60" s="1"/>
      <c r="RB60" s="487"/>
      <c r="RC60" s="1"/>
      <c r="RD60" s="487"/>
      <c r="RE60" s="1"/>
      <c r="RF60" s="487"/>
      <c r="RG60" s="1"/>
      <c r="RH60" s="487"/>
      <c r="RI60" s="1"/>
      <c r="RJ60" s="487"/>
      <c r="RK60" s="1"/>
      <c r="RL60" s="487"/>
      <c r="RM60" s="1"/>
      <c r="RN60" s="487"/>
      <c r="RO60" s="1"/>
      <c r="RP60" s="487"/>
      <c r="RQ60" s="1"/>
      <c r="RR60" s="487"/>
      <c r="RS60" s="1"/>
      <c r="RT60" s="487"/>
      <c r="RU60" s="1"/>
      <c r="RV60" s="487"/>
      <c r="RW60" s="1"/>
      <c r="RX60" s="487"/>
      <c r="RY60" s="1"/>
      <c r="RZ60" s="487"/>
      <c r="SA60" s="1"/>
      <c r="SB60" s="487">
        <v>36.35</v>
      </c>
      <c r="SC60" s="1">
        <v>1</v>
      </c>
      <c r="SD60" s="487"/>
      <c r="SE60" s="1"/>
      <c r="SF60" s="487"/>
      <c r="SG60" s="1"/>
      <c r="SH60" s="487">
        <v>-25.774999999999999</v>
      </c>
      <c r="SI60" s="1">
        <v>0.2</v>
      </c>
      <c r="SJ60" s="487">
        <v>24.4</v>
      </c>
      <c r="SK60" s="1">
        <v>0.81818181818181823</v>
      </c>
      <c r="SL60" s="487">
        <v>16.45</v>
      </c>
      <c r="SM60" s="1">
        <v>1</v>
      </c>
      <c r="SN60" s="487">
        <v>33.349999999999994</v>
      </c>
      <c r="SO60" s="1">
        <v>0.8571428571428571</v>
      </c>
      <c r="SP60" s="487">
        <v>-35.449999999999996</v>
      </c>
      <c r="SQ60" s="1">
        <v>0.33333333333333331</v>
      </c>
      <c r="SR60" s="487">
        <v>-7.6</v>
      </c>
      <c r="SS60" s="1">
        <v>0.4</v>
      </c>
      <c r="ST60" s="487">
        <v>15.524999999999988</v>
      </c>
      <c r="SU60" s="1">
        <v>0.5625</v>
      </c>
      <c r="SV60" s="487">
        <v>-19.575000000000003</v>
      </c>
      <c r="SW60" s="1">
        <v>0.30769230769230771</v>
      </c>
      <c r="SX60" s="487"/>
      <c r="SY60" s="1"/>
      <c r="SZ60" s="487">
        <v>-78.75</v>
      </c>
      <c r="TA60" s="1">
        <v>0.16666666666666666</v>
      </c>
      <c r="TB60" s="487">
        <v>-31.974999999999998</v>
      </c>
      <c r="TC60" s="1">
        <v>0</v>
      </c>
      <c r="TD60" s="487">
        <v>-16.150000000000002</v>
      </c>
      <c r="TE60" s="1">
        <v>0.6</v>
      </c>
      <c r="TF60" s="487">
        <v>0.97500000000000031</v>
      </c>
      <c r="TG60" s="1">
        <v>0.5</v>
      </c>
      <c r="TH60" s="488">
        <v>7.0750000000000002</v>
      </c>
      <c r="TI60" s="1">
        <v>1</v>
      </c>
      <c r="TJ60" s="489">
        <v>-35.29999999999999</v>
      </c>
      <c r="TK60" s="1">
        <v>0.5</v>
      </c>
      <c r="TL60" s="490">
        <v>-1.1999999999999988</v>
      </c>
      <c r="TM60" s="1">
        <v>0.75</v>
      </c>
      <c r="TN60" s="495"/>
      <c r="TO60" s="1"/>
      <c r="TP60" s="500">
        <v>-10.800000000000002</v>
      </c>
      <c r="TQ60" s="1">
        <v>0.6</v>
      </c>
      <c r="TR60" s="511">
        <v>-22.599999999999998</v>
      </c>
      <c r="TS60" s="1">
        <v>0.33333333333333331</v>
      </c>
      <c r="TT60" s="515">
        <v>-4.6000000000000005</v>
      </c>
      <c r="TU60" s="1">
        <v>0.5</v>
      </c>
      <c r="TV60" s="518">
        <v>-12.074999999999999</v>
      </c>
      <c r="TW60" s="1">
        <v>0.66666666666666663</v>
      </c>
      <c r="TX60" s="521">
        <v>-18.8</v>
      </c>
      <c r="TY60" s="1">
        <v>0.6</v>
      </c>
      <c r="TZ60" s="524">
        <v>-32.5</v>
      </c>
      <c r="UA60" s="1">
        <v>0.4</v>
      </c>
      <c r="UB60" s="527">
        <v>-2.8000000000000025</v>
      </c>
      <c r="UC60" s="1">
        <v>0.6</v>
      </c>
      <c r="UD60" s="530">
        <v>3.65</v>
      </c>
      <c r="UE60" s="1">
        <v>0.5</v>
      </c>
      <c r="UF60" s="533">
        <v>14.35</v>
      </c>
      <c r="UG60" s="1">
        <v>1</v>
      </c>
      <c r="UH60" s="536">
        <v>18.45</v>
      </c>
      <c r="UI60" s="1">
        <v>1</v>
      </c>
      <c r="UJ60" s="539"/>
      <c r="UK60" s="1"/>
      <c r="UL60" s="540">
        <v>-6.375</v>
      </c>
      <c r="UM60" s="1">
        <v>0.6</v>
      </c>
      <c r="UN60" s="543">
        <v>8.1749999999999972</v>
      </c>
      <c r="UO60" s="1">
        <v>0.8</v>
      </c>
      <c r="UP60" s="544">
        <v>14.75</v>
      </c>
      <c r="UQ60" s="1">
        <v>1</v>
      </c>
      <c r="UR60" s="551">
        <v>-34.9</v>
      </c>
      <c r="US60" s="1">
        <v>0.25</v>
      </c>
      <c r="UT60" s="551">
        <v>29.275000000000002</v>
      </c>
      <c r="UU60" s="1">
        <v>1</v>
      </c>
      <c r="UV60" s="562">
        <v>9.65</v>
      </c>
      <c r="UW60" s="1">
        <v>0.7142857142857143</v>
      </c>
      <c r="UX60" s="566">
        <v>47.524999999999999</v>
      </c>
      <c r="UY60" s="1">
        <v>0.77777777777777779</v>
      </c>
      <c r="UZ60" s="568"/>
      <c r="VA60" s="1"/>
      <c r="VB60" s="572">
        <v>-2.0000000000000018</v>
      </c>
      <c r="VC60" s="1">
        <v>0.5</v>
      </c>
      <c r="VD60" s="576">
        <v>-15.900000000000002</v>
      </c>
      <c r="VE60" s="1">
        <v>0.55555555555555558</v>
      </c>
      <c r="VF60" s="580">
        <v>22.274999999999999</v>
      </c>
      <c r="VG60" s="1">
        <v>1</v>
      </c>
      <c r="VH60" s="584">
        <v>3.6249999999999996</v>
      </c>
      <c r="VI60" s="1">
        <v>1</v>
      </c>
      <c r="VJ60" s="589">
        <v>-18.925000000000001</v>
      </c>
      <c r="VK60" s="1">
        <v>0.6</v>
      </c>
      <c r="VL60" s="593">
        <v>-51.524999999999999</v>
      </c>
      <c r="VM60" s="1">
        <v>0</v>
      </c>
      <c r="VN60" s="597">
        <v>7.2249999999999996</v>
      </c>
      <c r="VO60" s="1">
        <v>1</v>
      </c>
      <c r="VP60" s="601">
        <v>-71.849999999999994</v>
      </c>
      <c r="VQ60" s="1">
        <v>0.33333333333333331</v>
      </c>
      <c r="VR60" s="603"/>
      <c r="VS60" s="1"/>
      <c r="VT60" s="607">
        <v>-18.999999999999996</v>
      </c>
      <c r="VU60" s="1">
        <v>0.5</v>
      </c>
      <c r="VV60" s="609">
        <v>-6.8000000000000016</v>
      </c>
      <c r="VW60" s="1">
        <v>0.44444444444444442</v>
      </c>
      <c r="VX60" s="613">
        <v>-20.974999999999994</v>
      </c>
      <c r="VY60" s="1">
        <v>0.6</v>
      </c>
      <c r="VZ60" s="617">
        <v>2.3250000000000024</v>
      </c>
      <c r="WA60" s="1">
        <v>0.5</v>
      </c>
      <c r="WB60" s="619"/>
      <c r="WC60" s="1"/>
      <c r="WD60" s="624">
        <v>-19.274999999999999</v>
      </c>
      <c r="WE60" s="1">
        <v>0.5</v>
      </c>
      <c r="WF60" s="626">
        <v>18.575000000000003</v>
      </c>
      <c r="WG60" s="1">
        <v>0.8571428571428571</v>
      </c>
      <c r="WH60" s="630">
        <v>-60.024999999999991</v>
      </c>
      <c r="WI60" s="1">
        <v>0.4</v>
      </c>
      <c r="WJ60" s="636">
        <v>18.274999999999999</v>
      </c>
      <c r="WK60" s="1">
        <v>0.75</v>
      </c>
      <c r="WL60" s="638"/>
      <c r="WM60" s="1"/>
      <c r="WN60" s="642">
        <v>18.425000000000001</v>
      </c>
      <c r="WO60" s="1">
        <v>0.8571428571428571</v>
      </c>
      <c r="WP60" s="646">
        <v>7.375</v>
      </c>
      <c r="WQ60" s="1">
        <v>1</v>
      </c>
      <c r="WR60" s="652">
        <v>-51.1</v>
      </c>
      <c r="WS60" s="1">
        <v>0.4</v>
      </c>
      <c r="WT60" s="659">
        <v>6.0249999999999986</v>
      </c>
      <c r="WU60" s="1">
        <v>0.66666666666666663</v>
      </c>
      <c r="WV60" s="659">
        <v>5.5</v>
      </c>
      <c r="WW60" s="1">
        <v>0.4</v>
      </c>
      <c r="WX60" s="672">
        <v>34.425000000000004</v>
      </c>
      <c r="WY60" s="1">
        <v>0.77777777777777779</v>
      </c>
      <c r="WZ60" s="677">
        <v>7.1</v>
      </c>
      <c r="XA60" s="1">
        <v>1</v>
      </c>
      <c r="XB60" s="681">
        <v>10.674999999999999</v>
      </c>
      <c r="XC60" s="1">
        <v>0.5714285714285714</v>
      </c>
      <c r="XD60" s="683"/>
      <c r="XE60" s="1"/>
      <c r="XF60" s="687">
        <v>-0.75000000000000067</v>
      </c>
      <c r="XG60" s="1">
        <v>0.5</v>
      </c>
      <c r="XH60" s="689">
        <v>17.399999999999995</v>
      </c>
      <c r="XI60" s="1">
        <v>0.8</v>
      </c>
      <c r="XJ60" s="696"/>
      <c r="XK60" s="1"/>
      <c r="XL60" s="696">
        <v>43.449999999999996</v>
      </c>
      <c r="XM60" s="1">
        <v>1</v>
      </c>
      <c r="XN60" s="696">
        <v>-4.7250000000000032</v>
      </c>
      <c r="XO60" s="1">
        <v>0.6428571428571429</v>
      </c>
      <c r="XP60" s="700">
        <v>-12.700000000000001</v>
      </c>
      <c r="XQ60" s="1">
        <v>0.42857142857142855</v>
      </c>
      <c r="XR60" s="705">
        <v>-48.2</v>
      </c>
      <c r="XS60" s="1">
        <v>0.2857142857142857</v>
      </c>
      <c r="XT60" s="709">
        <v>39.949999999999996</v>
      </c>
      <c r="XU60" s="1">
        <v>0.875</v>
      </c>
      <c r="XV60" s="715">
        <v>-6.5500000000000007</v>
      </c>
      <c r="XW60" s="1">
        <v>0.42857142857142855</v>
      </c>
    </row>
    <row r="61" spans="2:647" x14ac:dyDescent="0.25">
      <c r="B61" s="755"/>
      <c r="C61" s="756"/>
      <c r="D61" s="765" t="s">
        <v>33</v>
      </c>
      <c r="E61" s="765"/>
      <c r="F61" s="482">
        <v>0.5</v>
      </c>
      <c r="G61" s="475">
        <v>7</v>
      </c>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6"/>
      <c r="BX61" s="487"/>
      <c r="BY61" s="1"/>
      <c r="BZ61" s="487"/>
      <c r="CA61" s="1"/>
      <c r="CB61" s="487"/>
      <c r="CC61" s="1"/>
      <c r="CD61" s="487"/>
      <c r="CE61" s="1"/>
      <c r="CF61" s="487"/>
      <c r="CG61" s="1"/>
      <c r="CH61" s="487"/>
      <c r="CI61" s="1"/>
      <c r="CJ61" s="487"/>
      <c r="CK61" s="1"/>
      <c r="CL61" s="487"/>
      <c r="CM61" s="1"/>
      <c r="CN61" s="487"/>
      <c r="CO61" s="1"/>
      <c r="CP61" s="487"/>
      <c r="CQ61" s="1"/>
      <c r="CR61" s="487"/>
      <c r="CS61" s="1"/>
      <c r="CT61" s="487"/>
      <c r="CU61" s="1"/>
      <c r="CV61" s="487"/>
      <c r="CW61" s="1"/>
      <c r="CX61" s="487"/>
      <c r="CY61" s="1"/>
      <c r="CZ61" s="487"/>
      <c r="DA61" s="1"/>
      <c r="DB61" s="487"/>
      <c r="DC61" s="1"/>
      <c r="DD61" s="487"/>
      <c r="DE61" s="1"/>
      <c r="DF61" s="487"/>
      <c r="DG61" s="1"/>
      <c r="DH61" s="487"/>
      <c r="DI61" s="1"/>
      <c r="DJ61" s="487"/>
      <c r="DK61" s="1"/>
      <c r="DL61" s="487"/>
      <c r="DM61" s="1"/>
      <c r="DN61" s="487"/>
      <c r="DO61" s="1"/>
      <c r="DP61" s="487"/>
      <c r="DQ61" s="1"/>
      <c r="DR61" s="487"/>
      <c r="DS61" s="1"/>
      <c r="DT61" s="487"/>
      <c r="DU61" s="1"/>
      <c r="DV61" s="487"/>
      <c r="DW61" s="1"/>
      <c r="DX61" s="487"/>
      <c r="DY61" s="1"/>
      <c r="DZ61" s="487"/>
      <c r="EA61" s="1"/>
      <c r="EB61" s="487"/>
      <c r="EC61" s="1"/>
      <c r="ED61" s="487"/>
      <c r="EE61" s="1"/>
      <c r="EF61" s="487"/>
      <c r="EG61" s="1"/>
      <c r="EH61" s="487"/>
      <c r="EI61" s="1"/>
      <c r="EJ61" s="487"/>
      <c r="EK61" s="1"/>
      <c r="EL61" s="487"/>
      <c r="EM61" s="1"/>
      <c r="EN61" s="487"/>
      <c r="EO61" s="1"/>
      <c r="EP61" s="487"/>
      <c r="EQ61" s="1"/>
      <c r="ER61" s="487"/>
      <c r="ES61" s="1"/>
      <c r="ET61" s="487"/>
      <c r="EU61" s="1"/>
      <c r="EV61" s="487"/>
      <c r="EW61" s="1"/>
      <c r="EX61" s="487"/>
      <c r="EY61" s="1"/>
      <c r="EZ61" s="487"/>
      <c r="FA61" s="1"/>
      <c r="FB61" s="487"/>
      <c r="FC61" s="1"/>
      <c r="FD61" s="487"/>
      <c r="FE61" s="1"/>
      <c r="FF61" s="487"/>
      <c r="FG61" s="1"/>
      <c r="FH61" s="487"/>
      <c r="FI61" s="1"/>
      <c r="FJ61" s="487"/>
      <c r="FK61" s="1"/>
      <c r="FL61" s="487"/>
      <c r="FM61" s="1"/>
      <c r="FN61" s="487"/>
      <c r="FO61" s="1"/>
      <c r="FP61" s="487"/>
      <c r="FQ61" s="1"/>
      <c r="FR61" s="487"/>
      <c r="FS61" s="1"/>
      <c r="FT61" s="487"/>
      <c r="FU61" s="1"/>
      <c r="FV61" s="487"/>
      <c r="FW61" s="1"/>
      <c r="FX61" s="487"/>
      <c r="FY61" s="1"/>
      <c r="FZ61" s="487"/>
      <c r="GA61" s="1"/>
      <c r="GB61" s="487"/>
      <c r="GC61" s="1"/>
      <c r="GD61" s="487"/>
      <c r="GE61" s="1"/>
      <c r="GF61" s="487"/>
      <c r="GG61" s="1"/>
      <c r="GH61" s="487"/>
      <c r="GI61" s="1"/>
      <c r="GJ61" s="487"/>
      <c r="GK61" s="1"/>
      <c r="GL61" s="487"/>
      <c r="GM61" s="1"/>
      <c r="GN61" s="487"/>
      <c r="GO61" s="1"/>
      <c r="GP61" s="487"/>
      <c r="GQ61" s="1"/>
      <c r="GR61" s="487"/>
      <c r="GS61" s="1"/>
      <c r="GT61" s="487"/>
      <c r="GU61" s="1"/>
      <c r="GV61" s="487"/>
      <c r="GW61" s="1"/>
      <c r="GX61" s="487"/>
      <c r="GY61" s="1"/>
      <c r="GZ61" s="487"/>
      <c r="HA61" s="1"/>
      <c r="HB61" s="487"/>
      <c r="HC61" s="1"/>
      <c r="HD61" s="487"/>
      <c r="HE61" s="1"/>
      <c r="HF61" s="487"/>
      <c r="HG61" s="1"/>
      <c r="HH61" s="487"/>
      <c r="HI61" s="1"/>
      <c r="HJ61" s="487"/>
      <c r="HK61" s="1"/>
      <c r="HL61" s="487"/>
      <c r="HM61" s="1"/>
      <c r="HN61" s="487">
        <v>24.380000000000003</v>
      </c>
      <c r="HO61" s="1">
        <v>1</v>
      </c>
      <c r="HP61" s="487">
        <v>-8.5400000000000027</v>
      </c>
      <c r="HQ61" s="1">
        <v>0.2</v>
      </c>
      <c r="HR61" s="487">
        <v>5.4599999999999991</v>
      </c>
      <c r="HS61" s="1">
        <v>0.5714285714285714</v>
      </c>
      <c r="HT61" s="487">
        <v>-56.52</v>
      </c>
      <c r="HU61" s="1">
        <v>0.2</v>
      </c>
      <c r="HV61" s="487">
        <v>17.36</v>
      </c>
      <c r="HW61" s="1">
        <v>0.75</v>
      </c>
      <c r="HX61" s="487"/>
      <c r="HY61" s="1"/>
      <c r="HZ61" s="487">
        <v>-68.699999999999989</v>
      </c>
      <c r="IA61" s="1">
        <v>0.125</v>
      </c>
      <c r="IB61" s="487">
        <v>-16.72</v>
      </c>
      <c r="IC61" s="1">
        <v>0.16666666666666666</v>
      </c>
      <c r="ID61" s="487">
        <v>-1.0200000000000014</v>
      </c>
      <c r="IE61" s="1">
        <v>0.625</v>
      </c>
      <c r="IF61" s="487"/>
      <c r="IG61" s="1"/>
      <c r="IH61" s="487">
        <v>7.08</v>
      </c>
      <c r="II61" s="1">
        <v>1</v>
      </c>
      <c r="IJ61" s="487"/>
      <c r="IK61" s="1"/>
      <c r="IL61" s="487">
        <v>21.56</v>
      </c>
      <c r="IM61" s="1">
        <v>0.66666666666666663</v>
      </c>
      <c r="IN61" s="487">
        <v>-8.0999999999999979</v>
      </c>
      <c r="IO61" s="1">
        <v>0.33333333333333331</v>
      </c>
      <c r="IP61" s="487">
        <v>0.17999999999999972</v>
      </c>
      <c r="IQ61" s="1">
        <v>0.6</v>
      </c>
      <c r="IR61" s="487">
        <v>-26.32</v>
      </c>
      <c r="IS61" s="1">
        <v>0.2</v>
      </c>
      <c r="IT61" s="487">
        <v>7.22</v>
      </c>
      <c r="IU61" s="1">
        <v>1</v>
      </c>
      <c r="IV61" s="487">
        <v>-23.28</v>
      </c>
      <c r="IW61" s="1">
        <v>0.2</v>
      </c>
      <c r="IX61" s="487">
        <v>-22.799999999999997</v>
      </c>
      <c r="IY61" s="1">
        <v>0.4</v>
      </c>
      <c r="IZ61" s="487">
        <v>22.7</v>
      </c>
      <c r="JA61" s="1">
        <v>1</v>
      </c>
      <c r="JB61" s="487">
        <v>45.46</v>
      </c>
      <c r="JC61" s="1">
        <v>0.8</v>
      </c>
      <c r="JD61" s="487">
        <v>14.5</v>
      </c>
      <c r="JE61" s="1">
        <v>1</v>
      </c>
      <c r="JF61" s="487">
        <v>1</v>
      </c>
      <c r="JG61" s="1">
        <v>1</v>
      </c>
      <c r="JH61" s="487">
        <v>7</v>
      </c>
      <c r="JI61" s="1">
        <v>1</v>
      </c>
      <c r="JJ61" s="487">
        <v>9.379999999999999</v>
      </c>
      <c r="JK61" s="1">
        <v>0.63636363636363635</v>
      </c>
      <c r="JL61" s="487">
        <v>-35.6</v>
      </c>
      <c r="JM61" s="1">
        <v>0.4</v>
      </c>
      <c r="JN61" s="487"/>
      <c r="JO61" s="1"/>
      <c r="JP61" s="487">
        <v>-18.880000000000003</v>
      </c>
      <c r="JQ61" s="1">
        <v>0</v>
      </c>
      <c r="JR61" s="487"/>
      <c r="JS61" s="1"/>
      <c r="JT61" s="487">
        <v>10.739999999999998</v>
      </c>
      <c r="JU61" s="1">
        <v>0.5</v>
      </c>
      <c r="JV61" s="487">
        <v>-14.82</v>
      </c>
      <c r="JW61" s="1">
        <v>0.6</v>
      </c>
      <c r="JX61" s="487">
        <v>14.42</v>
      </c>
      <c r="JY61" s="1">
        <v>1</v>
      </c>
      <c r="JZ61" s="487">
        <v>-3.6600000000000019</v>
      </c>
      <c r="KA61" s="1">
        <v>0.5</v>
      </c>
      <c r="KB61" s="487">
        <v>14.879999999999999</v>
      </c>
      <c r="KC61" s="1">
        <v>1</v>
      </c>
      <c r="KD61" s="487">
        <v>5.76</v>
      </c>
      <c r="KE61" s="1">
        <v>0.75</v>
      </c>
      <c r="KF61" s="487">
        <v>4.2799999999999994</v>
      </c>
      <c r="KG61" s="1">
        <v>0.4</v>
      </c>
      <c r="KH61" s="487">
        <v>20.159999999999997</v>
      </c>
      <c r="KI61" s="1">
        <v>0.75</v>
      </c>
      <c r="KJ61" s="487">
        <v>-0.72000000000000064</v>
      </c>
      <c r="KK61" s="1">
        <v>0.4</v>
      </c>
      <c r="KL61" s="487">
        <v>8.82</v>
      </c>
      <c r="KM61" s="1">
        <v>0.5714285714285714</v>
      </c>
      <c r="KN61" s="487">
        <v>33.360000000000007</v>
      </c>
      <c r="KO61" s="1">
        <v>0.875</v>
      </c>
      <c r="KP61" s="487"/>
      <c r="KQ61" s="1"/>
      <c r="KR61" s="487">
        <v>-20.340000000000003</v>
      </c>
      <c r="KS61" s="1">
        <v>0.33333333333333331</v>
      </c>
      <c r="KT61" s="487"/>
      <c r="KU61" s="1"/>
      <c r="KV61" s="487">
        <v>-30.840000000000003</v>
      </c>
      <c r="KW61" s="1">
        <v>0.6</v>
      </c>
      <c r="KX61" s="487">
        <v>21.28</v>
      </c>
      <c r="KY61" s="1">
        <v>1</v>
      </c>
      <c r="KZ61" s="487">
        <v>14.54</v>
      </c>
      <c r="LA61" s="1">
        <v>1</v>
      </c>
      <c r="LB61" s="487">
        <v>-1.7000000000000002</v>
      </c>
      <c r="LC61" s="1">
        <v>0.5</v>
      </c>
      <c r="LD61" s="487">
        <v>28.200000000000003</v>
      </c>
      <c r="LE61" s="1">
        <v>1</v>
      </c>
      <c r="LF61" s="487"/>
      <c r="LG61" s="1"/>
      <c r="LH61" s="487">
        <v>-21.66</v>
      </c>
      <c r="LI61" s="1">
        <v>0.5</v>
      </c>
      <c r="LJ61" s="487"/>
      <c r="LK61" s="1"/>
      <c r="LL61" s="487">
        <v>-28.619999999999997</v>
      </c>
      <c r="LM61" s="1">
        <v>0.5714285714285714</v>
      </c>
      <c r="LN61" s="487">
        <v>-18.940000000000001</v>
      </c>
      <c r="LO61" s="1">
        <v>0.33333333333333331</v>
      </c>
      <c r="LP61" s="487">
        <v>7.1</v>
      </c>
      <c r="LQ61" s="1">
        <v>1</v>
      </c>
      <c r="LR61" s="487">
        <v>7.24</v>
      </c>
      <c r="LS61" s="1">
        <v>1</v>
      </c>
      <c r="LT61" s="487">
        <v>-11.5</v>
      </c>
      <c r="LU61" s="1">
        <v>0.66666666666666663</v>
      </c>
      <c r="LV61" s="487">
        <v>-7.58</v>
      </c>
      <c r="LW61" s="1">
        <v>0</v>
      </c>
      <c r="LX61" s="487">
        <v>-45.6</v>
      </c>
      <c r="LY61" s="1">
        <v>0.33333333333333331</v>
      </c>
      <c r="LZ61" s="487">
        <v>-9.5000000000000018</v>
      </c>
      <c r="MA61" s="1">
        <v>0.5</v>
      </c>
      <c r="MB61" s="487">
        <v>-3.58</v>
      </c>
      <c r="MC61" s="1">
        <v>0.6</v>
      </c>
      <c r="MD61" s="487"/>
      <c r="ME61" s="1"/>
      <c r="MF61" s="487">
        <v>15.24</v>
      </c>
      <c r="MG61" s="1">
        <v>1</v>
      </c>
      <c r="MH61" s="487">
        <v>35.26</v>
      </c>
      <c r="MI61" s="1">
        <v>1</v>
      </c>
      <c r="MJ61" s="487">
        <v>-32.56</v>
      </c>
      <c r="MK61" s="1">
        <v>0.4</v>
      </c>
      <c r="ML61" s="487">
        <v>21.9</v>
      </c>
      <c r="MM61" s="1">
        <v>1</v>
      </c>
      <c r="MN61" s="487">
        <v>-2.3800000000000008</v>
      </c>
      <c r="MO61" s="1">
        <v>0.5</v>
      </c>
      <c r="MP61" s="487">
        <v>14.280000000000001</v>
      </c>
      <c r="MQ61" s="1">
        <v>1</v>
      </c>
      <c r="MR61" s="487">
        <v>10.739999999999998</v>
      </c>
      <c r="MS61" s="1">
        <v>0.75</v>
      </c>
      <c r="MT61" s="487">
        <v>-51.34</v>
      </c>
      <c r="MU61" s="1">
        <v>0.33333333333333331</v>
      </c>
      <c r="MV61" s="487">
        <v>15.440000000000001</v>
      </c>
      <c r="MW61" s="1">
        <v>1</v>
      </c>
      <c r="MX61" s="487">
        <v>0.69999999999999929</v>
      </c>
      <c r="MY61" s="1">
        <v>0.75</v>
      </c>
      <c r="MZ61" s="487">
        <v>-53.02</v>
      </c>
      <c r="NA61" s="1">
        <v>0.42857142857142855</v>
      </c>
      <c r="NB61" s="487">
        <v>-56.3</v>
      </c>
      <c r="NC61" s="1">
        <v>0</v>
      </c>
      <c r="ND61" s="487"/>
      <c r="NE61" s="1"/>
      <c r="NF61" s="487">
        <v>-38.64</v>
      </c>
      <c r="NG61" s="1">
        <v>0.4</v>
      </c>
      <c r="NH61" s="487">
        <v>-38.64</v>
      </c>
      <c r="NI61" s="1">
        <v>0.4</v>
      </c>
      <c r="NJ61" s="487">
        <v>-10.820000000000004</v>
      </c>
      <c r="NK61" s="1">
        <v>0.66666666666666663</v>
      </c>
      <c r="NL61" s="487">
        <v>-43.78</v>
      </c>
      <c r="NM61" s="1">
        <v>0.42857142857142855</v>
      </c>
      <c r="NN61" s="487"/>
      <c r="NO61" s="1"/>
      <c r="NP61" s="487">
        <v>7.6</v>
      </c>
      <c r="NQ61" s="1">
        <v>0.7142857142857143</v>
      </c>
      <c r="NR61" s="487">
        <v>-7.9</v>
      </c>
      <c r="NS61" s="1">
        <v>0.5714285714285714</v>
      </c>
      <c r="NT61" s="487">
        <v>-24.3</v>
      </c>
      <c r="NU61" s="1">
        <v>0.33333333333333331</v>
      </c>
      <c r="NV61" s="487">
        <v>-9.86</v>
      </c>
      <c r="NW61" s="1">
        <v>0.66666666666666663</v>
      </c>
      <c r="NX61" s="487">
        <v>-2.8599999999999994</v>
      </c>
      <c r="NY61" s="1">
        <v>0.5</v>
      </c>
      <c r="NZ61" s="487">
        <v>24.32</v>
      </c>
      <c r="OA61" s="1">
        <v>0.8</v>
      </c>
      <c r="OB61" s="487">
        <v>6.34</v>
      </c>
      <c r="OC61" s="1">
        <v>0.5</v>
      </c>
      <c r="OD61" s="487">
        <v>-3.12</v>
      </c>
      <c r="OE61" s="1">
        <v>0.66666666666666663</v>
      </c>
      <c r="OF61" s="487">
        <v>-14.2</v>
      </c>
      <c r="OG61" s="1">
        <v>0.5</v>
      </c>
      <c r="OH61" s="487">
        <v>3.86</v>
      </c>
      <c r="OI61" s="1">
        <v>0.5</v>
      </c>
      <c r="OJ61" s="487"/>
      <c r="OK61" s="1"/>
      <c r="OL61" s="487">
        <v>-10</v>
      </c>
      <c r="OM61" s="1">
        <v>0.5714285714285714</v>
      </c>
      <c r="ON61" s="487"/>
      <c r="OO61" s="1"/>
      <c r="OP61" s="487">
        <v>-9.98</v>
      </c>
      <c r="OQ61" s="1">
        <v>0.5</v>
      </c>
      <c r="OR61" s="487"/>
      <c r="OS61" s="1"/>
      <c r="OT61" s="487">
        <v>-24.86</v>
      </c>
      <c r="OU61" s="1">
        <v>0.5</v>
      </c>
      <c r="OV61" s="487"/>
      <c r="OW61" s="1"/>
      <c r="OX61" s="487">
        <v>33.46</v>
      </c>
      <c r="OY61" s="1">
        <v>0.7142857142857143</v>
      </c>
      <c r="OZ61" s="487">
        <v>21.7</v>
      </c>
      <c r="PA61" s="1">
        <v>1</v>
      </c>
      <c r="PB61" s="487">
        <v>-12.24</v>
      </c>
      <c r="PC61" s="1">
        <v>0.5714285714285714</v>
      </c>
      <c r="PD61" s="487">
        <v>-43.120000000000005</v>
      </c>
      <c r="PE61" s="1">
        <v>0.5</v>
      </c>
      <c r="PF61" s="487">
        <v>-1.1000000000000014</v>
      </c>
      <c r="PG61" s="1">
        <v>0.5714285714285714</v>
      </c>
      <c r="PH61" s="487">
        <v>7.16</v>
      </c>
      <c r="PI61" s="1">
        <v>1</v>
      </c>
      <c r="PJ61" s="487"/>
      <c r="PK61" s="1"/>
      <c r="PL61" s="487">
        <v>-10</v>
      </c>
      <c r="PM61" s="1">
        <v>0.75</v>
      </c>
      <c r="PN61" s="487">
        <v>5.6199999999999992</v>
      </c>
      <c r="PO61" s="1">
        <v>0.66666666666666663</v>
      </c>
      <c r="PP61" s="487">
        <v>-26.279999999999998</v>
      </c>
      <c r="PQ61" s="1">
        <v>0.5714285714285714</v>
      </c>
      <c r="PR61" s="487">
        <v>-71.47999999999999</v>
      </c>
      <c r="PS61" s="1">
        <v>0.33333333333333331</v>
      </c>
      <c r="PT61" s="487">
        <v>14.76</v>
      </c>
      <c r="PU61" s="1">
        <v>1</v>
      </c>
      <c r="PV61" s="487">
        <v>7.72</v>
      </c>
      <c r="PW61" s="1">
        <v>1</v>
      </c>
      <c r="PX61" s="487">
        <v>28.879999999999995</v>
      </c>
      <c r="PY61" s="1">
        <v>1</v>
      </c>
      <c r="PZ61" s="487"/>
      <c r="QA61" s="1"/>
      <c r="QB61" s="487">
        <v>-22.040000000000006</v>
      </c>
      <c r="QC61" s="1">
        <v>0.66666666666666663</v>
      </c>
      <c r="QD61" s="487">
        <v>-50.599999999999994</v>
      </c>
      <c r="QE61" s="1">
        <v>0.58333333333333337</v>
      </c>
      <c r="QF61" s="487">
        <v>-106.25999999999999</v>
      </c>
      <c r="QG61" s="1">
        <v>0.4</v>
      </c>
      <c r="QH61" s="487">
        <v>18.079999999999998</v>
      </c>
      <c r="QI61" s="1">
        <v>0.83333333333333337</v>
      </c>
      <c r="QJ61" s="487">
        <v>39.5</v>
      </c>
      <c r="QK61" s="1">
        <v>0.88888888888888884</v>
      </c>
      <c r="QL61" s="487">
        <v>51.099999999999987</v>
      </c>
      <c r="QM61" s="1">
        <v>0.9</v>
      </c>
      <c r="QN61" s="487">
        <v>2.8199999999999976</v>
      </c>
      <c r="QO61" s="1">
        <v>0.63636363636363635</v>
      </c>
      <c r="QP61" s="487">
        <v>35.28</v>
      </c>
      <c r="QQ61" s="1">
        <v>0.8571428571428571</v>
      </c>
      <c r="QR61" s="487">
        <v>-27.839999999999996</v>
      </c>
      <c r="QS61" s="1">
        <v>0.5</v>
      </c>
      <c r="QT61" s="487">
        <v>-22.140000000000004</v>
      </c>
      <c r="QU61" s="1">
        <v>0.42857142857142855</v>
      </c>
      <c r="QV61" s="487">
        <v>30.699999999999996</v>
      </c>
      <c r="QW61" s="1">
        <v>0.75</v>
      </c>
      <c r="QX61" s="487">
        <v>-13.12</v>
      </c>
      <c r="QY61" s="1">
        <v>0.33333333333333331</v>
      </c>
      <c r="QZ61" s="487"/>
      <c r="RA61" s="1"/>
      <c r="RB61" s="487">
        <v>21.42</v>
      </c>
      <c r="RC61" s="1">
        <v>0.63636363636363635</v>
      </c>
      <c r="RD61" s="487">
        <v>4.9799999999999951</v>
      </c>
      <c r="RE61" s="1">
        <v>0.63636363636363635</v>
      </c>
      <c r="RF61" s="487">
        <v>4.8400000000000007</v>
      </c>
      <c r="RG61" s="1">
        <v>0.66666666666666663</v>
      </c>
      <c r="RH61" s="487">
        <v>-46.96</v>
      </c>
      <c r="RI61" s="1">
        <v>0.55555555555555558</v>
      </c>
      <c r="RJ61" s="487">
        <v>36</v>
      </c>
      <c r="RK61" s="1">
        <v>0.75</v>
      </c>
      <c r="RL61" s="487"/>
      <c r="RM61" s="1"/>
      <c r="RN61" s="487">
        <v>12.979999999999999</v>
      </c>
      <c r="RO61" s="1">
        <v>0.6</v>
      </c>
      <c r="RP61" s="487">
        <v>31.439999999999998</v>
      </c>
      <c r="RQ61" s="1">
        <v>0.8571428571428571</v>
      </c>
      <c r="RR61" s="487"/>
      <c r="RS61" s="1"/>
      <c r="RT61" s="487">
        <v>11.14</v>
      </c>
      <c r="RU61" s="1">
        <v>0.6</v>
      </c>
      <c r="RV61" s="487">
        <v>-66.7</v>
      </c>
      <c r="RW61" s="1">
        <v>0.42857142857142855</v>
      </c>
      <c r="RX61" s="487">
        <v>-40.760000000000005</v>
      </c>
      <c r="RY61" s="1">
        <v>0.41666666666666669</v>
      </c>
      <c r="RZ61" s="487">
        <v>-87.11999999999999</v>
      </c>
      <c r="SA61" s="1">
        <v>0.2857142857142857</v>
      </c>
      <c r="SB61" s="487">
        <v>35.68</v>
      </c>
      <c r="SC61" s="1">
        <v>1</v>
      </c>
      <c r="SD61" s="487"/>
      <c r="SE61" s="1"/>
      <c r="SF61" s="487"/>
      <c r="SG61" s="1"/>
      <c r="SH61" s="487">
        <v>-65.359999999999985</v>
      </c>
      <c r="SI61" s="1">
        <v>0.2857142857142857</v>
      </c>
      <c r="SJ61" s="487">
        <v>-6.099999999999997</v>
      </c>
      <c r="SK61" s="1">
        <v>0.6</v>
      </c>
      <c r="SL61" s="487">
        <v>7.8400000000000007</v>
      </c>
      <c r="SM61" s="1">
        <v>0.75</v>
      </c>
      <c r="SN61" s="487">
        <v>-3.0999999999999979</v>
      </c>
      <c r="SO61" s="1">
        <v>0.66666666666666663</v>
      </c>
      <c r="SP61" s="487">
        <v>-15.9</v>
      </c>
      <c r="SQ61" s="1">
        <v>0.5</v>
      </c>
      <c r="SR61" s="487">
        <v>-14.34</v>
      </c>
      <c r="SS61" s="1">
        <v>0.25</v>
      </c>
      <c r="ST61" s="487">
        <v>31.620000000000005</v>
      </c>
      <c r="SU61" s="1">
        <v>0.66666666666666663</v>
      </c>
      <c r="SV61" s="487">
        <v>-21.28</v>
      </c>
      <c r="SW61" s="1">
        <v>0.3</v>
      </c>
      <c r="SX61" s="487"/>
      <c r="SY61" s="1"/>
      <c r="SZ61" s="487">
        <v>-64.099999999999994</v>
      </c>
      <c r="TA61" s="1">
        <v>0.4</v>
      </c>
      <c r="TB61" s="487">
        <v>-42.68</v>
      </c>
      <c r="TC61" s="1">
        <v>0</v>
      </c>
      <c r="TD61" s="487">
        <v>11.759999999999998</v>
      </c>
      <c r="TE61" s="1">
        <v>0.8</v>
      </c>
      <c r="TF61" s="487">
        <v>-4.6399999999999997</v>
      </c>
      <c r="TG61" s="1">
        <v>0.5</v>
      </c>
      <c r="TH61" s="488">
        <v>11.440000000000001</v>
      </c>
      <c r="TI61" s="1">
        <v>1</v>
      </c>
      <c r="TJ61" s="489">
        <v>-40.319999999999993</v>
      </c>
      <c r="TK61" s="1">
        <v>0.5</v>
      </c>
      <c r="TL61" s="490">
        <v>-29.880000000000003</v>
      </c>
      <c r="TM61" s="1">
        <v>0.5</v>
      </c>
      <c r="TN61" s="495"/>
      <c r="TO61" s="1"/>
      <c r="TP61" s="500">
        <v>-33.82</v>
      </c>
      <c r="TQ61" s="1">
        <v>0.58333333333333337</v>
      </c>
      <c r="TR61" s="511">
        <v>-17.160000000000004</v>
      </c>
      <c r="TS61" s="1">
        <v>0.5</v>
      </c>
      <c r="TT61" s="515">
        <v>-23.62</v>
      </c>
      <c r="TU61" s="1">
        <v>0.5</v>
      </c>
      <c r="TV61" s="518">
        <v>-49.400000000000006</v>
      </c>
      <c r="TW61" s="1">
        <v>0.42857142857142855</v>
      </c>
      <c r="TX61" s="521">
        <v>-58.44</v>
      </c>
      <c r="TY61" s="1">
        <v>0.2857142857142857</v>
      </c>
      <c r="TZ61" s="524">
        <v>-19.2</v>
      </c>
      <c r="UA61" s="1">
        <v>0.42857142857142855</v>
      </c>
      <c r="UB61" s="527">
        <v>-1.3000000000000029</v>
      </c>
      <c r="UC61" s="1">
        <v>0.63636363636363635</v>
      </c>
      <c r="UD61" s="530">
        <v>-4.0000000000000009</v>
      </c>
      <c r="UE61" s="1">
        <v>0.33333333333333331</v>
      </c>
      <c r="UF61" s="533">
        <v>14.64</v>
      </c>
      <c r="UG61" s="1">
        <v>1</v>
      </c>
      <c r="UH61" s="536">
        <v>14.059999999999999</v>
      </c>
      <c r="UI61" s="1">
        <v>1</v>
      </c>
      <c r="UJ61" s="539"/>
      <c r="UK61" s="1"/>
      <c r="UL61" s="540">
        <v>-38.319999999999993</v>
      </c>
      <c r="UM61" s="1">
        <v>0.4</v>
      </c>
      <c r="UN61" s="543">
        <v>29.419999999999998</v>
      </c>
      <c r="UO61" s="1">
        <v>0.8</v>
      </c>
      <c r="UP61" s="544">
        <v>21.88</v>
      </c>
      <c r="UQ61" s="1">
        <v>1</v>
      </c>
      <c r="UR61" s="551">
        <v>-10.739999999999998</v>
      </c>
      <c r="US61" s="1">
        <v>0.5</v>
      </c>
      <c r="UT61" s="551">
        <v>17.420000000000002</v>
      </c>
      <c r="UU61" s="1">
        <v>1</v>
      </c>
      <c r="UV61" s="562">
        <v>-37.4</v>
      </c>
      <c r="UW61" s="1">
        <v>0.7</v>
      </c>
      <c r="UX61" s="566">
        <v>35.32</v>
      </c>
      <c r="UY61" s="1">
        <v>0.66666666666666663</v>
      </c>
      <c r="UZ61" s="568"/>
      <c r="VA61" s="1"/>
      <c r="VB61" s="572">
        <v>-14.119999999999994</v>
      </c>
      <c r="VC61" s="1">
        <v>0.66666666666666663</v>
      </c>
      <c r="VD61" s="576">
        <v>-49.3</v>
      </c>
      <c r="VE61" s="1">
        <v>0.46666666666666667</v>
      </c>
      <c r="VF61" s="580">
        <v>23.52</v>
      </c>
      <c r="VG61" s="1">
        <v>0.8</v>
      </c>
      <c r="VH61" s="584">
        <v>17.66</v>
      </c>
      <c r="VI61" s="1">
        <v>1</v>
      </c>
      <c r="VJ61" s="589">
        <v>-34.799999999999997</v>
      </c>
      <c r="VK61" s="1">
        <v>0.5714285714285714</v>
      </c>
      <c r="VL61" s="593">
        <v>-27.76</v>
      </c>
      <c r="VM61" s="1">
        <v>0.25</v>
      </c>
      <c r="VN61" s="597">
        <v>7.12</v>
      </c>
      <c r="VO61" s="1">
        <v>1</v>
      </c>
      <c r="VP61" s="601">
        <v>-63.4</v>
      </c>
      <c r="VQ61" s="1">
        <v>0.4</v>
      </c>
      <c r="VR61" s="603"/>
      <c r="VS61" s="1"/>
      <c r="VT61" s="607">
        <v>-30.8</v>
      </c>
      <c r="VU61" s="1">
        <v>0.33333333333333331</v>
      </c>
      <c r="VV61" s="609">
        <v>6.6999999999999993</v>
      </c>
      <c r="VW61" s="1">
        <v>0.625</v>
      </c>
      <c r="VX61" s="613">
        <v>-34.199999999999996</v>
      </c>
      <c r="VY61" s="1">
        <v>0.5</v>
      </c>
      <c r="VZ61" s="617">
        <v>-5.7</v>
      </c>
      <c r="WA61" s="1">
        <v>0.44444444444444442</v>
      </c>
      <c r="WB61" s="619">
        <v>21.66</v>
      </c>
      <c r="WC61" s="1">
        <v>1</v>
      </c>
      <c r="WD61" s="624">
        <v>-8.9399999999999977</v>
      </c>
      <c r="WE61" s="1">
        <v>0.66666666666666663</v>
      </c>
      <c r="WF61" s="626">
        <v>-18.520000000000003</v>
      </c>
      <c r="WG61" s="1">
        <v>0.63636363636363635</v>
      </c>
      <c r="WH61" s="630">
        <v>-51.88000000000001</v>
      </c>
      <c r="WI61" s="1">
        <v>0.5</v>
      </c>
      <c r="WJ61" s="636">
        <v>17.36</v>
      </c>
      <c r="WK61" s="1">
        <v>0.66666666666666663</v>
      </c>
      <c r="WL61" s="638">
        <v>3.7600000000000002</v>
      </c>
      <c r="WM61" s="1">
        <v>0.5</v>
      </c>
      <c r="WN61" s="642">
        <v>20.919999999999998</v>
      </c>
      <c r="WO61" s="1">
        <v>0.77777777777777779</v>
      </c>
      <c r="WP61" s="646">
        <v>21.38</v>
      </c>
      <c r="WQ61" s="1">
        <v>1</v>
      </c>
      <c r="WR61" s="652">
        <v>-34.82</v>
      </c>
      <c r="WS61" s="1">
        <v>0.6</v>
      </c>
      <c r="WT61" s="659">
        <v>5.9999999999999991</v>
      </c>
      <c r="WU61" s="1">
        <v>0.66666666666666663</v>
      </c>
      <c r="WV61" s="659">
        <v>-3.160000000000001</v>
      </c>
      <c r="WW61" s="1">
        <v>0.27272727272727271</v>
      </c>
      <c r="WX61" s="672">
        <v>24.12</v>
      </c>
      <c r="WY61" s="1">
        <v>0.66666666666666663</v>
      </c>
      <c r="WZ61" s="677">
        <v>-102.24000000000001</v>
      </c>
      <c r="XA61" s="1">
        <v>0</v>
      </c>
      <c r="XB61" s="681">
        <v>9.7800000000000047</v>
      </c>
      <c r="XC61" s="1">
        <v>0.5714285714285714</v>
      </c>
      <c r="XD61" s="683"/>
      <c r="XE61" s="1"/>
      <c r="XF61" s="687">
        <v>-11.080000000000002</v>
      </c>
      <c r="XG61" s="1">
        <v>0.4</v>
      </c>
      <c r="XH61" s="689">
        <v>-10.139999999999999</v>
      </c>
      <c r="XI61" s="1">
        <v>0.5</v>
      </c>
      <c r="XJ61" s="696">
        <v>6.68</v>
      </c>
      <c r="XK61" s="1">
        <v>1</v>
      </c>
      <c r="XL61" s="696">
        <v>-40.699999999999996</v>
      </c>
      <c r="XM61" s="1">
        <v>0.5</v>
      </c>
      <c r="XN61" s="696">
        <v>-16</v>
      </c>
      <c r="XO61" s="1">
        <v>0.55555555555555558</v>
      </c>
      <c r="XP61" s="700">
        <v>3.6199999999999992</v>
      </c>
      <c r="XQ61" s="1">
        <v>0.6</v>
      </c>
      <c r="XR61" s="705">
        <v>-54.040000000000006</v>
      </c>
      <c r="XS61" s="1">
        <v>0.375</v>
      </c>
      <c r="XT61" s="709">
        <v>39.14</v>
      </c>
      <c r="XU61" s="1">
        <v>0.875</v>
      </c>
      <c r="XV61" s="715">
        <v>-7.0000000000000027</v>
      </c>
      <c r="XW61" s="1">
        <v>0.41666666666666669</v>
      </c>
    </row>
    <row r="62" spans="2:647" x14ac:dyDescent="0.25">
      <c r="B62" s="755"/>
      <c r="C62" s="756"/>
      <c r="D62" s="771" t="s">
        <v>37</v>
      </c>
      <c r="E62" s="771"/>
      <c r="F62" s="484">
        <v>0.6</v>
      </c>
      <c r="G62" s="123" t="s">
        <v>36</v>
      </c>
      <c r="H62" s="6"/>
      <c r="I62" s="6"/>
      <c r="J62" s="6"/>
      <c r="K62" s="6"/>
      <c r="L62" s="6"/>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6"/>
      <c r="BX62" s="487"/>
      <c r="BY62" s="1"/>
      <c r="BZ62" s="487"/>
      <c r="CA62" s="1"/>
      <c r="CB62" s="487"/>
      <c r="CC62" s="1"/>
      <c r="CD62" s="487"/>
      <c r="CE62" s="1"/>
      <c r="CF62" s="487"/>
      <c r="CG62" s="1"/>
      <c r="CH62" s="487"/>
      <c r="CI62" s="1"/>
      <c r="CJ62" s="487"/>
      <c r="CK62" s="1"/>
      <c r="CL62" s="487"/>
      <c r="CM62" s="1"/>
      <c r="CN62" s="487"/>
      <c r="CO62" s="1"/>
      <c r="CP62" s="487"/>
      <c r="CQ62" s="1"/>
      <c r="CR62" s="487"/>
      <c r="CS62" s="1"/>
      <c r="CT62" s="487"/>
      <c r="CU62" s="1"/>
      <c r="CV62" s="487"/>
      <c r="CW62" s="1"/>
      <c r="CX62" s="487"/>
      <c r="CY62" s="1"/>
      <c r="CZ62" s="487"/>
      <c r="DA62" s="1"/>
      <c r="DB62" s="487"/>
      <c r="DC62" s="1"/>
      <c r="DD62" s="487"/>
      <c r="DE62" s="1"/>
      <c r="DF62" s="487"/>
      <c r="DG62" s="1"/>
      <c r="DH62" s="487"/>
      <c r="DI62" s="1"/>
      <c r="DJ62" s="487"/>
      <c r="DK62" s="1"/>
      <c r="DL62" s="487"/>
      <c r="DM62" s="1"/>
      <c r="DN62" s="487"/>
      <c r="DO62" s="1"/>
      <c r="DP62" s="487"/>
      <c r="DQ62" s="1"/>
      <c r="DR62" s="487"/>
      <c r="DS62" s="1"/>
      <c r="DT62" s="487"/>
      <c r="DU62" s="1"/>
      <c r="DV62" s="487"/>
      <c r="DW62" s="1"/>
      <c r="DX62" s="487"/>
      <c r="DY62" s="1"/>
      <c r="DZ62" s="487"/>
      <c r="EA62" s="1"/>
      <c r="EB62" s="487"/>
      <c r="EC62" s="1"/>
      <c r="ED62" s="487"/>
      <c r="EE62" s="1"/>
      <c r="EF62" s="487"/>
      <c r="EG62" s="1"/>
      <c r="EH62" s="487"/>
      <c r="EI62" s="1"/>
      <c r="EJ62" s="487"/>
      <c r="EK62" s="1"/>
      <c r="EL62" s="487"/>
      <c r="EM62" s="1"/>
      <c r="EN62" s="487"/>
      <c r="EO62" s="1"/>
      <c r="EP62" s="487"/>
      <c r="EQ62" s="1"/>
      <c r="ER62" s="487"/>
      <c r="ES62" s="1"/>
      <c r="ET62" s="487"/>
      <c r="EU62" s="1"/>
      <c r="EV62" s="487"/>
      <c r="EW62" s="1"/>
      <c r="EX62" s="487"/>
      <c r="EY62" s="1"/>
      <c r="EZ62" s="487"/>
      <c r="FA62" s="1"/>
      <c r="FB62" s="487"/>
      <c r="FC62" s="1"/>
      <c r="FD62" s="487"/>
      <c r="FE62" s="1"/>
      <c r="FF62" s="487"/>
      <c r="FG62" s="1"/>
      <c r="FH62" s="487"/>
      <c r="FI62" s="1"/>
      <c r="FJ62" s="487"/>
      <c r="FK62" s="1"/>
      <c r="FL62" s="487"/>
      <c r="FM62" s="1"/>
      <c r="FN62" s="487"/>
      <c r="FO62" s="1"/>
      <c r="FP62" s="487"/>
      <c r="FQ62" s="1"/>
      <c r="FR62" s="487"/>
      <c r="FS62" s="1"/>
      <c r="FT62" s="487"/>
      <c r="FU62" s="1"/>
      <c r="FV62" s="487"/>
      <c r="FW62" s="1"/>
      <c r="FX62" s="487"/>
      <c r="FY62" s="1"/>
      <c r="FZ62" s="487"/>
      <c r="GA62" s="1"/>
      <c r="GB62" s="487"/>
      <c r="GC62" s="1"/>
      <c r="GD62" s="487"/>
      <c r="GE62" s="1"/>
      <c r="GF62" s="487"/>
      <c r="GG62" s="1"/>
      <c r="GH62" s="487"/>
      <c r="GI62" s="1"/>
      <c r="GJ62" s="487"/>
      <c r="GK62" s="1"/>
      <c r="GL62" s="487"/>
      <c r="GM62" s="1"/>
      <c r="GN62" s="487"/>
      <c r="GO62" s="1"/>
      <c r="GP62" s="487"/>
      <c r="GQ62" s="1"/>
      <c r="GR62" s="487"/>
      <c r="GS62" s="1"/>
      <c r="GT62" s="487"/>
      <c r="GU62" s="1"/>
      <c r="GV62" s="487"/>
      <c r="GW62" s="1"/>
      <c r="GX62" s="487"/>
      <c r="GY62" s="1"/>
      <c r="GZ62" s="487"/>
      <c r="HA62" s="1"/>
      <c r="HB62" s="487"/>
      <c r="HC62" s="1"/>
      <c r="HD62" s="487"/>
      <c r="HE62" s="1"/>
      <c r="HF62" s="487"/>
      <c r="HG62" s="1"/>
      <c r="HH62" s="487"/>
      <c r="HI62" s="1"/>
      <c r="HJ62" s="487"/>
      <c r="HK62" s="1"/>
      <c r="HL62" s="487"/>
      <c r="HM62" s="1"/>
      <c r="HN62" s="487"/>
      <c r="HO62" s="1"/>
      <c r="HP62" s="487"/>
      <c r="HQ62" s="1"/>
      <c r="HR62" s="487">
        <v>16.81666666666667</v>
      </c>
      <c r="HS62" s="1">
        <v>0.75</v>
      </c>
      <c r="HT62" s="487">
        <v>-45.666666666666664</v>
      </c>
      <c r="HU62" s="1">
        <v>0.16666666666666666</v>
      </c>
      <c r="HV62" s="487">
        <v>-11.100000000000001</v>
      </c>
      <c r="HW62" s="1">
        <v>0</v>
      </c>
      <c r="HX62" s="487"/>
      <c r="HY62" s="1"/>
      <c r="HZ62" s="487">
        <v>-54.766666666666666</v>
      </c>
      <c r="IA62" s="1">
        <v>0.14285714285714285</v>
      </c>
      <c r="IB62" s="487">
        <v>8.8000000000000007</v>
      </c>
      <c r="IC62" s="1">
        <v>0.4</v>
      </c>
      <c r="ID62" s="487">
        <v>4.1500000000000004</v>
      </c>
      <c r="IE62" s="1">
        <v>0.75</v>
      </c>
      <c r="IF62" s="487"/>
      <c r="IG62" s="1"/>
      <c r="IH62" s="487">
        <v>7.0000000000000009</v>
      </c>
      <c r="II62" s="1">
        <v>1</v>
      </c>
      <c r="IJ62" s="487"/>
      <c r="IK62" s="1"/>
      <c r="IL62" s="487">
        <v>-3.7333333333333316</v>
      </c>
      <c r="IM62" s="1">
        <v>0.4</v>
      </c>
      <c r="IN62" s="487">
        <v>6.3666666666666663</v>
      </c>
      <c r="IO62" s="1">
        <v>0.5</v>
      </c>
      <c r="IP62" s="487">
        <v>16.716666666666665</v>
      </c>
      <c r="IQ62" s="1">
        <v>0.75</v>
      </c>
      <c r="IR62" s="487">
        <v>7.5</v>
      </c>
      <c r="IS62" s="1">
        <v>1</v>
      </c>
      <c r="IT62" s="487">
        <v>14.433333333333334</v>
      </c>
      <c r="IU62" s="1">
        <v>1</v>
      </c>
      <c r="IV62" s="487">
        <v>-0.11666666666666567</v>
      </c>
      <c r="IW62" s="1">
        <v>0.5</v>
      </c>
      <c r="IX62" s="487">
        <v>-10.133333333333335</v>
      </c>
      <c r="IY62" s="1">
        <v>0</v>
      </c>
      <c r="IZ62" s="487">
        <v>22.716666666666665</v>
      </c>
      <c r="JA62" s="1">
        <v>1</v>
      </c>
      <c r="JB62" s="487">
        <v>25.8</v>
      </c>
      <c r="JC62" s="1">
        <v>1</v>
      </c>
      <c r="JD62" s="487">
        <v>7.0166666666666666</v>
      </c>
      <c r="JE62" s="1">
        <v>1</v>
      </c>
      <c r="JF62" s="487">
        <v>-4.6500000000000004</v>
      </c>
      <c r="JG62" s="1">
        <v>0</v>
      </c>
      <c r="JH62" s="487">
        <v>-0.63333333333333341</v>
      </c>
      <c r="JI62" s="1">
        <v>0</v>
      </c>
      <c r="JJ62" s="487">
        <v>12.4</v>
      </c>
      <c r="JK62" s="1">
        <v>0.8</v>
      </c>
      <c r="JL62" s="487">
        <v>3.4499999999999997</v>
      </c>
      <c r="JM62" s="1">
        <v>1</v>
      </c>
      <c r="JN62" s="487"/>
      <c r="JO62" s="1"/>
      <c r="JP62" s="487">
        <v>9.1999999999999993</v>
      </c>
      <c r="JQ62" s="1">
        <v>0.75</v>
      </c>
      <c r="JR62" s="487"/>
      <c r="JS62" s="1"/>
      <c r="JT62" s="487">
        <v>20.933333333333334</v>
      </c>
      <c r="JU62" s="1">
        <v>1</v>
      </c>
      <c r="JV62" s="487">
        <v>14.333333333333334</v>
      </c>
      <c r="JW62" s="1">
        <v>1</v>
      </c>
      <c r="JX62" s="487">
        <v>14.866666666666667</v>
      </c>
      <c r="JY62" s="1">
        <v>1</v>
      </c>
      <c r="JZ62" s="487">
        <v>15.616666666666665</v>
      </c>
      <c r="KA62" s="1">
        <v>1</v>
      </c>
      <c r="KB62" s="487">
        <v>8.1833333333333336</v>
      </c>
      <c r="KC62" s="1">
        <v>1</v>
      </c>
      <c r="KD62" s="487">
        <v>2.0166666666666666</v>
      </c>
      <c r="KE62" s="1">
        <v>1</v>
      </c>
      <c r="KF62" s="487">
        <v>7.9333333333333336</v>
      </c>
      <c r="KG62" s="1">
        <v>0.5</v>
      </c>
      <c r="KH62" s="487">
        <v>7.0166666666666666</v>
      </c>
      <c r="KI62" s="1">
        <v>1</v>
      </c>
      <c r="KJ62" s="487">
        <v>-7.1666666666666696</v>
      </c>
      <c r="KK62" s="1">
        <v>0.42857142857142855</v>
      </c>
      <c r="KL62" s="487">
        <v>21.516666666666669</v>
      </c>
      <c r="KM62" s="1">
        <v>1</v>
      </c>
      <c r="KN62" s="487">
        <v>27.983333333333334</v>
      </c>
      <c r="KO62" s="1">
        <v>0.8571428571428571</v>
      </c>
      <c r="KP62" s="487"/>
      <c r="KQ62" s="1"/>
      <c r="KR62" s="487">
        <v>-27.15</v>
      </c>
      <c r="KS62" s="1">
        <v>0.25</v>
      </c>
      <c r="KT62" s="487"/>
      <c r="KU62" s="1"/>
      <c r="KV62" s="487">
        <v>-29.61666666666666</v>
      </c>
      <c r="KW62" s="1">
        <v>0.6</v>
      </c>
      <c r="KX62" s="487"/>
      <c r="KY62" s="1"/>
      <c r="KZ62" s="487">
        <v>7.0333333333333332</v>
      </c>
      <c r="LA62" s="1">
        <v>1</v>
      </c>
      <c r="LB62" s="487">
        <v>5.3500000000000005</v>
      </c>
      <c r="LC62" s="1">
        <v>0.66666666666666663</v>
      </c>
      <c r="LD62" s="487">
        <v>5.9833333333333334</v>
      </c>
      <c r="LE62" s="1">
        <v>0.83333333333333337</v>
      </c>
      <c r="LF62" s="487"/>
      <c r="LG62" s="1"/>
      <c r="LH62" s="487">
        <v>-6.8666666666666645</v>
      </c>
      <c r="LI62" s="1">
        <v>0.66666666666666663</v>
      </c>
      <c r="LJ62" s="487"/>
      <c r="LK62" s="1"/>
      <c r="LL62" s="487">
        <v>1.9500000000000015</v>
      </c>
      <c r="LM62" s="1">
        <v>0.66666666666666663</v>
      </c>
      <c r="LN62" s="487">
        <v>-15.533333333333335</v>
      </c>
      <c r="LO62" s="1">
        <v>0.33333333333333331</v>
      </c>
      <c r="LP62" s="487">
        <v>-32.900000000000006</v>
      </c>
      <c r="LQ62" s="1">
        <v>0.5</v>
      </c>
      <c r="LR62" s="487"/>
      <c r="LS62" s="1"/>
      <c r="LT62" s="487">
        <v>-19.833333333333336</v>
      </c>
      <c r="LU62" s="1">
        <v>0.5</v>
      </c>
      <c r="LV62" s="487">
        <v>-7.5666666666666673</v>
      </c>
      <c r="LW62" s="1">
        <v>0</v>
      </c>
      <c r="LX62" s="487">
        <v>-43.150000000000006</v>
      </c>
      <c r="LY62" s="1">
        <v>0.33333333333333331</v>
      </c>
      <c r="LZ62" s="487">
        <v>-8.9166666666666661</v>
      </c>
      <c r="MA62" s="1">
        <v>0.5</v>
      </c>
      <c r="MB62" s="487">
        <v>-3.4999999999999996</v>
      </c>
      <c r="MC62" s="1">
        <v>0.6</v>
      </c>
      <c r="MD62" s="487"/>
      <c r="ME62" s="1"/>
      <c r="MF62" s="487">
        <v>15.133333333333331</v>
      </c>
      <c r="MG62" s="1">
        <v>1</v>
      </c>
      <c r="MH62" s="487">
        <v>35.083333333333336</v>
      </c>
      <c r="MI62" s="1">
        <v>1</v>
      </c>
      <c r="MJ62" s="487">
        <v>-40.11666666666666</v>
      </c>
      <c r="MK62" s="1">
        <v>0.42857142857142855</v>
      </c>
      <c r="ML62" s="487">
        <v>12.95</v>
      </c>
      <c r="MM62" s="1">
        <v>0.75</v>
      </c>
      <c r="MN62" s="487">
        <v>-13.650000000000002</v>
      </c>
      <c r="MO62" s="1">
        <v>0.66666666666666663</v>
      </c>
      <c r="MP62" s="487">
        <v>36.183333333333344</v>
      </c>
      <c r="MQ62" s="1">
        <v>0.88888888888888884</v>
      </c>
      <c r="MR62" s="487">
        <v>11.100000000000001</v>
      </c>
      <c r="MS62" s="1">
        <v>0.75</v>
      </c>
      <c r="MT62" s="487">
        <v>-18.183333333333334</v>
      </c>
      <c r="MU62" s="1">
        <v>0.5</v>
      </c>
      <c r="MV62" s="487">
        <v>3.55</v>
      </c>
      <c r="MW62" s="1">
        <v>0.66666666666666663</v>
      </c>
      <c r="MX62" s="487">
        <v>6.666666666666525E-2</v>
      </c>
      <c r="MY62" s="1">
        <v>0.75</v>
      </c>
      <c r="MZ62" s="487">
        <v>-41.166666666666671</v>
      </c>
      <c r="NA62" s="1">
        <v>0.44444444444444442</v>
      </c>
      <c r="NB62" s="487">
        <v>-55.733333333333341</v>
      </c>
      <c r="NC62" s="1">
        <v>0.2</v>
      </c>
      <c r="ND62" s="487"/>
      <c r="NE62" s="1"/>
      <c r="NF62" s="487">
        <v>-42.966666666666669</v>
      </c>
      <c r="NG62" s="1">
        <v>0.5</v>
      </c>
      <c r="NH62" s="487">
        <v>-42.966666666666669</v>
      </c>
      <c r="NI62" s="1">
        <v>0.5</v>
      </c>
      <c r="NJ62" s="487">
        <v>-36.783333333333324</v>
      </c>
      <c r="NK62" s="1">
        <v>0.6</v>
      </c>
      <c r="NL62" s="487">
        <v>-33.75</v>
      </c>
      <c r="NM62" s="1">
        <v>0.25</v>
      </c>
      <c r="NN62" s="487"/>
      <c r="NO62" s="1"/>
      <c r="NP62" s="487">
        <v>-58.283333333333346</v>
      </c>
      <c r="NQ62" s="1">
        <v>0.375</v>
      </c>
      <c r="NR62" s="487">
        <v>-83.666666666666671</v>
      </c>
      <c r="NS62" s="1">
        <v>0.36363636363636365</v>
      </c>
      <c r="NT62" s="487">
        <v>-18.7</v>
      </c>
      <c r="NU62" s="1">
        <v>0.66666666666666663</v>
      </c>
      <c r="NV62" s="487">
        <v>14.016666666666667</v>
      </c>
      <c r="NW62" s="1">
        <v>1</v>
      </c>
      <c r="NX62" s="487">
        <v>4.666666666666667</v>
      </c>
      <c r="NY62" s="1">
        <v>0.66666666666666663</v>
      </c>
      <c r="NZ62" s="487">
        <v>-23.516666666666673</v>
      </c>
      <c r="OA62" s="1">
        <v>0.4</v>
      </c>
      <c r="OB62" s="487">
        <v>21.466666666666669</v>
      </c>
      <c r="OC62" s="1">
        <v>1</v>
      </c>
      <c r="OD62" s="487">
        <v>-3.4666666666666668</v>
      </c>
      <c r="OE62" s="1">
        <v>0.66666666666666663</v>
      </c>
      <c r="OF62" s="487">
        <v>-21.6</v>
      </c>
      <c r="OG62" s="1">
        <v>0</v>
      </c>
      <c r="OH62" s="487">
        <v>-35.31666666666667</v>
      </c>
      <c r="OI62" s="1">
        <v>0.25</v>
      </c>
      <c r="OJ62" s="487"/>
      <c r="OK62" s="1"/>
      <c r="OL62" s="487">
        <v>-3.2666666666666684</v>
      </c>
      <c r="OM62" s="1">
        <v>0.625</v>
      </c>
      <c r="ON62" s="487"/>
      <c r="OO62" s="1"/>
      <c r="OP62" s="487">
        <v>-45.750000000000007</v>
      </c>
      <c r="OQ62" s="1">
        <v>0.4</v>
      </c>
      <c r="OR62" s="487"/>
      <c r="OS62" s="1"/>
      <c r="OT62" s="487">
        <v>-16.283333333333335</v>
      </c>
      <c r="OU62" s="1">
        <v>0.5</v>
      </c>
      <c r="OV62" s="487"/>
      <c r="OW62" s="1"/>
      <c r="OX62" s="487">
        <v>-6.95</v>
      </c>
      <c r="OY62" s="1">
        <v>0.42857142857142855</v>
      </c>
      <c r="OZ62" s="487">
        <v>3.666666666666667</v>
      </c>
      <c r="PA62" s="1">
        <v>0.66666666666666663</v>
      </c>
      <c r="PB62" s="487">
        <v>-36.633333333333333</v>
      </c>
      <c r="PC62" s="1">
        <v>0.5</v>
      </c>
      <c r="PD62" s="487">
        <v>-10.783333333333331</v>
      </c>
      <c r="PE62" s="1">
        <v>0.5714285714285714</v>
      </c>
      <c r="PF62" s="487">
        <v>9.8000000000000025</v>
      </c>
      <c r="PG62" s="1">
        <v>0.5</v>
      </c>
      <c r="PH62" s="487">
        <v>14.383333333333333</v>
      </c>
      <c r="PI62" s="1">
        <v>1</v>
      </c>
      <c r="PJ62" s="487"/>
      <c r="PK62" s="1"/>
      <c r="PL62" s="487">
        <v>-7.9499999999999993</v>
      </c>
      <c r="PM62" s="1">
        <v>0.66666666666666663</v>
      </c>
      <c r="PN62" s="487">
        <v>10.299999999999999</v>
      </c>
      <c r="PO62" s="1">
        <v>0.6</v>
      </c>
      <c r="PP62" s="487">
        <v>-23.749999999999996</v>
      </c>
      <c r="PQ62" s="1">
        <v>0.625</v>
      </c>
      <c r="PR62" s="487">
        <v>-58.833333333333357</v>
      </c>
      <c r="PS62" s="1">
        <v>0.33333333333333331</v>
      </c>
      <c r="PT62" s="487">
        <v>21.016666666666666</v>
      </c>
      <c r="PU62" s="1">
        <v>1</v>
      </c>
      <c r="PV62" s="487">
        <v>-42.433333333333337</v>
      </c>
      <c r="PW62" s="1">
        <v>0.25</v>
      </c>
      <c r="PX62" s="487">
        <v>0.7333333333333355</v>
      </c>
      <c r="PY62" s="1">
        <v>0.7142857142857143</v>
      </c>
      <c r="PZ62" s="487"/>
      <c r="QA62" s="1"/>
      <c r="QB62" s="487">
        <v>-46.316666666666677</v>
      </c>
      <c r="QC62" s="1">
        <v>0.6</v>
      </c>
      <c r="QD62" s="487">
        <v>-58.05</v>
      </c>
      <c r="QE62" s="1">
        <v>0.54545454545454541</v>
      </c>
      <c r="QF62" s="487">
        <v>-80.533333333333346</v>
      </c>
      <c r="QG62" s="1">
        <v>0.44444444444444442</v>
      </c>
      <c r="QH62" s="487">
        <v>20.6</v>
      </c>
      <c r="QI62" s="1">
        <v>0.83333333333333337</v>
      </c>
      <c r="QJ62" s="487">
        <v>9.5</v>
      </c>
      <c r="QK62" s="1">
        <v>0.77777777777777779</v>
      </c>
      <c r="QL62" s="487">
        <v>8.6666666666666696</v>
      </c>
      <c r="QM62" s="1">
        <v>0.7142857142857143</v>
      </c>
      <c r="QN62" s="487">
        <v>-12.949999999999996</v>
      </c>
      <c r="QO62" s="1">
        <v>0.58333333333333337</v>
      </c>
      <c r="QP62" s="487">
        <v>42.93333333333333</v>
      </c>
      <c r="QQ62" s="1">
        <v>1</v>
      </c>
      <c r="QR62" s="487">
        <v>-15.866666666666667</v>
      </c>
      <c r="QS62" s="1">
        <v>0.5</v>
      </c>
      <c r="QT62" s="487">
        <v>-43.733333333333327</v>
      </c>
      <c r="QU62" s="1">
        <v>0.375</v>
      </c>
      <c r="QV62" s="487">
        <v>24.583333333333336</v>
      </c>
      <c r="QW62" s="1">
        <v>0.75</v>
      </c>
      <c r="QX62" s="487">
        <v>-12.450000000000001</v>
      </c>
      <c r="QY62" s="1">
        <v>0.33333333333333331</v>
      </c>
      <c r="QZ62" s="487"/>
      <c r="RA62" s="1"/>
      <c r="RB62" s="487">
        <v>7.8166666666666673</v>
      </c>
      <c r="RC62" s="1">
        <v>0.55555555555555558</v>
      </c>
      <c r="RD62" s="487">
        <v>-33.783333333333331</v>
      </c>
      <c r="RE62" s="1">
        <v>0.5</v>
      </c>
      <c r="RF62" s="487">
        <v>21.316666666666666</v>
      </c>
      <c r="RG62" s="1">
        <v>1</v>
      </c>
      <c r="RH62" s="487">
        <v>-65.183333333333337</v>
      </c>
      <c r="RI62" s="1">
        <v>0.2</v>
      </c>
      <c r="RJ62" s="487">
        <v>50.633333333333333</v>
      </c>
      <c r="RK62" s="1">
        <v>1</v>
      </c>
      <c r="RL62" s="487"/>
      <c r="RM62" s="1"/>
      <c r="RN62" s="487">
        <v>22.683333333333334</v>
      </c>
      <c r="RO62" s="1">
        <v>0.7</v>
      </c>
      <c r="RP62" s="487">
        <v>24.650000000000002</v>
      </c>
      <c r="RQ62" s="1">
        <v>0.83333333333333337</v>
      </c>
      <c r="RR62" s="487"/>
      <c r="RS62" s="1"/>
      <c r="RT62" s="487">
        <v>10.950000000000005</v>
      </c>
      <c r="RU62" s="1">
        <v>0.6</v>
      </c>
      <c r="RV62" s="487">
        <v>-61.550000000000004</v>
      </c>
      <c r="RW62" s="1">
        <v>0.42857142857142855</v>
      </c>
      <c r="RX62" s="487">
        <v>-32.883333333333333</v>
      </c>
      <c r="RY62" s="1">
        <v>0.5714285714285714</v>
      </c>
      <c r="RZ62" s="487">
        <v>-84.233333333333334</v>
      </c>
      <c r="SA62" s="1">
        <v>0.33333333333333331</v>
      </c>
      <c r="SB62" s="487">
        <v>36.13333333333334</v>
      </c>
      <c r="SC62" s="1">
        <v>1</v>
      </c>
      <c r="SD62" s="487"/>
      <c r="SE62" s="1"/>
      <c r="SF62" s="487"/>
      <c r="SG62" s="1"/>
      <c r="SH62" s="487">
        <v>-47.2</v>
      </c>
      <c r="SI62" s="1">
        <v>0.16666666666666666</v>
      </c>
      <c r="SJ62" s="487">
        <v>-9.8500000000000014</v>
      </c>
      <c r="SK62" s="1">
        <v>0.6428571428571429</v>
      </c>
      <c r="SL62" s="487">
        <v>15.783333333333335</v>
      </c>
      <c r="SM62" s="1">
        <v>1</v>
      </c>
      <c r="SN62" s="487">
        <v>19.616666666666667</v>
      </c>
      <c r="SO62" s="1">
        <v>0.8</v>
      </c>
      <c r="SP62" s="487">
        <v>-35.1</v>
      </c>
      <c r="SQ62" s="1">
        <v>0.33333333333333331</v>
      </c>
      <c r="SR62" s="487">
        <v>-14.633333333333333</v>
      </c>
      <c r="SS62" s="1">
        <v>0.25</v>
      </c>
      <c r="ST62" s="487">
        <v>13.899999999999991</v>
      </c>
      <c r="SU62" s="1">
        <v>0.5625</v>
      </c>
      <c r="SV62" s="487">
        <v>-26.083333333333339</v>
      </c>
      <c r="SW62" s="1">
        <v>0.30769230769230771</v>
      </c>
      <c r="SX62" s="487"/>
      <c r="SY62" s="1"/>
      <c r="SZ62" s="487">
        <v>-65.2</v>
      </c>
      <c r="TA62" s="1">
        <v>0.375</v>
      </c>
      <c r="TB62" s="487">
        <v>-34.316666666666677</v>
      </c>
      <c r="TC62" s="1">
        <v>0.25</v>
      </c>
      <c r="TD62" s="487">
        <v>-1.8333333333333299</v>
      </c>
      <c r="TE62" s="1">
        <v>0.7142857142857143</v>
      </c>
      <c r="TF62" s="487">
        <v>1.2333333333333323</v>
      </c>
      <c r="TG62" s="1">
        <v>0.5</v>
      </c>
      <c r="TH62" s="488">
        <v>18.666666666666668</v>
      </c>
      <c r="TI62" s="1">
        <v>1</v>
      </c>
      <c r="TJ62" s="489">
        <v>-28.750000000000007</v>
      </c>
      <c r="TK62" s="1">
        <v>0.6</v>
      </c>
      <c r="TL62" s="490">
        <v>-19.333333333333332</v>
      </c>
      <c r="TM62" s="1">
        <v>0.5714285714285714</v>
      </c>
      <c r="TN62" s="495"/>
      <c r="TO62" s="1"/>
      <c r="TP62" s="500">
        <v>-19.600000000000005</v>
      </c>
      <c r="TQ62" s="1">
        <v>0.54545454545454541</v>
      </c>
      <c r="TR62" s="511">
        <v>-24.016666666666662</v>
      </c>
      <c r="TS62" s="1">
        <v>0.4</v>
      </c>
      <c r="TT62" s="515">
        <v>-33.033333333333339</v>
      </c>
      <c r="TU62" s="1">
        <v>0.375</v>
      </c>
      <c r="TV62" s="518">
        <v>-41.36666666666666</v>
      </c>
      <c r="TW62" s="1">
        <v>0.5</v>
      </c>
      <c r="TX62" s="521">
        <v>-33.633333333333333</v>
      </c>
      <c r="TY62" s="1">
        <v>0.375</v>
      </c>
      <c r="TZ62" s="524">
        <v>-27.583333333333329</v>
      </c>
      <c r="UA62" s="1">
        <v>0.2857142857142857</v>
      </c>
      <c r="UB62" s="527">
        <v>-6.0833333333333321</v>
      </c>
      <c r="UC62" s="1">
        <v>0.5</v>
      </c>
      <c r="UD62" s="530">
        <v>0.84999999999999964</v>
      </c>
      <c r="UE62" s="1">
        <v>0.4</v>
      </c>
      <c r="UF62" s="533">
        <v>22.383333333333333</v>
      </c>
      <c r="UG62" s="1">
        <v>1</v>
      </c>
      <c r="UH62" s="536">
        <v>33.06666666666667</v>
      </c>
      <c r="UI62" s="1">
        <v>1</v>
      </c>
      <c r="UJ62" s="539"/>
      <c r="UK62" s="1"/>
      <c r="UL62" s="540">
        <v>-12.850000000000001</v>
      </c>
      <c r="UM62" s="1">
        <v>0.55555555555555558</v>
      </c>
      <c r="UN62" s="543">
        <v>16.516666666666669</v>
      </c>
      <c r="UO62" s="1">
        <v>0.75</v>
      </c>
      <c r="UP62" s="544">
        <v>36.000000000000007</v>
      </c>
      <c r="UQ62" s="1">
        <v>1</v>
      </c>
      <c r="UR62" s="551">
        <v>-20.95</v>
      </c>
      <c r="US62" s="1">
        <v>0.5</v>
      </c>
      <c r="UT62" s="551">
        <v>39.366666666666667</v>
      </c>
      <c r="UU62" s="1">
        <v>1</v>
      </c>
      <c r="UV62" s="562">
        <v>-19.266666666666673</v>
      </c>
      <c r="UW62" s="1">
        <v>0.66666666666666663</v>
      </c>
      <c r="UX62" s="566">
        <v>49.050000000000004</v>
      </c>
      <c r="UY62" s="1">
        <v>0.8</v>
      </c>
      <c r="UZ62" s="568"/>
      <c r="VA62" s="1"/>
      <c r="VB62" s="572">
        <v>7.6833333333333327</v>
      </c>
      <c r="VC62" s="1">
        <v>0.55555555555555558</v>
      </c>
      <c r="VD62" s="576">
        <v>-21.216666666666669</v>
      </c>
      <c r="VE62" s="1">
        <v>0.53846153846153844</v>
      </c>
      <c r="VF62" s="580">
        <v>13.033333333333335</v>
      </c>
      <c r="VG62" s="1">
        <v>0.6</v>
      </c>
      <c r="VH62" s="584">
        <v>18.033333333333335</v>
      </c>
      <c r="VI62" s="1">
        <v>1</v>
      </c>
      <c r="VJ62" s="589">
        <v>-18.116666666666671</v>
      </c>
      <c r="VK62" s="1">
        <v>0.6</v>
      </c>
      <c r="VL62" s="593">
        <v>-51.866666666666667</v>
      </c>
      <c r="VM62" s="1">
        <v>0</v>
      </c>
      <c r="VN62" s="597">
        <v>7.1333333333333337</v>
      </c>
      <c r="VO62" s="1">
        <v>1</v>
      </c>
      <c r="VP62" s="601">
        <v>-107.55000000000001</v>
      </c>
      <c r="VQ62" s="1">
        <v>0.35714285714285715</v>
      </c>
      <c r="VR62" s="603"/>
      <c r="VS62" s="1"/>
      <c r="VT62" s="607">
        <v>-44.233333333333334</v>
      </c>
      <c r="VU62" s="1">
        <v>0.44444444444444442</v>
      </c>
      <c r="VV62" s="609">
        <v>12.833333333333334</v>
      </c>
      <c r="VW62" s="1">
        <v>0.55555555555555558</v>
      </c>
      <c r="VX62" s="613">
        <v>-22.366666666666678</v>
      </c>
      <c r="VY62" s="1">
        <v>0.55555555555555558</v>
      </c>
      <c r="VZ62" s="617">
        <v>-5.5833333333333313</v>
      </c>
      <c r="WA62" s="1">
        <v>0.45454545454545453</v>
      </c>
      <c r="WB62" s="619">
        <v>6.9833333333333343</v>
      </c>
      <c r="WC62" s="1">
        <v>1</v>
      </c>
      <c r="WD62" s="624">
        <v>-59.61666666666666</v>
      </c>
      <c r="WE62" s="1">
        <v>0.5</v>
      </c>
      <c r="WF62" s="626">
        <v>-1.0666666666666706</v>
      </c>
      <c r="WG62" s="1">
        <v>0.7</v>
      </c>
      <c r="WH62" s="630">
        <v>-87.750000000000014</v>
      </c>
      <c r="WI62" s="1">
        <v>0.2857142857142857</v>
      </c>
      <c r="WJ62" s="636">
        <v>-40.349999999999994</v>
      </c>
      <c r="WK62" s="1">
        <v>0.42857142857142855</v>
      </c>
      <c r="WL62" s="638">
        <v>3.9333333333333327</v>
      </c>
      <c r="WM62" s="1">
        <v>0.5</v>
      </c>
      <c r="WN62" s="642">
        <v>24.933333333333334</v>
      </c>
      <c r="WO62" s="1">
        <v>0.875</v>
      </c>
      <c r="WP62" s="646">
        <v>21.633333333333336</v>
      </c>
      <c r="WQ62" s="1">
        <v>1</v>
      </c>
      <c r="WR62" s="652">
        <v>-62.683333333333337</v>
      </c>
      <c r="WS62" s="1">
        <v>0.4</v>
      </c>
      <c r="WT62" s="659">
        <v>-2.4166666666666656</v>
      </c>
      <c r="WU62" s="1">
        <v>0.6</v>
      </c>
      <c r="WV62" s="659">
        <v>4.9499999999999966</v>
      </c>
      <c r="WW62" s="1">
        <v>0.33333333333333331</v>
      </c>
      <c r="WX62" s="672">
        <v>36.833333333333336</v>
      </c>
      <c r="WY62" s="1">
        <v>0.72727272727272729</v>
      </c>
      <c r="WZ62" s="677">
        <v>-66.7</v>
      </c>
      <c r="XA62" s="1">
        <v>0.2</v>
      </c>
      <c r="XB62" s="681">
        <v>9.9</v>
      </c>
      <c r="XC62" s="1">
        <v>0.5714285714285714</v>
      </c>
      <c r="XD62" s="683"/>
      <c r="XE62" s="1"/>
      <c r="XF62" s="687">
        <v>-12.049999999999999</v>
      </c>
      <c r="XG62" s="1">
        <v>0.5714285714285714</v>
      </c>
      <c r="XH62" s="689">
        <v>15.066666666666666</v>
      </c>
      <c r="XI62" s="1">
        <v>0.66666666666666663</v>
      </c>
      <c r="XJ62" s="696"/>
      <c r="XK62" s="1"/>
      <c r="XL62" s="696">
        <v>-1.1499999999999992</v>
      </c>
      <c r="XM62" s="1">
        <v>0.7</v>
      </c>
      <c r="XN62" s="696">
        <v>-37.900000000000006</v>
      </c>
      <c r="XO62" s="1">
        <v>0.61111111111111116</v>
      </c>
      <c r="XP62" s="700">
        <v>4.0000000000000009</v>
      </c>
      <c r="XQ62" s="1">
        <v>0.6</v>
      </c>
      <c r="XR62" s="705">
        <v>-80.533333333333331</v>
      </c>
      <c r="XS62" s="1">
        <v>0.375</v>
      </c>
      <c r="XT62" s="709">
        <v>26.400000000000002</v>
      </c>
      <c r="XU62" s="1">
        <v>0.72727272727272729</v>
      </c>
      <c r="XV62" s="715">
        <v>-15.633333333333333</v>
      </c>
      <c r="XW62" s="1">
        <v>0.38461538461538464</v>
      </c>
    </row>
    <row r="63" spans="2:647" x14ac:dyDescent="0.25">
      <c r="B63" s="755"/>
      <c r="C63" s="756"/>
      <c r="D63" s="765" t="s">
        <v>38</v>
      </c>
      <c r="E63" s="765"/>
      <c r="F63" s="482">
        <v>0.7</v>
      </c>
      <c r="G63" s="475" t="s">
        <v>44</v>
      </c>
      <c r="H63" s="6"/>
      <c r="I63" s="6"/>
      <c r="J63" s="6"/>
      <c r="K63" s="6"/>
      <c r="L63" s="6"/>
      <c r="M63" s="6"/>
      <c r="N63" s="6"/>
      <c r="O63" s="6"/>
      <c r="P63" s="6"/>
      <c r="Q63" s="6"/>
      <c r="R63" s="6"/>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6"/>
      <c r="BX63" s="487"/>
      <c r="BY63" s="1"/>
      <c r="BZ63" s="487"/>
      <c r="CA63" s="1"/>
      <c r="CB63" s="487"/>
      <c r="CC63" s="1"/>
      <c r="CD63" s="487"/>
      <c r="CE63" s="1"/>
      <c r="CF63" s="487"/>
      <c r="CG63" s="1"/>
      <c r="CH63" s="487"/>
      <c r="CI63" s="1"/>
      <c r="CJ63" s="487"/>
      <c r="CK63" s="1"/>
      <c r="CL63" s="487"/>
      <c r="CM63" s="1"/>
      <c r="CN63" s="487"/>
      <c r="CO63" s="1"/>
      <c r="CP63" s="487"/>
      <c r="CQ63" s="1"/>
      <c r="CR63" s="487"/>
      <c r="CS63" s="1"/>
      <c r="CT63" s="487"/>
      <c r="CU63" s="1"/>
      <c r="CV63" s="487"/>
      <c r="CW63" s="1"/>
      <c r="CX63" s="487"/>
      <c r="CY63" s="1"/>
      <c r="CZ63" s="487"/>
      <c r="DA63" s="1"/>
      <c r="DB63" s="487"/>
      <c r="DC63" s="1"/>
      <c r="DD63" s="487"/>
      <c r="DE63" s="1"/>
      <c r="DF63" s="487"/>
      <c r="DG63" s="1"/>
      <c r="DH63" s="487"/>
      <c r="DI63" s="1"/>
      <c r="DJ63" s="487"/>
      <c r="DK63" s="1"/>
      <c r="DL63" s="487"/>
      <c r="DM63" s="1"/>
      <c r="DN63" s="487"/>
      <c r="DO63" s="1"/>
      <c r="DP63" s="487"/>
      <c r="DQ63" s="1"/>
      <c r="DR63" s="487"/>
      <c r="DS63" s="1"/>
      <c r="DT63" s="487"/>
      <c r="DU63" s="1"/>
      <c r="DV63" s="487"/>
      <c r="DW63" s="1"/>
      <c r="DX63" s="487"/>
      <c r="DY63" s="1"/>
      <c r="DZ63" s="487"/>
      <c r="EA63" s="1"/>
      <c r="EB63" s="487"/>
      <c r="EC63" s="1"/>
      <c r="ED63" s="487"/>
      <c r="EE63" s="1"/>
      <c r="EF63" s="487"/>
      <c r="EG63" s="1"/>
      <c r="EH63" s="487"/>
      <c r="EI63" s="1"/>
      <c r="EJ63" s="487"/>
      <c r="EK63" s="1"/>
      <c r="EL63" s="487"/>
      <c r="EM63" s="1"/>
      <c r="EN63" s="487"/>
      <c r="EO63" s="1"/>
      <c r="EP63" s="487"/>
      <c r="EQ63" s="1"/>
      <c r="ER63" s="487"/>
      <c r="ES63" s="1"/>
      <c r="ET63" s="487"/>
      <c r="EU63" s="1"/>
      <c r="EV63" s="487"/>
      <c r="EW63" s="1"/>
      <c r="EX63" s="487"/>
      <c r="EY63" s="1"/>
      <c r="EZ63" s="487"/>
      <c r="FA63" s="1"/>
      <c r="FB63" s="487"/>
      <c r="FC63" s="1"/>
      <c r="FD63" s="487"/>
      <c r="FE63" s="1"/>
      <c r="FF63" s="487"/>
      <c r="FG63" s="1"/>
      <c r="FH63" s="487"/>
      <c r="FI63" s="1"/>
      <c r="FJ63" s="487"/>
      <c r="FK63" s="1"/>
      <c r="FL63" s="487"/>
      <c r="FM63" s="1"/>
      <c r="FN63" s="487"/>
      <c r="FO63" s="1"/>
      <c r="FP63" s="487"/>
      <c r="FQ63" s="1"/>
      <c r="FR63" s="487"/>
      <c r="FS63" s="1"/>
      <c r="FT63" s="487"/>
      <c r="FU63" s="1"/>
      <c r="FV63" s="487"/>
      <c r="FW63" s="1"/>
      <c r="FX63" s="487"/>
      <c r="FY63" s="1"/>
      <c r="FZ63" s="487"/>
      <c r="GA63" s="1"/>
      <c r="GB63" s="487"/>
      <c r="GC63" s="1"/>
      <c r="GD63" s="487"/>
      <c r="GE63" s="1"/>
      <c r="GF63" s="487"/>
      <c r="GG63" s="1"/>
      <c r="GH63" s="487"/>
      <c r="GI63" s="1"/>
      <c r="GJ63" s="487"/>
      <c r="GK63" s="1"/>
      <c r="GL63" s="487"/>
      <c r="GM63" s="1"/>
      <c r="GN63" s="487"/>
      <c r="GO63" s="1"/>
      <c r="GP63" s="487"/>
      <c r="GQ63" s="1"/>
      <c r="GR63" s="487"/>
      <c r="GS63" s="1"/>
      <c r="GT63" s="487"/>
      <c r="GU63" s="1"/>
      <c r="GV63" s="487"/>
      <c r="GW63" s="1"/>
      <c r="GX63" s="487"/>
      <c r="GY63" s="1"/>
      <c r="GZ63" s="487"/>
      <c r="HA63" s="1"/>
      <c r="HB63" s="487"/>
      <c r="HC63" s="1"/>
      <c r="HD63" s="487"/>
      <c r="HE63" s="1"/>
      <c r="HF63" s="487"/>
      <c r="HG63" s="1"/>
      <c r="HH63" s="487"/>
      <c r="HI63" s="1"/>
      <c r="HJ63" s="487"/>
      <c r="HK63" s="1"/>
      <c r="HL63" s="487"/>
      <c r="HM63" s="1"/>
      <c r="HN63" s="487"/>
      <c r="HO63" s="1"/>
      <c r="HP63" s="487">
        <v>-10.000000000000002</v>
      </c>
      <c r="HQ63" s="1">
        <v>0.25</v>
      </c>
      <c r="HR63" s="487">
        <v>13.8</v>
      </c>
      <c r="HS63" s="1">
        <v>0.8</v>
      </c>
      <c r="HT63" s="487">
        <v>-47.485714285714295</v>
      </c>
      <c r="HU63" s="1">
        <v>0.14285714285714285</v>
      </c>
      <c r="HV63" s="487">
        <v>7.0285714285714294</v>
      </c>
      <c r="HW63" s="1">
        <v>1</v>
      </c>
      <c r="HX63" s="487"/>
      <c r="HY63" s="1"/>
      <c r="HZ63" s="487">
        <v>-56.714285714285722</v>
      </c>
      <c r="IA63" s="1">
        <v>0.16666666666666666</v>
      </c>
      <c r="IB63" s="487">
        <v>-25.557142857142853</v>
      </c>
      <c r="IC63" s="1">
        <v>0.16666666666666666</v>
      </c>
      <c r="ID63" s="487">
        <v>1.2</v>
      </c>
      <c r="IE63" s="1">
        <v>0.75</v>
      </c>
      <c r="IF63" s="487"/>
      <c r="IG63" s="1"/>
      <c r="IH63" s="487">
        <v>7.0857142857142863</v>
      </c>
      <c r="II63" s="1">
        <v>1</v>
      </c>
      <c r="IJ63" s="487"/>
      <c r="IK63" s="1"/>
      <c r="IL63" s="487">
        <v>26.857142857142854</v>
      </c>
      <c r="IM63" s="1">
        <v>0.83333333333333337</v>
      </c>
      <c r="IN63" s="487">
        <v>-3.7428571428571433</v>
      </c>
      <c r="IO63" s="1">
        <v>0.4</v>
      </c>
      <c r="IP63" s="487">
        <v>9.8714285714285719</v>
      </c>
      <c r="IQ63" s="1">
        <v>0.66666666666666663</v>
      </c>
      <c r="IR63" s="487">
        <v>-11.171428571428573</v>
      </c>
      <c r="IS63" s="1">
        <v>0.25</v>
      </c>
      <c r="IT63" s="487">
        <v>7.2285714285714286</v>
      </c>
      <c r="IU63" s="1">
        <v>1</v>
      </c>
      <c r="IV63" s="487">
        <v>0.57142857142857195</v>
      </c>
      <c r="IW63" s="1">
        <v>0.5</v>
      </c>
      <c r="IX63" s="487">
        <v>-21.557142857142857</v>
      </c>
      <c r="IY63" s="1">
        <v>0.5</v>
      </c>
      <c r="IZ63" s="487">
        <v>29.414285714285715</v>
      </c>
      <c r="JA63" s="1">
        <v>1</v>
      </c>
      <c r="JB63" s="487">
        <v>32.014285714285712</v>
      </c>
      <c r="JC63" s="1">
        <v>0.75</v>
      </c>
      <c r="JD63" s="487">
        <v>14.142857142857144</v>
      </c>
      <c r="JE63" s="1">
        <v>1</v>
      </c>
      <c r="JF63" s="487">
        <v>1.0142857142857142</v>
      </c>
      <c r="JG63" s="1">
        <v>1</v>
      </c>
      <c r="JH63" s="487">
        <v>7.3571428571428585</v>
      </c>
      <c r="JI63" s="1">
        <v>1</v>
      </c>
      <c r="JJ63" s="487">
        <v>20.300000000000004</v>
      </c>
      <c r="JK63" s="1">
        <v>0.7142857142857143</v>
      </c>
      <c r="JL63" s="487">
        <v>-42.314285714285717</v>
      </c>
      <c r="JM63" s="1">
        <v>0.33333333333333331</v>
      </c>
      <c r="JN63" s="487"/>
      <c r="JO63" s="1"/>
      <c r="JP63" s="487">
        <v>-17.428571428571427</v>
      </c>
      <c r="JQ63" s="1">
        <v>0</v>
      </c>
      <c r="JR63" s="487"/>
      <c r="JS63" s="1"/>
      <c r="JT63" s="487">
        <v>-4.5428571428571427</v>
      </c>
      <c r="JU63" s="1">
        <v>0</v>
      </c>
      <c r="JV63" s="487">
        <v>-26.314285714285713</v>
      </c>
      <c r="JW63" s="1">
        <v>0.33333333333333331</v>
      </c>
      <c r="JX63" s="487">
        <v>14.757142857142858</v>
      </c>
      <c r="JY63" s="1">
        <v>1</v>
      </c>
      <c r="JZ63" s="487">
        <v>-7.8857142857142852</v>
      </c>
      <c r="KA63" s="1">
        <v>0</v>
      </c>
      <c r="KB63" s="487">
        <v>3.8571428571428577</v>
      </c>
      <c r="KC63" s="1">
        <v>0.5</v>
      </c>
      <c r="KD63" s="487">
        <v>-0.47142857142857092</v>
      </c>
      <c r="KE63" s="1">
        <v>0.66666666666666663</v>
      </c>
      <c r="KF63" s="487">
        <v>4.3571428571428568</v>
      </c>
      <c r="KG63" s="1">
        <v>0.4</v>
      </c>
      <c r="KH63" s="487">
        <v>20.142857142857142</v>
      </c>
      <c r="KI63" s="1">
        <v>0.75</v>
      </c>
      <c r="KJ63" s="487">
        <v>18.385714285714286</v>
      </c>
      <c r="KK63" s="1">
        <v>0.6</v>
      </c>
      <c r="KL63" s="487">
        <v>14.942857142857145</v>
      </c>
      <c r="KM63" s="1">
        <v>0.66666666666666663</v>
      </c>
      <c r="KN63" s="487">
        <v>8.9428571428571413</v>
      </c>
      <c r="KO63" s="1">
        <v>0.625</v>
      </c>
      <c r="KP63" s="487"/>
      <c r="KQ63" s="1"/>
      <c r="KR63" s="487">
        <v>-2.471428571428572</v>
      </c>
      <c r="KS63" s="1">
        <v>0.66666666666666663</v>
      </c>
      <c r="KT63" s="487"/>
      <c r="KU63" s="1"/>
      <c r="KV63" s="487">
        <v>-53.528571428571418</v>
      </c>
      <c r="KW63" s="1">
        <v>0.375</v>
      </c>
      <c r="KX63" s="487">
        <v>14.185714285714287</v>
      </c>
      <c r="KY63" s="1">
        <v>1</v>
      </c>
      <c r="KZ63" s="487">
        <v>14.442857142857143</v>
      </c>
      <c r="LA63" s="1">
        <v>1</v>
      </c>
      <c r="LB63" s="487">
        <v>-1.7857142857142858</v>
      </c>
      <c r="LC63" s="1">
        <v>0.5</v>
      </c>
      <c r="LD63" s="487">
        <v>7.0000000000000009</v>
      </c>
      <c r="LE63" s="1">
        <v>1</v>
      </c>
      <c r="LF63" s="487"/>
      <c r="LG63" s="1"/>
      <c r="LH63" s="487">
        <v>-34.128571428571433</v>
      </c>
      <c r="LI63" s="1">
        <v>0.4</v>
      </c>
      <c r="LJ63" s="487"/>
      <c r="LK63" s="1"/>
      <c r="LL63" s="487">
        <v>22.242857142857144</v>
      </c>
      <c r="LM63" s="1">
        <v>0.83333333333333337</v>
      </c>
      <c r="LN63" s="487">
        <v>-11.557142857142857</v>
      </c>
      <c r="LO63" s="1">
        <v>0.5</v>
      </c>
      <c r="LP63" s="487">
        <v>15.75714285714286</v>
      </c>
      <c r="LQ63" s="1">
        <v>1</v>
      </c>
      <c r="LR63" s="487"/>
      <c r="LS63" s="1"/>
      <c r="LT63" s="487">
        <v>4.7142857142857144</v>
      </c>
      <c r="LU63" s="1">
        <v>0.66666666666666663</v>
      </c>
      <c r="LV63" s="487">
        <v>-7.6714285714285717</v>
      </c>
      <c r="LW63" s="1">
        <v>0</v>
      </c>
      <c r="LX63" s="487">
        <v>-42.742857142857147</v>
      </c>
      <c r="LY63" s="1">
        <v>0.33333333333333331</v>
      </c>
      <c r="LZ63" s="487">
        <v>-9.3142857142857149</v>
      </c>
      <c r="MA63" s="1">
        <v>0.5</v>
      </c>
      <c r="MB63" s="487">
        <v>-2.6571428571428592</v>
      </c>
      <c r="MC63" s="1">
        <v>0.6</v>
      </c>
      <c r="MD63" s="487"/>
      <c r="ME63" s="1"/>
      <c r="MF63" s="487">
        <v>7.9571428571428582</v>
      </c>
      <c r="MG63" s="1">
        <v>1</v>
      </c>
      <c r="MH63" s="487">
        <v>35.442857142857143</v>
      </c>
      <c r="MI63" s="1">
        <v>1</v>
      </c>
      <c r="MJ63" s="487">
        <v>-19.657142857142858</v>
      </c>
      <c r="MK63" s="1">
        <v>0.5</v>
      </c>
      <c r="ML63" s="487">
        <v>14.214285714285714</v>
      </c>
      <c r="MM63" s="1">
        <v>1</v>
      </c>
      <c r="MN63" s="487">
        <v>-2.5571428571428574</v>
      </c>
      <c r="MO63" s="1">
        <v>0.5</v>
      </c>
      <c r="MP63" s="487">
        <v>-1.6571428571428599</v>
      </c>
      <c r="MQ63" s="1">
        <v>0.75</v>
      </c>
      <c r="MR63" s="487">
        <v>49.20000000000001</v>
      </c>
      <c r="MS63" s="1">
        <v>1</v>
      </c>
      <c r="MT63" s="487">
        <v>-67.728571428571442</v>
      </c>
      <c r="MU63" s="1">
        <v>0.2857142857142857</v>
      </c>
      <c r="MV63" s="487">
        <v>15.142857142857146</v>
      </c>
      <c r="MW63" s="1">
        <v>1</v>
      </c>
      <c r="MX63" s="487">
        <v>0.25714285714285673</v>
      </c>
      <c r="MY63" s="1">
        <v>0.75</v>
      </c>
      <c r="MZ63" s="487">
        <v>-40.971428571428575</v>
      </c>
      <c r="NA63" s="1">
        <v>0.42857142857142855</v>
      </c>
      <c r="NB63" s="487">
        <v>-53.542857142857144</v>
      </c>
      <c r="NC63" s="1">
        <v>0</v>
      </c>
      <c r="ND63" s="487"/>
      <c r="NE63" s="1"/>
      <c r="NF63" s="487">
        <v>19.328571428571426</v>
      </c>
      <c r="NG63" s="1">
        <v>0.83333333333333337</v>
      </c>
      <c r="NH63" s="487">
        <v>19.328571428571426</v>
      </c>
      <c r="NI63" s="1">
        <v>0.83333333333333337</v>
      </c>
      <c r="NJ63" s="487">
        <v>-4.8000000000000043</v>
      </c>
      <c r="NK63" s="1">
        <v>0.7142857142857143</v>
      </c>
      <c r="NL63" s="487">
        <v>-21.75714285714286</v>
      </c>
      <c r="NM63" s="1">
        <v>0.5</v>
      </c>
      <c r="NN63" s="487"/>
      <c r="NO63" s="1"/>
      <c r="NP63" s="487">
        <v>-42.085714285714289</v>
      </c>
      <c r="NQ63" s="1">
        <v>0.25</v>
      </c>
      <c r="NR63" s="487">
        <v>-6.6999999999999993</v>
      </c>
      <c r="NS63" s="1">
        <v>0.6</v>
      </c>
      <c r="NT63" s="487">
        <v>-31.528571428571432</v>
      </c>
      <c r="NU63" s="1">
        <v>0</v>
      </c>
      <c r="NV63" s="487">
        <v>-2.2999999999999994</v>
      </c>
      <c r="NW63" s="1">
        <v>0.75</v>
      </c>
      <c r="NX63" s="487">
        <v>-2.7714285714285709</v>
      </c>
      <c r="NY63" s="1">
        <v>0.5</v>
      </c>
      <c r="NZ63" s="487">
        <v>22.685714285714287</v>
      </c>
      <c r="OA63" s="1">
        <v>0.66666666666666663</v>
      </c>
      <c r="OB63" s="487">
        <v>13.8</v>
      </c>
      <c r="OC63" s="1">
        <v>0.66666666666666663</v>
      </c>
      <c r="OD63" s="487">
        <v>7.9571428571428582</v>
      </c>
      <c r="OE63" s="1">
        <v>1</v>
      </c>
      <c r="OF63" s="487">
        <v>-14.185714285714287</v>
      </c>
      <c r="OG63" s="1">
        <v>0.5</v>
      </c>
      <c r="OH63" s="487">
        <v>-8.1428571428571441</v>
      </c>
      <c r="OI63" s="1">
        <v>0</v>
      </c>
      <c r="OJ63" s="487"/>
      <c r="OK63" s="1"/>
      <c r="OL63" s="487">
        <v>-6.4571428571428573</v>
      </c>
      <c r="OM63" s="1">
        <v>0.6</v>
      </c>
      <c r="ON63" s="487"/>
      <c r="OO63" s="1"/>
      <c r="OP63" s="487">
        <v>-62.085714285714289</v>
      </c>
      <c r="OQ63" s="1">
        <v>0</v>
      </c>
      <c r="OR63" s="487"/>
      <c r="OS63" s="1"/>
      <c r="OT63" s="487">
        <v>-16.585714285714289</v>
      </c>
      <c r="OU63" s="1">
        <v>0.5</v>
      </c>
      <c r="OV63" s="487"/>
      <c r="OW63" s="1"/>
      <c r="OX63" s="487">
        <v>0.64285714285714446</v>
      </c>
      <c r="OY63" s="1">
        <v>0.5</v>
      </c>
      <c r="OZ63" s="487">
        <v>0.4999999999999995</v>
      </c>
      <c r="PA63" s="1">
        <v>0.66666666666666663</v>
      </c>
      <c r="PB63" s="487">
        <v>-12.142857142857144</v>
      </c>
      <c r="PC63" s="1">
        <v>0.5714285714285714</v>
      </c>
      <c r="PD63" s="487">
        <v>-25.785714285714285</v>
      </c>
      <c r="PE63" s="1">
        <v>0.625</v>
      </c>
      <c r="PF63" s="487">
        <v>-18.671428571428574</v>
      </c>
      <c r="PG63" s="1">
        <v>0.33333333333333331</v>
      </c>
      <c r="PH63" s="487">
        <v>14.585714285714287</v>
      </c>
      <c r="PI63" s="1">
        <v>1</v>
      </c>
      <c r="PJ63" s="487"/>
      <c r="PK63" s="1"/>
      <c r="PL63" s="487">
        <v>14.357142857142859</v>
      </c>
      <c r="PM63" s="1">
        <v>1</v>
      </c>
      <c r="PN63" s="487">
        <v>5.5285714285714302</v>
      </c>
      <c r="PO63" s="1">
        <v>0.66666666666666663</v>
      </c>
      <c r="PP63" s="487">
        <v>-14.214285714285719</v>
      </c>
      <c r="PQ63" s="1">
        <v>0.625</v>
      </c>
      <c r="PR63" s="487">
        <v>-48.100000000000009</v>
      </c>
      <c r="PS63" s="1">
        <v>0.4</v>
      </c>
      <c r="PT63" s="487">
        <v>7.1142857142857157</v>
      </c>
      <c r="PU63" s="1">
        <v>1</v>
      </c>
      <c r="PV63" s="487">
        <v>-31.985714285714288</v>
      </c>
      <c r="PW63" s="1">
        <v>0.33333333333333331</v>
      </c>
      <c r="PX63" s="487">
        <v>21.514285714285712</v>
      </c>
      <c r="PY63" s="1">
        <v>1</v>
      </c>
      <c r="PZ63" s="487"/>
      <c r="QA63" s="1"/>
      <c r="QB63" s="487">
        <v>-21.9</v>
      </c>
      <c r="QC63" s="1">
        <v>0.66666666666666663</v>
      </c>
      <c r="QD63" s="487">
        <v>-35.400000000000006</v>
      </c>
      <c r="QE63" s="1">
        <v>0.6</v>
      </c>
      <c r="QF63" s="487">
        <v>-41.7</v>
      </c>
      <c r="QG63" s="1">
        <v>0.5714285714285714</v>
      </c>
      <c r="QH63" s="487">
        <v>-10.342857142857143</v>
      </c>
      <c r="QI63" s="1">
        <v>0.5</v>
      </c>
      <c r="QJ63" s="487">
        <v>10.52857142857143</v>
      </c>
      <c r="QK63" s="1">
        <v>0.8</v>
      </c>
      <c r="QL63" s="487">
        <v>2.4714285714285746</v>
      </c>
      <c r="QM63" s="1">
        <v>0.66666666666666663</v>
      </c>
      <c r="QN63" s="487">
        <v>-20.099999999999998</v>
      </c>
      <c r="QO63" s="1">
        <v>0.42857142857142855</v>
      </c>
      <c r="QP63" s="487">
        <v>34.728571428571428</v>
      </c>
      <c r="QQ63" s="1">
        <v>0.8571428571428571</v>
      </c>
      <c r="QR63" s="487">
        <v>-28.528571428571436</v>
      </c>
      <c r="QS63" s="1">
        <v>0.5</v>
      </c>
      <c r="QT63" s="487">
        <v>-22.042857142857137</v>
      </c>
      <c r="QU63" s="1">
        <v>0.42857142857142855</v>
      </c>
      <c r="QV63" s="487">
        <v>34.700000000000003</v>
      </c>
      <c r="QW63" s="1">
        <v>0.8571428571428571</v>
      </c>
      <c r="QX63" s="487">
        <v>-15.885714285714288</v>
      </c>
      <c r="QY63" s="1">
        <v>0.25</v>
      </c>
      <c r="QZ63" s="487"/>
      <c r="RA63" s="1"/>
      <c r="RB63" s="487">
        <v>13.957142857142857</v>
      </c>
      <c r="RC63" s="1">
        <v>0.55555555555555558</v>
      </c>
      <c r="RD63" s="487">
        <v>10.899999999999999</v>
      </c>
      <c r="RE63" s="1">
        <v>0.55555555555555558</v>
      </c>
      <c r="RF63" s="487">
        <v>14.7</v>
      </c>
      <c r="RG63" s="1">
        <v>1</v>
      </c>
      <c r="RH63" s="487">
        <v>-28.885714285714286</v>
      </c>
      <c r="RI63" s="1">
        <v>0.5</v>
      </c>
      <c r="RJ63" s="487">
        <v>43.342857142857149</v>
      </c>
      <c r="RK63" s="1">
        <v>1</v>
      </c>
      <c r="RL63" s="487"/>
      <c r="RM63" s="1"/>
      <c r="RN63" s="487">
        <v>10.557142857142859</v>
      </c>
      <c r="RO63" s="1">
        <v>0.6</v>
      </c>
      <c r="RP63" s="487">
        <v>28.242857142857151</v>
      </c>
      <c r="RQ63" s="1">
        <v>1</v>
      </c>
      <c r="RR63" s="487"/>
      <c r="RS63" s="1"/>
      <c r="RT63" s="487">
        <v>11.242857142857144</v>
      </c>
      <c r="RU63" s="1">
        <v>0.6</v>
      </c>
      <c r="RV63" s="487">
        <v>-36.914285714285718</v>
      </c>
      <c r="RW63" s="1">
        <v>0.5</v>
      </c>
      <c r="RX63" s="487">
        <v>-28.68571428571429</v>
      </c>
      <c r="RY63" s="1">
        <v>0.44444444444444442</v>
      </c>
      <c r="RZ63" s="487">
        <v>-79.200000000000017</v>
      </c>
      <c r="SA63" s="1">
        <v>0.33333333333333331</v>
      </c>
      <c r="SB63" s="487">
        <v>35.74285714285714</v>
      </c>
      <c r="SC63" s="1">
        <v>1</v>
      </c>
      <c r="SD63" s="487"/>
      <c r="SE63" s="1"/>
      <c r="SF63" s="487"/>
      <c r="SG63" s="1"/>
      <c r="SH63" s="487">
        <v>-50.014285714285727</v>
      </c>
      <c r="SI63" s="1">
        <v>0.25</v>
      </c>
      <c r="SJ63" s="487">
        <v>-0.4999999999999995</v>
      </c>
      <c r="SK63" s="1">
        <v>0.66666666666666663</v>
      </c>
      <c r="SL63" s="487">
        <v>14.071428571428575</v>
      </c>
      <c r="SM63" s="1">
        <v>1</v>
      </c>
      <c r="SN63" s="487">
        <v>21.114285714285717</v>
      </c>
      <c r="SO63" s="1">
        <v>1</v>
      </c>
      <c r="SP63" s="487">
        <v>-6.9000000000000039</v>
      </c>
      <c r="SQ63" s="1">
        <v>0.5714285714285714</v>
      </c>
      <c r="SR63" s="487">
        <v>-8.6</v>
      </c>
      <c r="SS63" s="1">
        <v>0.33333333333333331</v>
      </c>
      <c r="ST63" s="487">
        <v>26.957142857142866</v>
      </c>
      <c r="SU63" s="1">
        <v>0.61538461538461542</v>
      </c>
      <c r="SV63" s="487">
        <v>-20.657142857142858</v>
      </c>
      <c r="SW63" s="1">
        <v>0.33333333333333331</v>
      </c>
      <c r="SX63" s="487"/>
      <c r="SY63" s="1"/>
      <c r="SZ63" s="487">
        <v>-39.185714285714283</v>
      </c>
      <c r="TA63" s="1">
        <v>0.5</v>
      </c>
      <c r="TB63" s="487">
        <v>-23.128571428571426</v>
      </c>
      <c r="TC63" s="1">
        <v>0</v>
      </c>
      <c r="TD63" s="487">
        <v>21.914285714285715</v>
      </c>
      <c r="TE63" s="1">
        <v>1</v>
      </c>
      <c r="TF63" s="487">
        <v>-5.5428571428571427</v>
      </c>
      <c r="TG63" s="1">
        <v>0.33333333333333331</v>
      </c>
      <c r="TH63" s="488">
        <v>4.5285714285714285</v>
      </c>
      <c r="TI63" s="1">
        <v>1</v>
      </c>
      <c r="TJ63" s="489">
        <v>-42.628571428571433</v>
      </c>
      <c r="TK63" s="1">
        <v>0.33333333333333331</v>
      </c>
      <c r="TL63" s="490">
        <v>-13.742857142857146</v>
      </c>
      <c r="TM63" s="1">
        <v>0.5714285714285714</v>
      </c>
      <c r="TN63" s="495"/>
      <c r="TO63" s="1"/>
      <c r="TP63" s="500">
        <v>-30.085714285714293</v>
      </c>
      <c r="TQ63" s="1">
        <v>0.5714285714285714</v>
      </c>
      <c r="TR63" s="511">
        <v>-9.914285714285711</v>
      </c>
      <c r="TS63" s="1">
        <v>0.5714285714285714</v>
      </c>
      <c r="TT63" s="515">
        <v>11.657142857142855</v>
      </c>
      <c r="TU63" s="1">
        <v>0.7142857142857143</v>
      </c>
      <c r="TV63" s="518">
        <v>-24.671428571428567</v>
      </c>
      <c r="TW63" s="1">
        <v>0.5</v>
      </c>
      <c r="TX63" s="521">
        <v>-54.68571428571429</v>
      </c>
      <c r="TY63" s="1">
        <v>0.42857142857142855</v>
      </c>
      <c r="TZ63" s="524">
        <v>-63.928571428571431</v>
      </c>
      <c r="UA63" s="1">
        <v>0.22222222222222221</v>
      </c>
      <c r="UB63" s="527">
        <v>11.771428571428576</v>
      </c>
      <c r="UC63" s="1">
        <v>0.8</v>
      </c>
      <c r="UD63" s="530">
        <v>-6.6999999999999993</v>
      </c>
      <c r="UE63" s="1">
        <v>0.4</v>
      </c>
      <c r="UF63" s="533">
        <v>14.342857142857143</v>
      </c>
      <c r="UG63" s="1">
        <v>1</v>
      </c>
      <c r="UH63" s="536">
        <v>14.257142857142858</v>
      </c>
      <c r="UI63" s="1">
        <v>1</v>
      </c>
      <c r="UJ63" s="539"/>
      <c r="UK63" s="1"/>
      <c r="UL63" s="540">
        <v>-30.37142857142857</v>
      </c>
      <c r="UM63" s="1">
        <v>0.33333333333333331</v>
      </c>
      <c r="UN63" s="543">
        <v>21.514285714285712</v>
      </c>
      <c r="UO63" s="1">
        <v>0.7142857142857143</v>
      </c>
      <c r="UP63" s="544">
        <v>14.871428571428572</v>
      </c>
      <c r="UQ63" s="1">
        <v>1</v>
      </c>
      <c r="UR63" s="551">
        <v>-3.342857142857143</v>
      </c>
      <c r="US63" s="1">
        <v>0.66666666666666663</v>
      </c>
      <c r="UT63" s="551">
        <v>25.471428571428572</v>
      </c>
      <c r="UU63" s="1">
        <v>1</v>
      </c>
      <c r="UV63" s="562">
        <v>-14.399999999999988</v>
      </c>
      <c r="UW63" s="1">
        <v>0.7142857142857143</v>
      </c>
      <c r="UX63" s="566">
        <v>40.228571428571428</v>
      </c>
      <c r="UY63" s="1">
        <v>0.75</v>
      </c>
      <c r="UZ63" s="568"/>
      <c r="VA63" s="1"/>
      <c r="VB63" s="572">
        <v>-65.98571428571428</v>
      </c>
      <c r="VC63" s="1">
        <v>0.44444444444444442</v>
      </c>
      <c r="VD63" s="576">
        <v>-21.342857142857145</v>
      </c>
      <c r="VE63" s="1">
        <v>0.5</v>
      </c>
      <c r="VF63" s="580">
        <v>15.857142857142859</v>
      </c>
      <c r="VG63" s="1">
        <v>0.75</v>
      </c>
      <c r="VH63" s="584">
        <v>17.828571428571429</v>
      </c>
      <c r="VI63" s="1">
        <v>1</v>
      </c>
      <c r="VJ63" s="589">
        <v>12.785714285714285</v>
      </c>
      <c r="VK63" s="1">
        <v>0.8</v>
      </c>
      <c r="VL63" s="593">
        <v>5.2285714285714295</v>
      </c>
      <c r="VM63" s="1">
        <v>0.5</v>
      </c>
      <c r="VN63" s="597">
        <v>7.2285714285714286</v>
      </c>
      <c r="VO63" s="1">
        <v>1</v>
      </c>
      <c r="VP63" s="601">
        <v>-45.24285714285714</v>
      </c>
      <c r="VQ63" s="1">
        <v>0.5</v>
      </c>
      <c r="VR63" s="603"/>
      <c r="VS63" s="1"/>
      <c r="VT63" s="607">
        <v>-13.942857142857141</v>
      </c>
      <c r="VU63" s="1">
        <v>0.33333333333333331</v>
      </c>
      <c r="VV63" s="609">
        <v>-6.0714285714285721</v>
      </c>
      <c r="VW63" s="1">
        <v>0.5714285714285714</v>
      </c>
      <c r="VX63" s="613">
        <v>-28.971428571428572</v>
      </c>
      <c r="VY63" s="1">
        <v>0.5</v>
      </c>
      <c r="VZ63" s="617">
        <v>19.142857142857146</v>
      </c>
      <c r="WA63" s="1">
        <v>0.54545454545454541</v>
      </c>
      <c r="WB63" s="619"/>
      <c r="WC63" s="1"/>
      <c r="WD63" s="624">
        <v>-51.185714285714283</v>
      </c>
      <c r="WE63" s="1">
        <v>0.33333333333333331</v>
      </c>
      <c r="WF63" s="626">
        <v>-24.928571428571431</v>
      </c>
      <c r="WG63" s="1">
        <v>0.625</v>
      </c>
      <c r="WH63" s="630">
        <v>14.557142857142857</v>
      </c>
      <c r="WI63" s="1">
        <v>1</v>
      </c>
      <c r="WJ63" s="636">
        <v>9.1000000000000014</v>
      </c>
      <c r="WK63" s="1">
        <v>0.75</v>
      </c>
      <c r="WL63" s="638">
        <v>4.0285714285714285</v>
      </c>
      <c r="WM63" s="1">
        <v>0.5</v>
      </c>
      <c r="WN63" s="642">
        <v>22.557142857142857</v>
      </c>
      <c r="WO63" s="1">
        <v>0.7142857142857143</v>
      </c>
      <c r="WP63" s="646">
        <v>7.3714285714285719</v>
      </c>
      <c r="WQ63" s="1">
        <v>1</v>
      </c>
      <c r="WR63" s="652">
        <v>-30.228571428571424</v>
      </c>
      <c r="WS63" s="1">
        <v>0.6</v>
      </c>
      <c r="WT63" s="659">
        <v>8.9857142857142858</v>
      </c>
      <c r="WU63" s="1">
        <v>0.6</v>
      </c>
      <c r="WV63" s="659">
        <v>3.857142857142859</v>
      </c>
      <c r="WW63" s="1">
        <v>0.4</v>
      </c>
      <c r="WX63" s="672">
        <v>10.485714285714286</v>
      </c>
      <c r="WY63" s="1">
        <v>0.5714285714285714</v>
      </c>
      <c r="WZ63" s="677">
        <v>-64.51428571428572</v>
      </c>
      <c r="XA63" s="1">
        <v>0</v>
      </c>
      <c r="XB63" s="681">
        <v>1.8285714285714294</v>
      </c>
      <c r="XC63" s="1">
        <v>0.5</v>
      </c>
      <c r="XD63" s="683"/>
      <c r="XE63" s="1"/>
      <c r="XF63" s="687">
        <v>5.8428571428571443</v>
      </c>
      <c r="XG63" s="1">
        <v>0.6</v>
      </c>
      <c r="XH63" s="689">
        <v>-56.9</v>
      </c>
      <c r="XI63" s="1">
        <v>0.25</v>
      </c>
      <c r="XJ63" s="696"/>
      <c r="XK63" s="1"/>
      <c r="XL63" s="696">
        <v>-15.871428571428572</v>
      </c>
      <c r="XM63" s="1">
        <v>0.53333333333333333</v>
      </c>
      <c r="XN63" s="696">
        <v>-36.371428571428567</v>
      </c>
      <c r="XO63" s="1">
        <v>0.5714285714285714</v>
      </c>
      <c r="XP63" s="700">
        <v>-6.757142857142858</v>
      </c>
      <c r="XQ63" s="1">
        <v>0.5</v>
      </c>
      <c r="XR63" s="705">
        <v>-68.014285714285705</v>
      </c>
      <c r="XS63" s="1">
        <v>0.33333333333333331</v>
      </c>
      <c r="XT63" s="709">
        <v>-15.785714285714288</v>
      </c>
      <c r="XU63" s="1">
        <v>0.5</v>
      </c>
      <c r="XV63" s="715">
        <v>-7.1285714285714317</v>
      </c>
      <c r="XW63" s="1">
        <v>0.33333333333333331</v>
      </c>
    </row>
    <row r="64" spans="2:647" x14ac:dyDescent="0.25">
      <c r="B64" s="755"/>
      <c r="C64" s="756"/>
      <c r="D64" s="765" t="s">
        <v>41</v>
      </c>
      <c r="E64" s="765"/>
      <c r="F64" s="482">
        <v>0.8</v>
      </c>
      <c r="G64" s="344" t="s">
        <v>39</v>
      </c>
      <c r="H64" s="6"/>
      <c r="I64" s="6"/>
      <c r="J64" s="6"/>
      <c r="K64" s="6"/>
      <c r="L64" s="6"/>
      <c r="M64" s="6"/>
      <c r="N64" s="6"/>
      <c r="O64" s="6"/>
      <c r="P64" s="6"/>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6"/>
      <c r="BX64" s="487"/>
      <c r="BY64" s="1"/>
      <c r="BZ64" s="487"/>
      <c r="CA64" s="1"/>
      <c r="CB64" s="487"/>
      <c r="CC64" s="1"/>
      <c r="CD64" s="487"/>
      <c r="CE64" s="1"/>
      <c r="CF64" s="487"/>
      <c r="CG64" s="1"/>
      <c r="CH64" s="487"/>
      <c r="CI64" s="1"/>
      <c r="CJ64" s="487"/>
      <c r="CK64" s="1"/>
      <c r="CL64" s="487"/>
      <c r="CM64" s="1"/>
      <c r="CN64" s="487"/>
      <c r="CO64" s="1"/>
      <c r="CP64" s="487"/>
      <c r="CQ64" s="1"/>
      <c r="CR64" s="487"/>
      <c r="CS64" s="1"/>
      <c r="CT64" s="487"/>
      <c r="CU64" s="1"/>
      <c r="CV64" s="487"/>
      <c r="CW64" s="1"/>
      <c r="CX64" s="487"/>
      <c r="CY64" s="1"/>
      <c r="CZ64" s="487"/>
      <c r="DA64" s="1"/>
      <c r="DB64" s="487"/>
      <c r="DC64" s="1"/>
      <c r="DD64" s="487"/>
      <c r="DE64" s="1"/>
      <c r="DF64" s="487"/>
      <c r="DG64" s="1"/>
      <c r="DH64" s="487"/>
      <c r="DI64" s="1"/>
      <c r="DJ64" s="487"/>
      <c r="DK64" s="1"/>
      <c r="DL64" s="487"/>
      <c r="DM64" s="1"/>
      <c r="DN64" s="487"/>
      <c r="DO64" s="1"/>
      <c r="DP64" s="487"/>
      <c r="DQ64" s="1"/>
      <c r="DR64" s="487"/>
      <c r="DS64" s="1"/>
      <c r="DT64" s="487"/>
      <c r="DU64" s="1"/>
      <c r="DV64" s="487"/>
      <c r="DW64" s="1"/>
      <c r="DX64" s="487"/>
      <c r="DY64" s="1"/>
      <c r="DZ64" s="487"/>
      <c r="EA64" s="1"/>
      <c r="EB64" s="487"/>
      <c r="EC64" s="1"/>
      <c r="ED64" s="487"/>
      <c r="EE64" s="1"/>
      <c r="EF64" s="487"/>
      <c r="EG64" s="1"/>
      <c r="EH64" s="487"/>
      <c r="EI64" s="1"/>
      <c r="EJ64" s="487"/>
      <c r="EK64" s="1"/>
      <c r="EL64" s="487"/>
      <c r="EM64" s="1"/>
      <c r="EN64" s="487"/>
      <c r="EO64" s="1"/>
      <c r="EP64" s="487"/>
      <c r="EQ64" s="1"/>
      <c r="ER64" s="487"/>
      <c r="ES64" s="1"/>
      <c r="ET64" s="487"/>
      <c r="EU64" s="1"/>
      <c r="EV64" s="487"/>
      <c r="EW64" s="1"/>
      <c r="EX64" s="487"/>
      <c r="EY64" s="1"/>
      <c r="EZ64" s="487"/>
      <c r="FA64" s="1"/>
      <c r="FB64" s="487"/>
      <c r="FC64" s="1"/>
      <c r="FD64" s="487"/>
      <c r="FE64" s="1"/>
      <c r="FF64" s="487"/>
      <c r="FG64" s="1"/>
      <c r="FH64" s="487"/>
      <c r="FI64" s="1"/>
      <c r="FJ64" s="487"/>
      <c r="FK64" s="1"/>
      <c r="FL64" s="487"/>
      <c r="FM64" s="1"/>
      <c r="FN64" s="487"/>
      <c r="FO64" s="1"/>
      <c r="FP64" s="487"/>
      <c r="FQ64" s="1"/>
      <c r="FR64" s="487"/>
      <c r="FS64" s="1"/>
      <c r="FT64" s="487"/>
      <c r="FU64" s="1"/>
      <c r="FV64" s="487"/>
      <c r="FW64" s="1"/>
      <c r="FX64" s="487"/>
      <c r="FY64" s="1"/>
      <c r="FZ64" s="487"/>
      <c r="GA64" s="1"/>
      <c r="GB64" s="487"/>
      <c r="GC64" s="1"/>
      <c r="GD64" s="487"/>
      <c r="GE64" s="1"/>
      <c r="GF64" s="487"/>
      <c r="GG64" s="1"/>
      <c r="GH64" s="487"/>
      <c r="GI64" s="1"/>
      <c r="GJ64" s="487"/>
      <c r="GK64" s="1"/>
      <c r="GL64" s="487"/>
      <c r="GM64" s="1"/>
      <c r="GN64" s="487"/>
      <c r="GO64" s="1"/>
      <c r="GP64" s="487"/>
      <c r="GQ64" s="1"/>
      <c r="GR64" s="487"/>
      <c r="GS64" s="1"/>
      <c r="GT64" s="487"/>
      <c r="GU64" s="1"/>
      <c r="GV64" s="487"/>
      <c r="GW64" s="1"/>
      <c r="GX64" s="487"/>
      <c r="GY64" s="1"/>
      <c r="GZ64" s="487"/>
      <c r="HA64" s="1"/>
      <c r="HB64" s="487"/>
      <c r="HC64" s="1"/>
      <c r="HD64" s="487"/>
      <c r="HE64" s="1"/>
      <c r="HF64" s="487"/>
      <c r="HG64" s="1"/>
      <c r="HH64" s="487"/>
      <c r="HI64" s="1"/>
      <c r="HJ64" s="487"/>
      <c r="HK64" s="1"/>
      <c r="HL64" s="487"/>
      <c r="HM64" s="1"/>
      <c r="HN64" s="487"/>
      <c r="HO64" s="1"/>
      <c r="HP64" s="487"/>
      <c r="HQ64" s="1"/>
      <c r="HR64" s="487"/>
      <c r="HS64" s="1"/>
      <c r="HT64" s="487"/>
      <c r="HU64" s="1"/>
      <c r="HV64" s="487">
        <v>-3.7375000000000003</v>
      </c>
      <c r="HW64" s="1">
        <v>0</v>
      </c>
      <c r="HX64" s="487"/>
      <c r="HY64" s="1"/>
      <c r="HZ64" s="487"/>
      <c r="IA64" s="1"/>
      <c r="IB64" s="487">
        <v>8.0874999999999986</v>
      </c>
      <c r="IC64" s="1">
        <v>1</v>
      </c>
      <c r="ID64" s="487">
        <v>-29.787499999999998</v>
      </c>
      <c r="IE64" s="1">
        <v>0.2</v>
      </c>
      <c r="IF64" s="487"/>
      <c r="IG64" s="1"/>
      <c r="IH64" s="487"/>
      <c r="II64" s="1"/>
      <c r="IJ64" s="487"/>
      <c r="IK64" s="1"/>
      <c r="IL64" s="487">
        <v>5.1999999999999984</v>
      </c>
      <c r="IM64" s="1">
        <v>0.75</v>
      </c>
      <c r="IN64" s="487">
        <v>-5.85</v>
      </c>
      <c r="IO64" s="1">
        <v>0</v>
      </c>
      <c r="IP64" s="487">
        <v>-4.4749999999999996</v>
      </c>
      <c r="IQ64" s="1">
        <v>0</v>
      </c>
      <c r="IR64" s="487">
        <v>-9.7874999999999996</v>
      </c>
      <c r="IS64" s="1">
        <v>0</v>
      </c>
      <c r="IT64" s="487"/>
      <c r="IU64" s="1"/>
      <c r="IV64" s="487">
        <v>-19.174999999999997</v>
      </c>
      <c r="IW64" s="1">
        <v>0</v>
      </c>
      <c r="IX64" s="487">
        <v>4.9625000000000004</v>
      </c>
      <c r="IY64" s="1">
        <v>0.66666666666666663</v>
      </c>
      <c r="IZ64" s="487"/>
      <c r="JA64" s="1"/>
      <c r="JB64" s="487">
        <v>2.5624999999999996</v>
      </c>
      <c r="JC64" s="1">
        <v>0.33333333333333331</v>
      </c>
      <c r="JD64" s="487">
        <v>16.875</v>
      </c>
      <c r="JE64" s="1">
        <v>1</v>
      </c>
      <c r="JF64" s="487"/>
      <c r="JG64" s="1"/>
      <c r="JH64" s="487"/>
      <c r="JI64" s="1"/>
      <c r="JJ64" s="487">
        <v>9.2874999999999996</v>
      </c>
      <c r="JK64" s="1">
        <v>0.5</v>
      </c>
      <c r="JL64" s="487">
        <v>-7.6375000000000011</v>
      </c>
      <c r="JM64" s="1">
        <v>0.5</v>
      </c>
      <c r="JN64" s="487"/>
      <c r="JO64" s="1"/>
      <c r="JP64" s="487"/>
      <c r="JQ64" s="1"/>
      <c r="JR64" s="487"/>
      <c r="JS64" s="1"/>
      <c r="JT64" s="487">
        <v>-11.087499999999999</v>
      </c>
      <c r="JU64" s="1">
        <v>0</v>
      </c>
      <c r="JV64" s="487">
        <v>-3.1875000000000009</v>
      </c>
      <c r="JW64" s="1">
        <v>0.5</v>
      </c>
      <c r="JX64" s="487">
        <v>8.2624999999999993</v>
      </c>
      <c r="JY64" s="1">
        <v>1</v>
      </c>
      <c r="JZ64" s="487">
        <v>8.1624999999999996</v>
      </c>
      <c r="KA64" s="1">
        <v>1</v>
      </c>
      <c r="KB64" s="487">
        <v>16.524999999999999</v>
      </c>
      <c r="KC64" s="1">
        <v>1</v>
      </c>
      <c r="KD64" s="487"/>
      <c r="KE64" s="1"/>
      <c r="KF64" s="487">
        <v>-11.012499999999999</v>
      </c>
      <c r="KG64" s="1">
        <v>0</v>
      </c>
      <c r="KH64" s="487"/>
      <c r="KI64" s="1"/>
      <c r="KJ64" s="487">
        <v>-2.9125000000000001</v>
      </c>
      <c r="KK64" s="1">
        <v>0.5</v>
      </c>
      <c r="KL64" s="487">
        <v>5.0999999999999996</v>
      </c>
      <c r="KM64" s="1">
        <v>0.66666666666666663</v>
      </c>
      <c r="KN64" s="487">
        <v>-3.0749999999999997</v>
      </c>
      <c r="KO64" s="1">
        <v>0.5</v>
      </c>
      <c r="KP64" s="487"/>
      <c r="KQ64" s="1"/>
      <c r="KR64" s="487">
        <v>-11</v>
      </c>
      <c r="KS64" s="1">
        <v>0</v>
      </c>
      <c r="KT64" s="487"/>
      <c r="KU64" s="1"/>
      <c r="KV64" s="487">
        <v>13.162500000000001</v>
      </c>
      <c r="KW64" s="1">
        <v>0.75</v>
      </c>
      <c r="KX64" s="487"/>
      <c r="KY64" s="1"/>
      <c r="KZ64" s="487"/>
      <c r="LA64" s="1"/>
      <c r="LB64" s="487">
        <v>7.9749999999999996</v>
      </c>
      <c r="LC64" s="1">
        <v>1</v>
      </c>
      <c r="LD64" s="487">
        <v>-14.162499999999998</v>
      </c>
      <c r="LE64" s="1">
        <v>0.33333333333333331</v>
      </c>
      <c r="LF64" s="487"/>
      <c r="LG64" s="1"/>
      <c r="LH64" s="487">
        <v>8.5124999999999993</v>
      </c>
      <c r="LI64" s="1">
        <v>1</v>
      </c>
      <c r="LJ64" s="487"/>
      <c r="LK64" s="1"/>
      <c r="LL64" s="487">
        <v>-22.137499999999999</v>
      </c>
      <c r="LM64" s="1">
        <v>0</v>
      </c>
      <c r="LN64" s="487"/>
      <c r="LO64" s="1"/>
      <c r="LP64" s="487"/>
      <c r="LQ64" s="1"/>
      <c r="LR64" s="487"/>
      <c r="LS64" s="1"/>
      <c r="LT64" s="487">
        <v>-2.6124999999999985</v>
      </c>
      <c r="LU64" s="1">
        <v>0.5</v>
      </c>
      <c r="LV64" s="487"/>
      <c r="LW64" s="1"/>
      <c r="LX64" s="487">
        <v>-11.049999999999999</v>
      </c>
      <c r="LY64" s="1">
        <v>0</v>
      </c>
      <c r="LZ64" s="487">
        <v>-11.062499999999998</v>
      </c>
      <c r="MA64" s="1">
        <v>0</v>
      </c>
      <c r="MB64" s="487">
        <v>-2.7750000000000008</v>
      </c>
      <c r="MC64" s="1">
        <v>0.5</v>
      </c>
      <c r="MD64" s="487"/>
      <c r="ME64" s="1"/>
      <c r="MF64" s="487"/>
      <c r="MG64" s="1"/>
      <c r="MH64" s="487">
        <v>7.3999999999999995</v>
      </c>
      <c r="MI64" s="1">
        <v>1</v>
      </c>
      <c r="MJ64" s="487">
        <v>-16.049999999999997</v>
      </c>
      <c r="MK64" s="1">
        <v>0.33333333333333331</v>
      </c>
      <c r="ML64" s="487"/>
      <c r="MM64" s="1"/>
      <c r="MN64" s="487">
        <v>-9.5749999999999993</v>
      </c>
      <c r="MO64" s="1">
        <v>0</v>
      </c>
      <c r="MP64" s="487">
        <v>16.787499999999998</v>
      </c>
      <c r="MQ64" s="1">
        <v>1</v>
      </c>
      <c r="MR64" s="487">
        <v>-5.737499999999998</v>
      </c>
      <c r="MS64" s="1">
        <v>0.5</v>
      </c>
      <c r="MT64" s="487">
        <v>-25.687499999999996</v>
      </c>
      <c r="MU64" s="1">
        <v>0.25</v>
      </c>
      <c r="MV64" s="487">
        <v>-2.9624999999999999</v>
      </c>
      <c r="MW64" s="1">
        <v>0.5</v>
      </c>
      <c r="MX64" s="487">
        <v>-22.562499999999996</v>
      </c>
      <c r="MY64" s="1">
        <v>0</v>
      </c>
      <c r="MZ64" s="487">
        <v>6.1750000000000016</v>
      </c>
      <c r="NA64" s="1">
        <v>0.66666666666666663</v>
      </c>
      <c r="NB64" s="487"/>
      <c r="NC64" s="1"/>
      <c r="ND64" s="487"/>
      <c r="NE64" s="1"/>
      <c r="NF64" s="487">
        <v>-21.749999999999996</v>
      </c>
      <c r="NG64" s="1">
        <v>0</v>
      </c>
      <c r="NH64" s="487">
        <v>-21.749999999999996</v>
      </c>
      <c r="NI64" s="1">
        <v>0</v>
      </c>
      <c r="NJ64" s="487">
        <v>5.6375000000000002</v>
      </c>
      <c r="NK64" s="1">
        <v>0.66666666666666663</v>
      </c>
      <c r="NL64" s="487">
        <v>-25.287500000000005</v>
      </c>
      <c r="NM64" s="1">
        <v>0.25</v>
      </c>
      <c r="NN64" s="487"/>
      <c r="NO64" s="1"/>
      <c r="NP64" s="487">
        <v>7.4375</v>
      </c>
      <c r="NQ64" s="1">
        <v>1</v>
      </c>
      <c r="NR64" s="487">
        <v>-13.925000000000001</v>
      </c>
      <c r="NS64" s="1">
        <v>0.33333333333333331</v>
      </c>
      <c r="NT64" s="487"/>
      <c r="NU64" s="1"/>
      <c r="NV64" s="487"/>
      <c r="NW64" s="1"/>
      <c r="NX64" s="487"/>
      <c r="NY64" s="1"/>
      <c r="NZ64" s="487"/>
      <c r="OA64" s="1"/>
      <c r="OB64" s="487">
        <v>7.7374999999999998</v>
      </c>
      <c r="OC64" s="1">
        <v>1</v>
      </c>
      <c r="OD64" s="487">
        <v>-2.7624999999999997</v>
      </c>
      <c r="OE64" s="1">
        <v>0.5</v>
      </c>
      <c r="OF64" s="487"/>
      <c r="OG64" s="1"/>
      <c r="OH64" s="487"/>
      <c r="OI64" s="1"/>
      <c r="OJ64" s="487"/>
      <c r="OK64" s="1"/>
      <c r="OL64" s="487">
        <v>-5.8250000000000002</v>
      </c>
      <c r="OM64" s="1">
        <v>0.33333333333333331</v>
      </c>
      <c r="ON64" s="487"/>
      <c r="OO64" s="1"/>
      <c r="OP64" s="487"/>
      <c r="OQ64" s="1"/>
      <c r="OR64" s="487"/>
      <c r="OS64" s="1"/>
      <c r="OT64" s="487"/>
      <c r="OU64" s="1"/>
      <c r="OV64" s="487"/>
      <c r="OW64" s="1"/>
      <c r="OX64" s="487">
        <v>15.787499999999998</v>
      </c>
      <c r="OY64" s="1">
        <v>1</v>
      </c>
      <c r="OZ64" s="487">
        <v>8.0625</v>
      </c>
      <c r="PA64" s="1">
        <v>1</v>
      </c>
      <c r="PB64" s="487"/>
      <c r="PC64" s="1"/>
      <c r="PD64" s="487">
        <v>-2.6</v>
      </c>
      <c r="PE64" s="1">
        <v>0.5</v>
      </c>
      <c r="PF64" s="487">
        <v>16.324999999999999</v>
      </c>
      <c r="PG64" s="1">
        <v>1</v>
      </c>
      <c r="PH64" s="487"/>
      <c r="PI64" s="1"/>
      <c r="PJ64" s="487"/>
      <c r="PK64" s="1"/>
      <c r="PL64" s="487">
        <v>7.6375000000000002</v>
      </c>
      <c r="PM64" s="1">
        <v>1</v>
      </c>
      <c r="PN64" s="487">
        <v>-0.37500000000000089</v>
      </c>
      <c r="PO64" s="1">
        <v>0.66666666666666663</v>
      </c>
      <c r="PP64" s="487">
        <v>-5.6374999999999984</v>
      </c>
      <c r="PQ64" s="1">
        <v>0.5</v>
      </c>
      <c r="PR64" s="487">
        <v>8.1749999999999989</v>
      </c>
      <c r="PS64" s="1">
        <v>1</v>
      </c>
      <c r="PT64" s="487"/>
      <c r="PU64" s="1"/>
      <c r="PV64" s="487"/>
      <c r="PW64" s="1"/>
      <c r="PX64" s="487">
        <v>8.2125000000000004</v>
      </c>
      <c r="PY64" s="1">
        <v>1</v>
      </c>
      <c r="PZ64" s="487"/>
      <c r="QA64" s="1"/>
      <c r="QB64" s="487"/>
      <c r="QC64" s="1"/>
      <c r="QD64" s="487">
        <v>-10.962499999999999</v>
      </c>
      <c r="QE64" s="1">
        <v>0</v>
      </c>
      <c r="QF64" s="487">
        <v>-5.1500000000000012</v>
      </c>
      <c r="QG64" s="1">
        <v>0.5</v>
      </c>
      <c r="QH64" s="487">
        <v>-13.712499999999999</v>
      </c>
      <c r="QI64" s="1">
        <v>0.33333333333333331</v>
      </c>
      <c r="QJ64" s="487"/>
      <c r="QK64" s="1"/>
      <c r="QL64" s="487">
        <v>24.0625</v>
      </c>
      <c r="QM64" s="1">
        <v>1</v>
      </c>
      <c r="QN64" s="487">
        <v>-17.5</v>
      </c>
      <c r="QO64" s="1">
        <v>0.4</v>
      </c>
      <c r="QP64" s="487">
        <v>-14.087499999999999</v>
      </c>
      <c r="QQ64" s="1">
        <v>0.4</v>
      </c>
      <c r="QR64" s="487">
        <v>-22.1875</v>
      </c>
      <c r="QS64" s="1">
        <v>0</v>
      </c>
      <c r="QT64" s="487">
        <v>-24.562499999999996</v>
      </c>
      <c r="QU64" s="1">
        <v>0</v>
      </c>
      <c r="QV64" s="487">
        <v>3.6374999999999993</v>
      </c>
      <c r="QW64" s="1">
        <v>0.5</v>
      </c>
      <c r="QX64" s="487">
        <v>-15.924999999999999</v>
      </c>
      <c r="QY64" s="1">
        <v>0</v>
      </c>
      <c r="QZ64" s="487"/>
      <c r="RA64" s="1"/>
      <c r="RB64" s="487">
        <v>-3.1499999999999986</v>
      </c>
      <c r="RC64" s="1">
        <v>0.33333333333333331</v>
      </c>
      <c r="RD64" s="487">
        <v>-6.1499999999999995</v>
      </c>
      <c r="RE64" s="1">
        <v>0</v>
      </c>
      <c r="RF64" s="487">
        <v>8.0374999999999996</v>
      </c>
      <c r="RG64" s="1">
        <v>1</v>
      </c>
      <c r="RH64" s="487">
        <v>-7.0874999999999995</v>
      </c>
      <c r="RI64" s="1">
        <v>0.5</v>
      </c>
      <c r="RJ64" s="487"/>
      <c r="RK64" s="1"/>
      <c r="RL64" s="487"/>
      <c r="RM64" s="1"/>
      <c r="RN64" s="487"/>
      <c r="RO64" s="1"/>
      <c r="RP64" s="487">
        <v>9.9624999999999986</v>
      </c>
      <c r="RQ64" s="1">
        <v>1</v>
      </c>
      <c r="RR64" s="487"/>
      <c r="RS64" s="1"/>
      <c r="RT64" s="487">
        <v>8.0374999999999996</v>
      </c>
      <c r="RU64" s="1">
        <v>1</v>
      </c>
      <c r="RV64" s="487">
        <v>-11.1</v>
      </c>
      <c r="RW64" s="1">
        <v>0</v>
      </c>
      <c r="RX64" s="487">
        <v>-15.325000000000001</v>
      </c>
      <c r="RY64" s="1">
        <v>0.5</v>
      </c>
      <c r="RZ64" s="487">
        <v>-37.799999999999997</v>
      </c>
      <c r="SA64" s="1">
        <v>0</v>
      </c>
      <c r="SB64" s="487">
        <v>8</v>
      </c>
      <c r="SC64" s="1">
        <v>1</v>
      </c>
      <c r="SD64" s="487"/>
      <c r="SE64" s="1"/>
      <c r="SF64" s="487"/>
      <c r="SG64" s="1"/>
      <c r="SH64" s="487"/>
      <c r="SI64" s="1"/>
      <c r="SJ64" s="487">
        <v>-33.162499999999987</v>
      </c>
      <c r="SK64" s="1">
        <v>0</v>
      </c>
      <c r="SL64" s="487">
        <v>7.7374999999999998</v>
      </c>
      <c r="SM64" s="1">
        <v>1</v>
      </c>
      <c r="SN64" s="487"/>
      <c r="SO64" s="1"/>
      <c r="SP64" s="487">
        <v>-34.949999999999996</v>
      </c>
      <c r="SQ64" s="1">
        <v>0</v>
      </c>
      <c r="SR64" s="487">
        <v>-16.799999999999997</v>
      </c>
      <c r="SS64" s="1">
        <v>0</v>
      </c>
      <c r="ST64" s="487">
        <v>0.625</v>
      </c>
      <c r="SU64" s="1">
        <v>0.66666666666666663</v>
      </c>
      <c r="SV64" s="487">
        <v>-11.712499999999999</v>
      </c>
      <c r="SW64" s="1">
        <v>0.33333333333333331</v>
      </c>
      <c r="SX64" s="487"/>
      <c r="SY64" s="1"/>
      <c r="SZ64" s="487">
        <v>-24.774999999999999</v>
      </c>
      <c r="TA64" s="1">
        <v>0.25</v>
      </c>
      <c r="TB64" s="487">
        <v>-11.049999999999999</v>
      </c>
      <c r="TC64" s="1">
        <v>0</v>
      </c>
      <c r="TD64" s="487"/>
      <c r="TE64" s="1"/>
      <c r="TF64" s="487"/>
      <c r="TG64" s="1"/>
      <c r="TH64" s="488"/>
      <c r="TI64" s="1"/>
      <c r="TJ64" s="489"/>
      <c r="TK64" s="1"/>
      <c r="TL64" s="490">
        <v>-22.85</v>
      </c>
      <c r="TM64" s="1">
        <v>0.25</v>
      </c>
      <c r="TN64" s="495"/>
      <c r="TO64" s="1"/>
      <c r="TP64" s="500">
        <v>8.0249999999999986</v>
      </c>
      <c r="TQ64" s="1">
        <v>0.66666666666666663</v>
      </c>
      <c r="TR64" s="511">
        <v>8</v>
      </c>
      <c r="TS64" s="1">
        <v>1</v>
      </c>
      <c r="TT64" s="515">
        <v>9.0499999999999989</v>
      </c>
      <c r="TU64" s="1">
        <v>0.66666666666666663</v>
      </c>
      <c r="TV64" s="518">
        <v>-26.0625</v>
      </c>
      <c r="TW64" s="1">
        <v>0</v>
      </c>
      <c r="TX64" s="521">
        <v>-11.2125</v>
      </c>
      <c r="TY64" s="1">
        <v>0</v>
      </c>
      <c r="TZ64" s="524">
        <v>-11.112500000000001</v>
      </c>
      <c r="UA64" s="1">
        <v>0</v>
      </c>
      <c r="UB64" s="527">
        <v>-12.375</v>
      </c>
      <c r="UC64" s="1">
        <v>0.33333333333333331</v>
      </c>
      <c r="UD64" s="530"/>
      <c r="UE64" s="1"/>
      <c r="UF64" s="533"/>
      <c r="UG64" s="1"/>
      <c r="UH64" s="536">
        <v>-3.2000000000000006</v>
      </c>
      <c r="UI64" s="1">
        <v>0.5</v>
      </c>
      <c r="UJ64" s="539"/>
      <c r="UK64" s="1"/>
      <c r="UL64" s="540">
        <v>5.2625000000000011</v>
      </c>
      <c r="UM64" s="1">
        <v>0.66666666666666663</v>
      </c>
      <c r="UN64" s="543">
        <v>19.149999999999999</v>
      </c>
      <c r="UO64" s="1">
        <v>0.8</v>
      </c>
      <c r="UP64" s="544">
        <v>16.012499999999999</v>
      </c>
      <c r="UQ64" s="1">
        <v>1</v>
      </c>
      <c r="UR64" s="551"/>
      <c r="US64" s="1"/>
      <c r="UT64" s="551"/>
      <c r="UU64" s="1"/>
      <c r="UV64" s="562">
        <v>5.1499999999999995</v>
      </c>
      <c r="UW64" s="1">
        <v>0.66666666666666663</v>
      </c>
      <c r="UX64" s="566">
        <v>2.5500000000000012</v>
      </c>
      <c r="UY64" s="1">
        <v>0.4</v>
      </c>
      <c r="UZ64" s="568"/>
      <c r="VA64" s="1"/>
      <c r="VB64" s="572">
        <v>-4.375</v>
      </c>
      <c r="VC64" s="1">
        <v>0.33333333333333331</v>
      </c>
      <c r="VD64" s="576">
        <v>-25.287500000000005</v>
      </c>
      <c r="VE64" s="1">
        <v>0.25</v>
      </c>
      <c r="VF64" s="580">
        <v>15.962499999999999</v>
      </c>
      <c r="VG64" s="1">
        <v>1</v>
      </c>
      <c r="VH64" s="584"/>
      <c r="VI64" s="1"/>
      <c r="VJ64" s="589"/>
      <c r="VK64" s="1"/>
      <c r="VL64" s="593">
        <v>8.1624999999999996</v>
      </c>
      <c r="VM64" s="1">
        <v>1</v>
      </c>
      <c r="VN64" s="597"/>
      <c r="VO64" s="1"/>
      <c r="VP64" s="601">
        <v>-33</v>
      </c>
      <c r="VQ64" s="1">
        <v>0</v>
      </c>
      <c r="VR64" s="603"/>
      <c r="VS64" s="1"/>
      <c r="VT64" s="607">
        <v>-22.137499999999999</v>
      </c>
      <c r="VU64" s="1">
        <v>0</v>
      </c>
      <c r="VV64" s="609">
        <v>-13.949999999999996</v>
      </c>
      <c r="VW64" s="1">
        <v>0.33333333333333331</v>
      </c>
      <c r="VX64" s="613">
        <v>-2.9499999999999993</v>
      </c>
      <c r="VY64" s="1">
        <v>0.5</v>
      </c>
      <c r="VZ64" s="617">
        <v>-18.162500000000001</v>
      </c>
      <c r="WA64" s="1">
        <v>0</v>
      </c>
      <c r="WB64" s="619"/>
      <c r="WC64" s="1"/>
      <c r="WD64" s="624">
        <v>-2.6875000000000004</v>
      </c>
      <c r="WE64" s="1">
        <v>0.5</v>
      </c>
      <c r="WF64" s="626">
        <v>-11.0375</v>
      </c>
      <c r="WG64" s="1">
        <v>0</v>
      </c>
      <c r="WH64" s="630">
        <v>-2.4999999999999996</v>
      </c>
      <c r="WI64" s="1">
        <v>0.66666666666666663</v>
      </c>
      <c r="WJ64" s="636">
        <v>8.0874999999999986</v>
      </c>
      <c r="WK64" s="1">
        <v>1</v>
      </c>
      <c r="WL64" s="638">
        <v>-11.1625</v>
      </c>
      <c r="WM64" s="1">
        <v>0</v>
      </c>
      <c r="WN64" s="642">
        <v>9.4375</v>
      </c>
      <c r="WO64" s="1">
        <v>1</v>
      </c>
      <c r="WP64" s="646"/>
      <c r="WQ64" s="1"/>
      <c r="WR64" s="652"/>
      <c r="WS64" s="1"/>
      <c r="WT64" s="659">
        <v>-4.8999999999999995</v>
      </c>
      <c r="WU64" s="1">
        <v>0</v>
      </c>
      <c r="WV64" s="659">
        <v>-23.287500000000001</v>
      </c>
      <c r="WW64" s="1">
        <v>0</v>
      </c>
      <c r="WX64" s="672">
        <v>13.95</v>
      </c>
      <c r="WY64" s="1">
        <v>0.66666666666666663</v>
      </c>
      <c r="WZ64" s="677">
        <v>-22.362500000000001</v>
      </c>
      <c r="XA64" s="1">
        <v>0</v>
      </c>
      <c r="XB64" s="681">
        <v>7.9749999999999996</v>
      </c>
      <c r="XC64" s="1">
        <v>1</v>
      </c>
      <c r="XD64" s="683"/>
      <c r="XE64" s="1"/>
      <c r="XF64" s="687">
        <v>-11.125</v>
      </c>
      <c r="XG64" s="1">
        <v>0</v>
      </c>
      <c r="XH64" s="689">
        <v>1.5499999999999998</v>
      </c>
      <c r="XI64" s="1">
        <v>1</v>
      </c>
      <c r="XJ64" s="696"/>
      <c r="XK64" s="1"/>
      <c r="XL64" s="696">
        <v>5.6124999999999998</v>
      </c>
      <c r="XM64" s="1">
        <v>0.66666666666666663</v>
      </c>
      <c r="XN64" s="696">
        <v>1.5125000000000011</v>
      </c>
      <c r="XO64" s="1">
        <v>0.66666666666666663</v>
      </c>
      <c r="XP64" s="700">
        <v>6.9250000000000007</v>
      </c>
      <c r="XQ64" s="1">
        <v>0.75</v>
      </c>
      <c r="XR64" s="705">
        <v>-2.9999999999999991</v>
      </c>
      <c r="XS64" s="1">
        <v>0.5</v>
      </c>
      <c r="XT64" s="709">
        <v>13.55</v>
      </c>
      <c r="XU64" s="1">
        <v>0.75</v>
      </c>
      <c r="XV64" s="715">
        <v>-11.074999999999999</v>
      </c>
      <c r="XW64" s="1">
        <v>0</v>
      </c>
    </row>
    <row r="65" spans="2:647" x14ac:dyDescent="0.25">
      <c r="B65" s="755"/>
      <c r="C65" s="756"/>
      <c r="D65" s="765" t="s">
        <v>43</v>
      </c>
      <c r="E65" s="765"/>
      <c r="F65" s="482">
        <v>0.9</v>
      </c>
      <c r="G65" s="475" t="s">
        <v>40</v>
      </c>
      <c r="H65" s="6"/>
      <c r="I65" s="6"/>
      <c r="J65" s="6"/>
      <c r="K65" s="6"/>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c r="BJ65" s="6"/>
      <c r="BK65" s="6"/>
      <c r="BL65" s="6"/>
      <c r="BM65" s="6"/>
      <c r="BN65" s="6"/>
      <c r="BO65" s="6"/>
      <c r="BP65" s="6"/>
      <c r="BQ65" s="6"/>
      <c r="BR65" s="6"/>
      <c r="BS65" s="6"/>
      <c r="BT65" s="6"/>
      <c r="BU65" s="6"/>
      <c r="BV65" s="6"/>
      <c r="BW65" s="6"/>
      <c r="BX65" s="487"/>
      <c r="BY65" s="1"/>
      <c r="BZ65" s="487"/>
      <c r="CA65" s="1"/>
      <c r="CB65" s="487"/>
      <c r="CC65" s="1"/>
      <c r="CD65" s="487"/>
      <c r="CE65" s="1"/>
      <c r="CF65" s="487"/>
      <c r="CG65" s="1"/>
      <c r="CH65" s="487"/>
      <c r="CI65" s="1"/>
      <c r="CJ65" s="487"/>
      <c r="CK65" s="1"/>
      <c r="CL65" s="487"/>
      <c r="CM65" s="1"/>
      <c r="CN65" s="487"/>
      <c r="CO65" s="1"/>
      <c r="CP65" s="487"/>
      <c r="CQ65" s="1"/>
      <c r="CR65" s="487"/>
      <c r="CS65" s="1"/>
      <c r="CT65" s="487"/>
      <c r="CU65" s="1"/>
      <c r="CV65" s="487"/>
      <c r="CW65" s="1"/>
      <c r="CX65" s="487"/>
      <c r="CY65" s="1"/>
      <c r="CZ65" s="487"/>
      <c r="DA65" s="1"/>
      <c r="DB65" s="487"/>
      <c r="DC65" s="1"/>
      <c r="DD65" s="487"/>
      <c r="DE65" s="1"/>
      <c r="DF65" s="487"/>
      <c r="DG65" s="1"/>
      <c r="DH65" s="487"/>
      <c r="DI65" s="1"/>
      <c r="DJ65" s="487"/>
      <c r="DK65" s="1"/>
      <c r="DL65" s="487"/>
      <c r="DM65" s="1"/>
      <c r="DN65" s="487"/>
      <c r="DO65" s="1"/>
      <c r="DP65" s="487"/>
      <c r="DQ65" s="1"/>
      <c r="DR65" s="487"/>
      <c r="DS65" s="1"/>
      <c r="DT65" s="487"/>
      <c r="DU65" s="1"/>
      <c r="DV65" s="487"/>
      <c r="DW65" s="1"/>
      <c r="DX65" s="487"/>
      <c r="DY65" s="1"/>
      <c r="DZ65" s="487"/>
      <c r="EA65" s="1"/>
      <c r="EB65" s="487"/>
      <c r="EC65" s="1"/>
      <c r="ED65" s="487"/>
      <c r="EE65" s="1"/>
      <c r="EF65" s="487"/>
      <c r="EG65" s="1"/>
      <c r="EH65" s="487"/>
      <c r="EI65" s="1"/>
      <c r="EJ65" s="487"/>
      <c r="EK65" s="1"/>
      <c r="EL65" s="487"/>
      <c r="EM65" s="1"/>
      <c r="EN65" s="487"/>
      <c r="EO65" s="1"/>
      <c r="EP65" s="487"/>
      <c r="EQ65" s="1"/>
      <c r="ER65" s="487"/>
      <c r="ES65" s="1"/>
      <c r="ET65" s="487"/>
      <c r="EU65" s="1"/>
      <c r="EV65" s="487"/>
      <c r="EW65" s="1"/>
      <c r="EX65" s="487"/>
      <c r="EY65" s="1"/>
      <c r="EZ65" s="487"/>
      <c r="FA65" s="1"/>
      <c r="FB65" s="487"/>
      <c r="FC65" s="1"/>
      <c r="FD65" s="487"/>
      <c r="FE65" s="1"/>
      <c r="FF65" s="487"/>
      <c r="FG65" s="1"/>
      <c r="FH65" s="487"/>
      <c r="FI65" s="1"/>
      <c r="FJ65" s="487"/>
      <c r="FK65" s="1"/>
      <c r="FL65" s="487"/>
      <c r="FM65" s="1"/>
      <c r="FN65" s="487"/>
      <c r="FO65" s="1"/>
      <c r="FP65" s="487"/>
      <c r="FQ65" s="1"/>
      <c r="FR65" s="487"/>
      <c r="FS65" s="1"/>
      <c r="FT65" s="487"/>
      <c r="FU65" s="1"/>
      <c r="FV65" s="487"/>
      <c r="FW65" s="1"/>
      <c r="FX65" s="487"/>
      <c r="FY65" s="1"/>
      <c r="FZ65" s="487"/>
      <c r="GA65" s="1"/>
      <c r="GB65" s="487"/>
      <c r="GC65" s="1"/>
      <c r="GD65" s="487"/>
      <c r="GE65" s="1"/>
      <c r="GF65" s="487"/>
      <c r="GG65" s="1"/>
      <c r="GH65" s="487"/>
      <c r="GI65" s="1"/>
      <c r="GJ65" s="487"/>
      <c r="GK65" s="1"/>
      <c r="GL65" s="487"/>
      <c r="GM65" s="1"/>
      <c r="GN65" s="487"/>
      <c r="GO65" s="1"/>
      <c r="GP65" s="487"/>
      <c r="GQ65" s="1"/>
      <c r="GR65" s="487"/>
      <c r="GS65" s="1"/>
      <c r="GT65" s="487"/>
      <c r="GU65" s="1"/>
      <c r="GV65" s="487"/>
      <c r="GW65" s="1"/>
      <c r="GX65" s="487"/>
      <c r="GY65" s="1"/>
      <c r="GZ65" s="487"/>
      <c r="HA65" s="1"/>
      <c r="HB65" s="487"/>
      <c r="HC65" s="1"/>
      <c r="HD65" s="487"/>
      <c r="HE65" s="1"/>
      <c r="HF65" s="487"/>
      <c r="HG65" s="1"/>
      <c r="HH65" s="487"/>
      <c r="HI65" s="1"/>
      <c r="HJ65" s="487"/>
      <c r="HK65" s="1"/>
      <c r="HL65" s="487"/>
      <c r="HM65" s="1"/>
      <c r="HN65" s="487"/>
      <c r="HO65" s="1"/>
      <c r="HP65" s="487"/>
      <c r="HQ65" s="1"/>
      <c r="HR65" s="487"/>
      <c r="HS65" s="1"/>
      <c r="HT65" s="487"/>
      <c r="HU65" s="1"/>
      <c r="HV65" s="487">
        <v>10.766666666666666</v>
      </c>
      <c r="HW65" s="1">
        <v>0.75</v>
      </c>
      <c r="HX65" s="487"/>
      <c r="HY65" s="1"/>
      <c r="HZ65" s="487">
        <v>-63.811111111111117</v>
      </c>
      <c r="IA65" s="1">
        <v>0.125</v>
      </c>
      <c r="IB65" s="487">
        <v>-16.922222222222221</v>
      </c>
      <c r="IC65" s="1">
        <v>0.16666666666666666</v>
      </c>
      <c r="ID65" s="487">
        <v>-5.6333333333333337</v>
      </c>
      <c r="IE65" s="1">
        <v>0.625</v>
      </c>
      <c r="IF65" s="487"/>
      <c r="IG65" s="1"/>
      <c r="IH65" s="487">
        <v>9.0222222222222204</v>
      </c>
      <c r="II65" s="1">
        <v>1</v>
      </c>
      <c r="IJ65" s="487"/>
      <c r="IK65" s="1"/>
      <c r="IL65" s="487">
        <v>21.844444444444449</v>
      </c>
      <c r="IM65" s="1">
        <v>0.66666666666666663</v>
      </c>
      <c r="IN65" s="487">
        <v>-19.822222222222223</v>
      </c>
      <c r="IO65" s="1">
        <v>0.16666666666666666</v>
      </c>
      <c r="IP65" s="487">
        <v>1.8222222222222249</v>
      </c>
      <c r="IQ65" s="1">
        <v>0.6</v>
      </c>
      <c r="IR65" s="487">
        <v>-25.500000000000004</v>
      </c>
      <c r="IS65" s="1">
        <v>0.2</v>
      </c>
      <c r="IT65" s="487">
        <v>5.9444444444444438</v>
      </c>
      <c r="IU65" s="1">
        <v>1</v>
      </c>
      <c r="IV65" s="487">
        <v>-19.577777777777776</v>
      </c>
      <c r="IW65" s="1">
        <v>0.2</v>
      </c>
      <c r="IX65" s="487">
        <v>-59.2</v>
      </c>
      <c r="IY65" s="1">
        <v>0</v>
      </c>
      <c r="IZ65" s="487">
        <v>16.444444444444446</v>
      </c>
      <c r="JA65" s="1">
        <v>0.66666666666666663</v>
      </c>
      <c r="JB65" s="487">
        <v>36.51111111111112</v>
      </c>
      <c r="JC65" s="1">
        <v>0.7</v>
      </c>
      <c r="JD65" s="487">
        <v>28.400000000000002</v>
      </c>
      <c r="JE65" s="1">
        <v>1</v>
      </c>
      <c r="JF65" s="487">
        <v>0.81111111111111112</v>
      </c>
      <c r="JG65" s="1">
        <v>1</v>
      </c>
      <c r="JH65" s="487">
        <v>7.6333333333333329</v>
      </c>
      <c r="JI65" s="1">
        <v>1</v>
      </c>
      <c r="JJ65" s="487">
        <v>-34.433333333333337</v>
      </c>
      <c r="JK65" s="1">
        <v>0.45454545454545453</v>
      </c>
      <c r="JL65" s="487">
        <v>-35.588888888888889</v>
      </c>
      <c r="JM65" s="1">
        <v>0.4</v>
      </c>
      <c r="JN65" s="487"/>
      <c r="JO65" s="1"/>
      <c r="JP65" s="487">
        <v>-19.233333333333331</v>
      </c>
      <c r="JQ65" s="1">
        <v>0</v>
      </c>
      <c r="JR65" s="487"/>
      <c r="JS65" s="1"/>
      <c r="JT65" s="487">
        <v>3.5444444444444447</v>
      </c>
      <c r="JU65" s="1">
        <v>0.5</v>
      </c>
      <c r="JV65" s="487">
        <v>-6.9444444444444446</v>
      </c>
      <c r="JW65" s="1">
        <v>0.4</v>
      </c>
      <c r="JX65" s="487">
        <v>36.800000000000004</v>
      </c>
      <c r="JY65" s="1">
        <v>1</v>
      </c>
      <c r="JZ65" s="487">
        <v>2.333333333333333</v>
      </c>
      <c r="KA65" s="1">
        <v>0.25</v>
      </c>
      <c r="KB65" s="487">
        <v>19.566666666666666</v>
      </c>
      <c r="KC65" s="1">
        <v>1</v>
      </c>
      <c r="KD65" s="487">
        <v>47.611111111111107</v>
      </c>
      <c r="KE65" s="1">
        <v>0.75</v>
      </c>
      <c r="KF65" s="487">
        <v>20.766666666666659</v>
      </c>
      <c r="KG65" s="1">
        <v>0.4</v>
      </c>
      <c r="KH65" s="487">
        <v>40.288888888888884</v>
      </c>
      <c r="KI65" s="1">
        <v>0.75</v>
      </c>
      <c r="KJ65" s="487">
        <v>17.944444444444443</v>
      </c>
      <c r="KK65" s="1">
        <v>0.4</v>
      </c>
      <c r="KL65" s="487">
        <v>21.400000000000002</v>
      </c>
      <c r="KM65" s="1">
        <v>0.5714285714285714</v>
      </c>
      <c r="KN65" s="487">
        <v>28.877777777777776</v>
      </c>
      <c r="KO65" s="1">
        <v>0.875</v>
      </c>
      <c r="KP65" s="487"/>
      <c r="KQ65" s="1"/>
      <c r="KR65" s="487">
        <v>-20.166666666666664</v>
      </c>
      <c r="KS65" s="1">
        <v>0.33333333333333331</v>
      </c>
      <c r="KT65" s="487"/>
      <c r="KU65" s="1"/>
      <c r="KV65" s="487">
        <v>-2.4999999999999916</v>
      </c>
      <c r="KW65" s="1">
        <v>0.5</v>
      </c>
      <c r="KX65" s="487"/>
      <c r="KY65" s="1"/>
      <c r="KZ65" s="487">
        <v>9.9333333333333318</v>
      </c>
      <c r="LA65" s="1">
        <v>1</v>
      </c>
      <c r="LB65" s="487">
        <v>56.588888888888889</v>
      </c>
      <c r="LC65" s="1">
        <v>0.66666666666666663</v>
      </c>
      <c r="LD65" s="487">
        <v>-23.68888888888889</v>
      </c>
      <c r="LE65" s="1">
        <v>0.5</v>
      </c>
      <c r="LF65" s="487"/>
      <c r="LG65" s="1"/>
      <c r="LH65" s="487">
        <v>-15.200000000000003</v>
      </c>
      <c r="LI65" s="1">
        <v>0.33333333333333331</v>
      </c>
      <c r="LJ65" s="487"/>
      <c r="LK65" s="1"/>
      <c r="LL65" s="487">
        <v>-24.466666666666669</v>
      </c>
      <c r="LM65" s="1">
        <v>0.5</v>
      </c>
      <c r="LN65" s="487">
        <v>-43.455555555555556</v>
      </c>
      <c r="LO65" s="1">
        <v>0</v>
      </c>
      <c r="LP65" s="487">
        <v>-33.06666666666667</v>
      </c>
      <c r="LQ65" s="1">
        <v>0.5</v>
      </c>
      <c r="LR65" s="487"/>
      <c r="LS65" s="1"/>
      <c r="LT65" s="487">
        <v>15.500000000000004</v>
      </c>
      <c r="LU65" s="1">
        <v>0.5</v>
      </c>
      <c r="LV65" s="487">
        <v>-7.666666666666667</v>
      </c>
      <c r="LW65" s="1">
        <v>0</v>
      </c>
      <c r="LX65" s="487">
        <v>-37.466666666666661</v>
      </c>
      <c r="LY65" s="1">
        <v>0.33333333333333331</v>
      </c>
      <c r="LZ65" s="487">
        <v>8.4555555555555539</v>
      </c>
      <c r="MA65" s="1">
        <v>0.5</v>
      </c>
      <c r="MB65" s="487">
        <v>-1.5888888888888866</v>
      </c>
      <c r="MC65" s="1">
        <v>0.4</v>
      </c>
      <c r="MD65" s="487"/>
      <c r="ME65" s="1"/>
      <c r="MF65" s="487">
        <v>10.333333333333334</v>
      </c>
      <c r="MG65" s="1">
        <v>0.5</v>
      </c>
      <c r="MH65" s="487">
        <v>54.3</v>
      </c>
      <c r="MI65" s="1">
        <v>1</v>
      </c>
      <c r="MJ65" s="487">
        <v>-9.9111111111111043</v>
      </c>
      <c r="MK65" s="1">
        <v>0.2857142857142857</v>
      </c>
      <c r="ML65" s="487">
        <v>-32.911111111111111</v>
      </c>
      <c r="MM65" s="1">
        <v>0.25</v>
      </c>
      <c r="MN65" s="487">
        <v>-112.82222222222222</v>
      </c>
      <c r="MO65" s="1">
        <v>0.16666666666666666</v>
      </c>
      <c r="MP65" s="487">
        <v>66.322222222222209</v>
      </c>
      <c r="MQ65" s="1">
        <v>0.66666666666666663</v>
      </c>
      <c r="MR65" s="487">
        <v>22.988888888888891</v>
      </c>
      <c r="MS65" s="1">
        <v>0.6</v>
      </c>
      <c r="MT65" s="487">
        <v>-58.699999999999996</v>
      </c>
      <c r="MU65" s="1">
        <v>0.16666666666666666</v>
      </c>
      <c r="MV65" s="487">
        <v>39.955555555555556</v>
      </c>
      <c r="MW65" s="1">
        <v>0.66666666666666663</v>
      </c>
      <c r="MX65" s="487">
        <v>-61.333333333333336</v>
      </c>
      <c r="MY65" s="1">
        <v>0</v>
      </c>
      <c r="MZ65" s="487">
        <v>-17.155555555555555</v>
      </c>
      <c r="NA65" s="1">
        <v>0.5</v>
      </c>
      <c r="NB65" s="487">
        <v>-42.888888888888879</v>
      </c>
      <c r="NC65" s="1">
        <v>0.2</v>
      </c>
      <c r="ND65" s="487"/>
      <c r="NE65" s="1"/>
      <c r="NF65" s="487">
        <v>-55.844444444444441</v>
      </c>
      <c r="NG65" s="1">
        <v>0.375</v>
      </c>
      <c r="NH65" s="487">
        <v>-55.844444444444441</v>
      </c>
      <c r="NI65" s="1">
        <v>0.375</v>
      </c>
      <c r="NJ65" s="487">
        <v>-67.266666666666666</v>
      </c>
      <c r="NK65" s="1">
        <v>0.4</v>
      </c>
      <c r="NL65" s="487">
        <v>-49.81111111111111</v>
      </c>
      <c r="NM65" s="1">
        <v>0</v>
      </c>
      <c r="NN65" s="487"/>
      <c r="NO65" s="1"/>
      <c r="NP65" s="487">
        <v>-70.288888888888891</v>
      </c>
      <c r="NQ65" s="1">
        <v>0.25</v>
      </c>
      <c r="NR65" s="487">
        <v>-72.977777777777774</v>
      </c>
      <c r="NS65" s="1">
        <v>0.27272727272727271</v>
      </c>
      <c r="NT65" s="487">
        <v>-13.077777777777779</v>
      </c>
      <c r="NU65" s="1">
        <v>0.66666666666666663</v>
      </c>
      <c r="NV65" s="487">
        <v>19.877777777777776</v>
      </c>
      <c r="NW65" s="1">
        <v>1</v>
      </c>
      <c r="NX65" s="487">
        <v>-11.033333333333333</v>
      </c>
      <c r="NY65" s="1">
        <v>0.33333333333333331</v>
      </c>
      <c r="NZ65" s="487">
        <v>-20.066666666666666</v>
      </c>
      <c r="OA65" s="1">
        <v>0.4</v>
      </c>
      <c r="OB65" s="487">
        <v>14.366666666666665</v>
      </c>
      <c r="OC65" s="1">
        <v>0.66666666666666663</v>
      </c>
      <c r="OD65" s="487">
        <v>6.2444444444444454</v>
      </c>
      <c r="OE65" s="1">
        <v>0.66666666666666663</v>
      </c>
      <c r="OF65" s="487">
        <v>-21.6</v>
      </c>
      <c r="OG65" s="1">
        <v>0</v>
      </c>
      <c r="OH65" s="487">
        <v>-43.355555555555561</v>
      </c>
      <c r="OI65" s="1">
        <v>0</v>
      </c>
      <c r="OJ65" s="487"/>
      <c r="OK65" s="1"/>
      <c r="OL65" s="487">
        <v>13.788888888888884</v>
      </c>
      <c r="OM65" s="1">
        <v>0.625</v>
      </c>
      <c r="ON65" s="487"/>
      <c r="OO65" s="1"/>
      <c r="OP65" s="487">
        <v>-110.55555555555554</v>
      </c>
      <c r="OQ65" s="1">
        <v>0</v>
      </c>
      <c r="OR65" s="487"/>
      <c r="OS65" s="1"/>
      <c r="OT65" s="487">
        <v>-9.4</v>
      </c>
      <c r="OU65" s="1">
        <v>0.5</v>
      </c>
      <c r="OV65" s="487"/>
      <c r="OW65" s="1"/>
      <c r="OX65" s="487">
        <v>0.72222222222222066</v>
      </c>
      <c r="OY65" s="1">
        <v>0.42857142857142855</v>
      </c>
      <c r="OZ65" s="487">
        <v>39.955555555555556</v>
      </c>
      <c r="PA65" s="1">
        <v>0.66666666666666663</v>
      </c>
      <c r="PB65" s="487">
        <v>-1.7111111111111061</v>
      </c>
      <c r="PC65" s="1">
        <v>0.5</v>
      </c>
      <c r="PD65" s="487">
        <v>1.8222222222222229</v>
      </c>
      <c r="PE65" s="1">
        <v>0.5714285714285714</v>
      </c>
      <c r="PF65" s="487">
        <v>-4.333333333333333</v>
      </c>
      <c r="PG65" s="1">
        <v>0.25</v>
      </c>
      <c r="PH65" s="487">
        <v>12.999999999999998</v>
      </c>
      <c r="PI65" s="1">
        <v>1</v>
      </c>
      <c r="PJ65" s="487"/>
      <c r="PK65" s="1"/>
      <c r="PL65" s="487">
        <v>-24.266666666666662</v>
      </c>
      <c r="PM65" s="1">
        <v>0.16666666666666666</v>
      </c>
      <c r="PN65" s="487">
        <v>78.588888888888889</v>
      </c>
      <c r="PO65" s="1">
        <v>0.6</v>
      </c>
      <c r="PP65" s="487">
        <v>-18.988888888888891</v>
      </c>
      <c r="PQ65" s="1">
        <v>0.375</v>
      </c>
      <c r="PR65" s="487">
        <v>-62.36666666666666</v>
      </c>
      <c r="PS65" s="1">
        <v>0.33333333333333331</v>
      </c>
      <c r="PT65" s="487">
        <v>81.077777777777769</v>
      </c>
      <c r="PU65" s="1">
        <v>1</v>
      </c>
      <c r="PV65" s="487">
        <v>-14.633333333333338</v>
      </c>
      <c r="PW65" s="1">
        <v>0.25</v>
      </c>
      <c r="PX65" s="487">
        <v>-51.777777777777771</v>
      </c>
      <c r="PY65" s="1">
        <v>0.2857142857142857</v>
      </c>
      <c r="PZ65" s="487"/>
      <c r="QA65" s="1"/>
      <c r="QB65" s="487">
        <v>-51.011111111111106</v>
      </c>
      <c r="QC65" s="1">
        <v>0.4</v>
      </c>
      <c r="QD65" s="487">
        <v>-17.677777777777777</v>
      </c>
      <c r="QE65" s="1">
        <v>0.36363636363636365</v>
      </c>
      <c r="QF65" s="487">
        <v>-152.4666666666667</v>
      </c>
      <c r="QG65" s="1">
        <v>0.1111111111111111</v>
      </c>
      <c r="QH65" s="487">
        <v>-27.288888888888895</v>
      </c>
      <c r="QI65" s="1">
        <v>0.16666666666666666</v>
      </c>
      <c r="QJ65" s="487">
        <v>83.088888888888903</v>
      </c>
      <c r="QK65" s="1">
        <v>0.77777777777777779</v>
      </c>
      <c r="QL65" s="487">
        <v>-54.855555555555554</v>
      </c>
      <c r="QM65" s="1">
        <v>0.14285714285714285</v>
      </c>
      <c r="QN65" s="487">
        <v>-46.744444444444447</v>
      </c>
      <c r="QO65" s="1">
        <v>0.33333333333333331</v>
      </c>
      <c r="QP65" s="487">
        <v>39.377777777777773</v>
      </c>
      <c r="QQ65" s="1">
        <v>1</v>
      </c>
      <c r="QR65" s="487">
        <v>2.7888888888888888</v>
      </c>
      <c r="QS65" s="1">
        <v>0.5</v>
      </c>
      <c r="QT65" s="487">
        <v>-44.300000000000004</v>
      </c>
      <c r="QU65" s="1">
        <v>0.25</v>
      </c>
      <c r="QV65" s="487">
        <v>62.699999999999996</v>
      </c>
      <c r="QW65" s="1">
        <v>0.625</v>
      </c>
      <c r="QX65" s="487">
        <v>-37.111111111111107</v>
      </c>
      <c r="QY65" s="1">
        <v>0.13333333333333333</v>
      </c>
      <c r="QZ65" s="487"/>
      <c r="RA65" s="1"/>
      <c r="RB65" s="487">
        <v>-28.633333333333333</v>
      </c>
      <c r="RC65" s="1">
        <v>0.44444444444444442</v>
      </c>
      <c r="RD65" s="487">
        <v>-60.744444444444447</v>
      </c>
      <c r="RE65" s="1">
        <v>0.4</v>
      </c>
      <c r="RF65" s="487">
        <v>4.8777777777777782</v>
      </c>
      <c r="RG65" s="1">
        <v>0.66666666666666663</v>
      </c>
      <c r="RH65" s="487">
        <v>-67.233333333333334</v>
      </c>
      <c r="RI65" s="1">
        <v>0.2</v>
      </c>
      <c r="RJ65" s="487">
        <v>68.677777777777777</v>
      </c>
      <c r="RK65" s="1">
        <v>0.875</v>
      </c>
      <c r="RL65" s="487"/>
      <c r="RM65" s="1"/>
      <c r="RN65" s="487">
        <v>8.9666666666666668</v>
      </c>
      <c r="RO65" s="1">
        <v>0.7</v>
      </c>
      <c r="RP65" s="487">
        <v>34.611111111111107</v>
      </c>
      <c r="RQ65" s="1">
        <v>0.83333333333333337</v>
      </c>
      <c r="RR65" s="487"/>
      <c r="RS65" s="1"/>
      <c r="RT65" s="487">
        <v>35.266666666666659</v>
      </c>
      <c r="RU65" s="1">
        <v>0.6</v>
      </c>
      <c r="RV65" s="487">
        <v>-39.299999999999997</v>
      </c>
      <c r="RW65" s="1">
        <v>0.375</v>
      </c>
      <c r="RX65" s="487">
        <v>-14.155555555555553</v>
      </c>
      <c r="RY65" s="1">
        <v>0.5714285714285714</v>
      </c>
      <c r="RZ65" s="487">
        <v>-105</v>
      </c>
      <c r="SA65" s="1">
        <v>0.22222222222222221</v>
      </c>
      <c r="SB65" s="487">
        <v>63.077777777777783</v>
      </c>
      <c r="SC65" s="1">
        <v>1</v>
      </c>
      <c r="SD65" s="487"/>
      <c r="SE65" s="1"/>
      <c r="SF65" s="487"/>
      <c r="SG65" s="1"/>
      <c r="SH65" s="487">
        <v>-36.588888888888889</v>
      </c>
      <c r="SI65" s="1">
        <v>0.16666666666666666</v>
      </c>
      <c r="SJ65" s="487">
        <v>-21.866666666666671</v>
      </c>
      <c r="SK65" s="1">
        <v>0.35714285714285715</v>
      </c>
      <c r="SL65" s="487">
        <v>11.788888888888888</v>
      </c>
      <c r="SM65" s="1">
        <v>1</v>
      </c>
      <c r="SN65" s="487">
        <v>17.700000000000003</v>
      </c>
      <c r="SO65" s="1">
        <v>0.8</v>
      </c>
      <c r="SP65" s="487">
        <v>-24.6</v>
      </c>
      <c r="SQ65" s="1">
        <v>0.33333333333333331</v>
      </c>
      <c r="SR65" s="487">
        <v>-14.344444444444441</v>
      </c>
      <c r="SS65" s="1">
        <v>0.25</v>
      </c>
      <c r="ST65" s="487">
        <v>-18.277777777777782</v>
      </c>
      <c r="SU65" s="1">
        <v>0.375</v>
      </c>
      <c r="SV65" s="487">
        <v>-23.711111111111105</v>
      </c>
      <c r="SW65" s="1">
        <v>0.30769230769230771</v>
      </c>
      <c r="SX65" s="487"/>
      <c r="SY65" s="1"/>
      <c r="SZ65" s="487">
        <v>-82.600000000000009</v>
      </c>
      <c r="TA65" s="1">
        <v>0.125</v>
      </c>
      <c r="TB65" s="487">
        <v>-31.288888888888888</v>
      </c>
      <c r="TC65" s="1">
        <v>0.25</v>
      </c>
      <c r="TD65" s="487">
        <v>-13.399999999999997</v>
      </c>
      <c r="TE65" s="1">
        <v>0.5714285714285714</v>
      </c>
      <c r="TF65" s="487">
        <v>1.0666666666666667</v>
      </c>
      <c r="TG65" s="1">
        <v>0.5</v>
      </c>
      <c r="TH65" s="488">
        <v>19.788888888888888</v>
      </c>
      <c r="TI65" s="1">
        <v>1</v>
      </c>
      <c r="TJ65" s="489">
        <v>-13.211111111111116</v>
      </c>
      <c r="TK65" s="1">
        <v>0.6</v>
      </c>
      <c r="TL65" s="490">
        <v>-6.3111111111111127</v>
      </c>
      <c r="TM65" s="1">
        <v>0.42857142857142855</v>
      </c>
      <c r="TN65" s="495"/>
      <c r="TO65" s="1"/>
      <c r="TP65" s="500">
        <v>-4.7222222222222205</v>
      </c>
      <c r="TQ65" s="1">
        <v>0.54545454545454541</v>
      </c>
      <c r="TR65" s="511">
        <v>-9.6555555555555603</v>
      </c>
      <c r="TS65" s="1">
        <v>0.2</v>
      </c>
      <c r="TT65" s="515">
        <v>-35.05555555555555</v>
      </c>
      <c r="TU65" s="1">
        <v>0.25</v>
      </c>
      <c r="TV65" s="518">
        <v>-17.922222222222224</v>
      </c>
      <c r="TW65" s="1">
        <v>0.5</v>
      </c>
      <c r="TX65" s="521">
        <v>-39.766666666666666</v>
      </c>
      <c r="TY65" s="1">
        <v>0.25</v>
      </c>
      <c r="TZ65" s="524">
        <v>-41.455555555555556</v>
      </c>
      <c r="UA65" s="1">
        <v>0.14285714285714285</v>
      </c>
      <c r="UB65" s="527">
        <v>-36.311111111111117</v>
      </c>
      <c r="UC65" s="1">
        <v>0.33333333333333331</v>
      </c>
      <c r="UD65" s="530">
        <v>18.2</v>
      </c>
      <c r="UE65" s="1">
        <v>0.2</v>
      </c>
      <c r="UF65" s="533">
        <v>45.033333333333331</v>
      </c>
      <c r="UG65" s="1">
        <v>0.66666666666666663</v>
      </c>
      <c r="UH65" s="536">
        <v>45.611111111111114</v>
      </c>
      <c r="UI65" s="1">
        <v>1</v>
      </c>
      <c r="UJ65" s="539"/>
      <c r="UK65" s="1"/>
      <c r="UL65" s="540">
        <v>13.611111111111105</v>
      </c>
      <c r="UM65" s="1">
        <v>0.55555555555555558</v>
      </c>
      <c r="UN65" s="543">
        <v>38.444444444444436</v>
      </c>
      <c r="UO65" s="1">
        <v>0.625</v>
      </c>
      <c r="UP65" s="544">
        <v>49.311111111111103</v>
      </c>
      <c r="UQ65" s="1">
        <v>1</v>
      </c>
      <c r="UR65" s="551">
        <v>-23.633333333333336</v>
      </c>
      <c r="US65" s="1">
        <v>0.33333333333333331</v>
      </c>
      <c r="UT65" s="551">
        <v>26.722222222222218</v>
      </c>
      <c r="UU65" s="1">
        <v>0.66666666666666663</v>
      </c>
      <c r="UV65" s="562">
        <v>-77.333333333333343</v>
      </c>
      <c r="UW65" s="1">
        <v>0.33333333333333331</v>
      </c>
      <c r="UX65" s="566">
        <v>25.255555555555556</v>
      </c>
      <c r="UY65" s="1">
        <v>0.6</v>
      </c>
      <c r="UZ65" s="568"/>
      <c r="VA65" s="1"/>
      <c r="VB65" s="572">
        <v>-9.7555555555555564</v>
      </c>
      <c r="VC65" s="1">
        <v>0.55555555555555558</v>
      </c>
      <c r="VD65" s="576">
        <v>-38.511111111111106</v>
      </c>
      <c r="VE65" s="1">
        <v>0.46153846153846156</v>
      </c>
      <c r="VF65" s="580">
        <v>9.2555555555555529</v>
      </c>
      <c r="VG65" s="1">
        <v>0.4</v>
      </c>
      <c r="VH65" s="584">
        <v>1.7777777777777772</v>
      </c>
      <c r="VI65" s="1">
        <v>0.66666666666666663</v>
      </c>
      <c r="VJ65" s="589">
        <v>-2.3888888888888911</v>
      </c>
      <c r="VK65" s="1">
        <v>0.6</v>
      </c>
      <c r="VL65" s="593">
        <v>-51.766666666666666</v>
      </c>
      <c r="VM65" s="1">
        <v>0</v>
      </c>
      <c r="VN65" s="597">
        <v>9.68888888888889</v>
      </c>
      <c r="VO65" s="1">
        <v>1</v>
      </c>
      <c r="VP65" s="601">
        <v>-96.022222222222226</v>
      </c>
      <c r="VQ65" s="1">
        <v>0.35714285714285715</v>
      </c>
      <c r="VR65" s="603"/>
      <c r="VS65" s="1"/>
      <c r="VT65" s="607">
        <v>-84.622222222222234</v>
      </c>
      <c r="VU65" s="1">
        <v>0.33333333333333331</v>
      </c>
      <c r="VV65" s="609">
        <v>19.844444444444449</v>
      </c>
      <c r="VW65" s="1">
        <v>0.55555555555555558</v>
      </c>
      <c r="VX65" s="613">
        <v>21.722222222222218</v>
      </c>
      <c r="VY65" s="1">
        <v>0.55555555555555558</v>
      </c>
      <c r="VZ65" s="617">
        <v>-10.52222222222222</v>
      </c>
      <c r="WA65" s="1">
        <v>0.54545454545454541</v>
      </c>
      <c r="WB65" s="619">
        <v>1.6333333333333333</v>
      </c>
      <c r="WC65" s="1">
        <v>1</v>
      </c>
      <c r="WD65" s="624">
        <v>-24.511111111111106</v>
      </c>
      <c r="WE65" s="1">
        <v>0.375</v>
      </c>
      <c r="WF65" s="626">
        <v>-66.422222222222217</v>
      </c>
      <c r="WG65" s="1">
        <v>0.3</v>
      </c>
      <c r="WH65" s="630">
        <v>-97.100000000000009</v>
      </c>
      <c r="WI65" s="1">
        <v>0.14285714285714285</v>
      </c>
      <c r="WJ65" s="636">
        <v>-43.077777777777783</v>
      </c>
      <c r="WK65" s="1">
        <v>0.2857142857142857</v>
      </c>
      <c r="WL65" s="638">
        <v>8.6444444444444457</v>
      </c>
      <c r="WM65" s="1">
        <v>0.5</v>
      </c>
      <c r="WN65" s="642">
        <v>24.833333333333329</v>
      </c>
      <c r="WO65" s="1">
        <v>0.875</v>
      </c>
      <c r="WP65" s="646">
        <v>66.98888888888888</v>
      </c>
      <c r="WQ65" s="1">
        <v>1</v>
      </c>
      <c r="WR65" s="652">
        <v>-37.36666666666666</v>
      </c>
      <c r="WS65" s="1">
        <v>0.4</v>
      </c>
      <c r="WT65" s="659">
        <v>-13.722222222222223</v>
      </c>
      <c r="WU65" s="1">
        <v>0.6</v>
      </c>
      <c r="WV65" s="659">
        <v>31.511111111111116</v>
      </c>
      <c r="WW65" s="1">
        <v>0.33333333333333331</v>
      </c>
      <c r="WX65" s="672">
        <v>34.777777777777779</v>
      </c>
      <c r="WY65" s="1">
        <v>0.63636363636363635</v>
      </c>
      <c r="WZ65" s="677">
        <v>-67.266666666666666</v>
      </c>
      <c r="XA65" s="1">
        <v>0.2</v>
      </c>
      <c r="XB65" s="681">
        <v>1.3333333333333295</v>
      </c>
      <c r="XC65" s="1">
        <v>0.42857142857142855</v>
      </c>
      <c r="XD65" s="683"/>
      <c r="XE65" s="1"/>
      <c r="XF65" s="687">
        <v>-12.544444444444443</v>
      </c>
      <c r="XG65" s="1">
        <v>0.42857142857142855</v>
      </c>
      <c r="XH65" s="689">
        <v>-4.3777777777777773</v>
      </c>
      <c r="XI65" s="1">
        <v>0.33333333333333331</v>
      </c>
      <c r="XJ65" s="696"/>
      <c r="XK65" s="1"/>
      <c r="XL65" s="696">
        <v>-6.2333333333333361</v>
      </c>
      <c r="XM65" s="1">
        <v>0.6</v>
      </c>
      <c r="XN65" s="696">
        <v>15.011111111111116</v>
      </c>
      <c r="XO65" s="1">
        <v>0.55555555555555558</v>
      </c>
      <c r="XP65" s="700">
        <v>-25.999999999999996</v>
      </c>
      <c r="XQ65" s="1">
        <v>0.4</v>
      </c>
      <c r="XR65" s="705">
        <v>-101.03333333333333</v>
      </c>
      <c r="XS65" s="1">
        <v>0.25</v>
      </c>
      <c r="XT65" s="709">
        <v>-16.088888888888889</v>
      </c>
      <c r="XU65" s="1">
        <v>0.45454545454545453</v>
      </c>
      <c r="XV65" s="715">
        <v>-49.944444444444436</v>
      </c>
      <c r="XW65" s="1">
        <v>0.15384615384615385</v>
      </c>
    </row>
    <row r="66" spans="2:647" x14ac:dyDescent="0.25">
      <c r="B66" s="755"/>
      <c r="C66" s="756"/>
      <c r="D66" s="765" t="s">
        <v>45</v>
      </c>
      <c r="E66" s="765"/>
      <c r="F66" s="482">
        <v>1.3</v>
      </c>
      <c r="G66" s="344" t="s">
        <v>52</v>
      </c>
      <c r="H66" s="6"/>
      <c r="I66" s="6"/>
      <c r="J66" s="6"/>
      <c r="K66" s="6"/>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6"/>
      <c r="BC66" s="6"/>
      <c r="BD66" s="6"/>
      <c r="BE66" s="6"/>
      <c r="BF66" s="6"/>
      <c r="BG66" s="6"/>
      <c r="BH66" s="6"/>
      <c r="BI66" s="6"/>
      <c r="BJ66" s="6"/>
      <c r="BK66" s="6"/>
      <c r="BL66" s="6"/>
      <c r="BM66" s="6"/>
      <c r="BN66" s="6"/>
      <c r="BO66" s="6"/>
      <c r="BP66" s="6"/>
      <c r="BQ66" s="6"/>
      <c r="BR66" s="6"/>
      <c r="BS66" s="6"/>
      <c r="BT66" s="6"/>
      <c r="BU66" s="6"/>
      <c r="BV66" s="6"/>
      <c r="BW66" s="6"/>
      <c r="BX66" s="487"/>
      <c r="BY66" s="1"/>
      <c r="BZ66" s="487"/>
      <c r="CA66" s="1"/>
      <c r="CB66" s="487"/>
      <c r="CC66" s="1"/>
      <c r="CD66" s="487"/>
      <c r="CE66" s="1"/>
      <c r="CF66" s="487"/>
      <c r="CG66" s="1"/>
      <c r="CH66" s="487"/>
      <c r="CI66" s="1"/>
      <c r="CJ66" s="487"/>
      <c r="CK66" s="1"/>
      <c r="CL66" s="487"/>
      <c r="CM66" s="1"/>
      <c r="CN66" s="487"/>
      <c r="CO66" s="1"/>
      <c r="CP66" s="487"/>
      <c r="CQ66" s="1"/>
      <c r="CR66" s="487"/>
      <c r="CS66" s="1"/>
      <c r="CT66" s="487"/>
      <c r="CU66" s="1"/>
      <c r="CV66" s="487"/>
      <c r="CW66" s="1"/>
      <c r="CX66" s="487"/>
      <c r="CY66" s="1"/>
      <c r="CZ66" s="487"/>
      <c r="DA66" s="1"/>
      <c r="DB66" s="487"/>
      <c r="DC66" s="1"/>
      <c r="DD66" s="487"/>
      <c r="DE66" s="1"/>
      <c r="DF66" s="487"/>
      <c r="DG66" s="1"/>
      <c r="DH66" s="487"/>
      <c r="DI66" s="1"/>
      <c r="DJ66" s="487"/>
      <c r="DK66" s="1"/>
      <c r="DL66" s="487"/>
      <c r="DM66" s="1"/>
      <c r="DN66" s="487"/>
      <c r="DO66" s="1"/>
      <c r="DP66" s="487"/>
      <c r="DQ66" s="1"/>
      <c r="DR66" s="487"/>
      <c r="DS66" s="1"/>
      <c r="DT66" s="487"/>
      <c r="DU66" s="1"/>
      <c r="DV66" s="487"/>
      <c r="DW66" s="1"/>
      <c r="DX66" s="487"/>
      <c r="DY66" s="1"/>
      <c r="DZ66" s="487"/>
      <c r="EA66" s="1"/>
      <c r="EB66" s="487"/>
      <c r="EC66" s="1"/>
      <c r="ED66" s="487"/>
      <c r="EE66" s="1"/>
      <c r="EF66" s="487"/>
      <c r="EG66" s="1"/>
      <c r="EH66" s="487"/>
      <c r="EI66" s="1"/>
      <c r="EJ66" s="487"/>
      <c r="EK66" s="1"/>
      <c r="EL66" s="487"/>
      <c r="EM66" s="1"/>
      <c r="EN66" s="487"/>
      <c r="EO66" s="1"/>
      <c r="EP66" s="487"/>
      <c r="EQ66" s="1"/>
      <c r="ER66" s="487"/>
      <c r="ES66" s="1"/>
      <c r="ET66" s="487"/>
      <c r="EU66" s="1"/>
      <c r="EV66" s="487"/>
      <c r="EW66" s="1"/>
      <c r="EX66" s="487"/>
      <c r="EY66" s="1"/>
      <c r="EZ66" s="487"/>
      <c r="FA66" s="1"/>
      <c r="FB66" s="487"/>
      <c r="FC66" s="1"/>
      <c r="FD66" s="487"/>
      <c r="FE66" s="1"/>
      <c r="FF66" s="487"/>
      <c r="FG66" s="1"/>
      <c r="FH66" s="487"/>
      <c r="FI66" s="1"/>
      <c r="FJ66" s="487"/>
      <c r="FK66" s="1"/>
      <c r="FL66" s="487"/>
      <c r="FM66" s="1"/>
      <c r="FN66" s="487"/>
      <c r="FO66" s="1"/>
      <c r="FP66" s="487"/>
      <c r="FQ66" s="1"/>
      <c r="FR66" s="487"/>
      <c r="FS66" s="1"/>
      <c r="FT66" s="487"/>
      <c r="FU66" s="1"/>
      <c r="FV66" s="487"/>
      <c r="FW66" s="1"/>
      <c r="FX66" s="487"/>
      <c r="FY66" s="1"/>
      <c r="FZ66" s="487"/>
      <c r="GA66" s="1"/>
      <c r="GB66" s="487"/>
      <c r="GC66" s="1"/>
      <c r="GD66" s="487"/>
      <c r="GE66" s="1"/>
      <c r="GF66" s="487"/>
      <c r="GG66" s="1"/>
      <c r="GH66" s="487"/>
      <c r="GI66" s="1"/>
      <c r="GJ66" s="487"/>
      <c r="GK66" s="1"/>
      <c r="GL66" s="487"/>
      <c r="GM66" s="1"/>
      <c r="GN66" s="487"/>
      <c r="GO66" s="1"/>
      <c r="GP66" s="487"/>
      <c r="GQ66" s="1"/>
      <c r="GR66" s="487"/>
      <c r="GS66" s="1"/>
      <c r="GT66" s="487"/>
      <c r="GU66" s="1"/>
      <c r="GV66" s="487"/>
      <c r="GW66" s="1"/>
      <c r="GX66" s="487"/>
      <c r="GY66" s="1"/>
      <c r="GZ66" s="487"/>
      <c r="HA66" s="1"/>
      <c r="HB66" s="487"/>
      <c r="HC66" s="1"/>
      <c r="HD66" s="487"/>
      <c r="HE66" s="1"/>
      <c r="HF66" s="487"/>
      <c r="HG66" s="1"/>
      <c r="HH66" s="487"/>
      <c r="HI66" s="1"/>
      <c r="HJ66" s="487"/>
      <c r="HK66" s="1"/>
      <c r="HL66" s="487"/>
      <c r="HM66" s="1"/>
      <c r="HN66" s="487"/>
      <c r="HO66" s="1"/>
      <c r="HP66" s="487"/>
      <c r="HQ66" s="1"/>
      <c r="HR66" s="487"/>
      <c r="HS66" s="1"/>
      <c r="HT66" s="487"/>
      <c r="HU66" s="1"/>
      <c r="HV66" s="487"/>
      <c r="HW66" s="1"/>
      <c r="HX66" s="487"/>
      <c r="HY66" s="1"/>
      <c r="HZ66" s="487"/>
      <c r="IA66" s="1"/>
      <c r="IB66" s="487"/>
      <c r="IC66" s="1"/>
      <c r="ID66" s="487"/>
      <c r="IE66" s="1"/>
      <c r="IF66" s="487"/>
      <c r="IG66" s="1"/>
      <c r="IH66" s="487"/>
      <c r="II66" s="1"/>
      <c r="IJ66" s="487"/>
      <c r="IK66" s="1"/>
      <c r="IL66" s="487"/>
      <c r="IM66" s="1"/>
      <c r="IN66" s="487"/>
      <c r="IO66" s="1"/>
      <c r="IP66" s="487">
        <v>4.9384615384615387</v>
      </c>
      <c r="IQ66" s="1">
        <v>0.6</v>
      </c>
      <c r="IR66" s="487">
        <v>-13.63076923076923</v>
      </c>
      <c r="IS66" s="1">
        <v>0</v>
      </c>
      <c r="IT66" s="487">
        <v>5.7615384615384615</v>
      </c>
      <c r="IU66" s="1">
        <v>1</v>
      </c>
      <c r="IV66" s="487">
        <v>-13.13846153846154</v>
      </c>
      <c r="IW66" s="1">
        <v>0</v>
      </c>
      <c r="IX66" s="487">
        <v>-4.3384615384615373</v>
      </c>
      <c r="IY66" s="1">
        <v>0.2</v>
      </c>
      <c r="IZ66" s="487">
        <v>-12.607692307692307</v>
      </c>
      <c r="JA66" s="1">
        <v>0</v>
      </c>
      <c r="JB66" s="487">
        <v>-6.2153846153846128</v>
      </c>
      <c r="JC66" s="1">
        <v>0.33333333333333331</v>
      </c>
      <c r="JD66" s="487">
        <v>30.123076923076919</v>
      </c>
      <c r="JE66" s="1">
        <v>1</v>
      </c>
      <c r="JF66" s="487">
        <v>1</v>
      </c>
      <c r="JG66" s="1">
        <v>1</v>
      </c>
      <c r="JH66" s="487">
        <v>7.638461538461538</v>
      </c>
      <c r="JI66" s="1">
        <v>1</v>
      </c>
      <c r="JJ66" s="487">
        <v>-9.3769230769230774</v>
      </c>
      <c r="JK66" s="1">
        <v>0.2</v>
      </c>
      <c r="JL66" s="487">
        <v>-13.530769230769231</v>
      </c>
      <c r="JM66" s="1">
        <v>0.4</v>
      </c>
      <c r="JN66" s="487"/>
      <c r="JO66" s="1"/>
      <c r="JP66" s="487">
        <v>-12.438461538461539</v>
      </c>
      <c r="JQ66" s="1">
        <v>0</v>
      </c>
      <c r="JR66" s="487"/>
      <c r="JS66" s="1"/>
      <c r="JT66" s="487">
        <v>-12.823076923076922</v>
      </c>
      <c r="JU66" s="1">
        <v>0.25</v>
      </c>
      <c r="JV66" s="487">
        <v>-13.138461538461536</v>
      </c>
      <c r="JW66" s="1">
        <v>0</v>
      </c>
      <c r="JX66" s="487">
        <v>31.569230769230767</v>
      </c>
      <c r="JY66" s="1">
        <v>1</v>
      </c>
      <c r="JZ66" s="487">
        <v>-2.569230769230769</v>
      </c>
      <c r="KA66" s="1">
        <v>0.25</v>
      </c>
      <c r="KB66" s="487">
        <v>31.153846153846153</v>
      </c>
      <c r="KC66" s="1">
        <v>1</v>
      </c>
      <c r="KD66" s="487">
        <v>-12.984615384615383</v>
      </c>
      <c r="KE66" s="1">
        <v>0</v>
      </c>
      <c r="KF66" s="487">
        <v>23.369230769230768</v>
      </c>
      <c r="KG66" s="1">
        <v>0.5</v>
      </c>
      <c r="KH66" s="487">
        <v>34.715384615384608</v>
      </c>
      <c r="KI66" s="1">
        <v>0.75</v>
      </c>
      <c r="KJ66" s="487">
        <v>-15.192307692307692</v>
      </c>
      <c r="KK66" s="1">
        <v>0</v>
      </c>
      <c r="KL66" s="487">
        <v>42.638461538461534</v>
      </c>
      <c r="KM66" s="1">
        <v>0.5714285714285714</v>
      </c>
      <c r="KN66" s="487">
        <v>10.669230769230769</v>
      </c>
      <c r="KO66" s="1">
        <v>0.625</v>
      </c>
      <c r="KP66" s="487"/>
      <c r="KQ66" s="1"/>
      <c r="KR66" s="487">
        <v>-15.184615384615386</v>
      </c>
      <c r="KS66" s="170">
        <v>0</v>
      </c>
      <c r="KT66" s="487"/>
      <c r="KU66" s="8"/>
      <c r="KV66" s="487">
        <v>-15.530769230769231</v>
      </c>
      <c r="KW66" s="8">
        <v>0</v>
      </c>
      <c r="KX66" s="487"/>
      <c r="KY66" s="8"/>
      <c r="KZ66" s="487">
        <v>9.8384615384615373</v>
      </c>
      <c r="LA66" s="1">
        <v>1</v>
      </c>
      <c r="LB66" s="487">
        <v>31.076923076923073</v>
      </c>
      <c r="LC66" s="1">
        <v>0.66666666666666663</v>
      </c>
      <c r="LD66" s="487">
        <v>-15.792307692307689</v>
      </c>
      <c r="LE66" s="1">
        <v>0</v>
      </c>
      <c r="LF66" s="487"/>
      <c r="LG66" s="1"/>
      <c r="LH66" s="487">
        <v>-15.7</v>
      </c>
      <c r="LI66" s="1">
        <v>0</v>
      </c>
      <c r="LJ66" s="487"/>
      <c r="LK66" s="1"/>
      <c r="LL66" s="487">
        <v>-14.346153846153847</v>
      </c>
      <c r="LM66" s="1">
        <v>0.2</v>
      </c>
      <c r="LN66" s="487">
        <v>-15.592307692307688</v>
      </c>
      <c r="LO66" s="1">
        <v>0</v>
      </c>
      <c r="LP66" s="487">
        <v>-15.392307692307693</v>
      </c>
      <c r="LQ66" s="1">
        <v>0</v>
      </c>
      <c r="LR66" s="487"/>
      <c r="LS66" s="1"/>
      <c r="LT66" s="487">
        <v>-2.8769230769230782</v>
      </c>
      <c r="LU66" s="1">
        <v>0.25</v>
      </c>
      <c r="LV66" s="487">
        <v>-7.6692307692307695</v>
      </c>
      <c r="LW66" s="1">
        <v>0</v>
      </c>
      <c r="LX66" s="487">
        <v>-16.707692307692305</v>
      </c>
      <c r="LY66" s="1">
        <v>0</v>
      </c>
      <c r="LZ66" s="487">
        <v>-14.761538461538459</v>
      </c>
      <c r="MA66" s="1">
        <v>0</v>
      </c>
      <c r="MB66" s="487">
        <v>-17.546153846153846</v>
      </c>
      <c r="MC66" s="1">
        <v>0</v>
      </c>
      <c r="MD66" s="487"/>
      <c r="ME66" s="1"/>
      <c r="MF66" s="487">
        <v>14.90769230769231</v>
      </c>
      <c r="MG66" s="1">
        <v>0.5</v>
      </c>
      <c r="MH66" s="487">
        <v>18.930769230769229</v>
      </c>
      <c r="MI66" s="1">
        <v>0.5</v>
      </c>
      <c r="MJ66" s="487">
        <v>-11.4</v>
      </c>
      <c r="MK66" s="1">
        <v>0.16666666666666666</v>
      </c>
      <c r="ML66" s="487">
        <v>-1.653846153846154</v>
      </c>
      <c r="MM66" s="1">
        <v>0.25</v>
      </c>
      <c r="MN66" s="487">
        <v>-16.753846153846151</v>
      </c>
      <c r="MO66" s="1">
        <v>0</v>
      </c>
      <c r="MP66" s="487">
        <v>-16.707692307692305</v>
      </c>
      <c r="MQ66" s="1">
        <v>0</v>
      </c>
      <c r="MR66" s="487">
        <v>-9.3769230769230756</v>
      </c>
      <c r="MS66" s="1">
        <v>0</v>
      </c>
      <c r="MT66" s="487">
        <v>-36.646153846153844</v>
      </c>
      <c r="MU66" s="1">
        <v>0.16666666666666666</v>
      </c>
      <c r="MV66" s="487">
        <v>-8.1615384615384627</v>
      </c>
      <c r="MW66" s="1">
        <v>0</v>
      </c>
      <c r="MX66" s="487">
        <v>-16.938461538461539</v>
      </c>
      <c r="MY66" s="1">
        <v>0</v>
      </c>
      <c r="MZ66" s="487">
        <v>-10.838461538461537</v>
      </c>
      <c r="NA66" s="1">
        <v>0</v>
      </c>
      <c r="NB66" s="487">
        <v>-9.092307692307692</v>
      </c>
      <c r="NC66" s="1">
        <v>0</v>
      </c>
      <c r="ND66" s="487"/>
      <c r="NE66" s="1"/>
      <c r="NF66" s="487">
        <v>22.784615384615382</v>
      </c>
      <c r="NG66" s="1">
        <v>0.375</v>
      </c>
      <c r="NH66" s="487">
        <v>22.784615384615382</v>
      </c>
      <c r="NI66" s="1">
        <v>0.375</v>
      </c>
      <c r="NJ66" s="487">
        <v>-15.407692307692308</v>
      </c>
      <c r="NK66" s="1">
        <v>0</v>
      </c>
      <c r="NL66" s="487">
        <v>-15.500000000000002</v>
      </c>
      <c r="NM66" s="1">
        <v>0</v>
      </c>
      <c r="NN66" s="487"/>
      <c r="NO66" s="1"/>
      <c r="NP66" s="487">
        <v>-18.107692307692307</v>
      </c>
      <c r="NQ66" s="1">
        <v>0</v>
      </c>
      <c r="NR66" s="487">
        <v>-16.592307692307692</v>
      </c>
      <c r="NS66" s="1">
        <v>0</v>
      </c>
      <c r="NT66" s="487">
        <v>-15.684615384615384</v>
      </c>
      <c r="NU66" s="1">
        <v>0</v>
      </c>
      <c r="NV66" s="487">
        <v>12.069230769230769</v>
      </c>
      <c r="NW66" s="1">
        <v>0.5</v>
      </c>
      <c r="NX66" s="487">
        <v>4.6769230769230781</v>
      </c>
      <c r="NY66" s="1">
        <v>0.33333333333333331</v>
      </c>
      <c r="NZ66" s="487">
        <v>-12.076923076923077</v>
      </c>
      <c r="OA66" s="1">
        <v>0.25</v>
      </c>
      <c r="OB66" s="487">
        <v>10.723076923076922</v>
      </c>
      <c r="OC66" s="1">
        <v>0.66666666666666663</v>
      </c>
      <c r="OD66" s="487">
        <v>-15</v>
      </c>
      <c r="OE66" s="1">
        <v>0</v>
      </c>
      <c r="OF66" s="487">
        <v>-7.3230769230769228</v>
      </c>
      <c r="OG66" s="1">
        <v>0</v>
      </c>
      <c r="OH66" s="487">
        <v>-5.0538461538461554</v>
      </c>
      <c r="OI66" s="1">
        <v>0.25</v>
      </c>
      <c r="OJ66" s="487"/>
      <c r="OK66" s="1"/>
      <c r="OL66" s="487">
        <v>-3.6692307692307682</v>
      </c>
      <c r="OM66" s="1">
        <v>0.33333333333333331</v>
      </c>
      <c r="ON66" s="487"/>
      <c r="OO66" s="1"/>
      <c r="OP66" s="487">
        <v>-12.938461538461539</v>
      </c>
      <c r="OQ66" s="1">
        <v>0.2</v>
      </c>
      <c r="OR66" s="487"/>
      <c r="OS66" s="1"/>
      <c r="OT66" s="487">
        <v>5.6999999999999984</v>
      </c>
      <c r="OU66" s="1">
        <v>0.5</v>
      </c>
      <c r="OV66" s="487"/>
      <c r="OW66" s="1"/>
      <c r="OX66" s="487">
        <v>-17.376923076923077</v>
      </c>
      <c r="OY66" s="1">
        <v>0</v>
      </c>
      <c r="OZ66" s="487">
        <v>29.530769230769231</v>
      </c>
      <c r="PA66" s="1">
        <v>0.66666666666666663</v>
      </c>
      <c r="PB66" s="487">
        <v>-15.63076923076923</v>
      </c>
      <c r="PC66" s="1">
        <v>0.25</v>
      </c>
      <c r="PD66" s="487">
        <v>-2.9307692307692323</v>
      </c>
      <c r="PE66" s="1">
        <v>0.2857142857142857</v>
      </c>
      <c r="PF66" s="487">
        <v>-12.784615384615382</v>
      </c>
      <c r="PG66" s="1">
        <v>0.25</v>
      </c>
      <c r="PH66" s="487">
        <v>10.761538461538461</v>
      </c>
      <c r="PI66" s="1">
        <v>0.5</v>
      </c>
      <c r="PJ66" s="487"/>
      <c r="PK66" s="1"/>
      <c r="PL66" s="487">
        <v>6.838461538461539</v>
      </c>
      <c r="PM66" s="1">
        <v>0.33333333333333331</v>
      </c>
      <c r="PN66" s="487">
        <v>55.623076923076916</v>
      </c>
      <c r="PO66" s="1">
        <v>0.75</v>
      </c>
      <c r="PP66" s="487">
        <v>-16.907692307692312</v>
      </c>
      <c r="PQ66" s="1">
        <v>0</v>
      </c>
      <c r="PR66" s="487">
        <v>-17.669230769230769</v>
      </c>
      <c r="PS66" s="1">
        <v>0</v>
      </c>
      <c r="PT66" s="487">
        <v>31.223076923076924</v>
      </c>
      <c r="PU66" s="1">
        <v>0.66666666666666663</v>
      </c>
      <c r="PV66" s="487">
        <v>-17.523076923076925</v>
      </c>
      <c r="PW66" s="1">
        <v>0</v>
      </c>
      <c r="PX66" s="487">
        <v>24.053846153846155</v>
      </c>
      <c r="PY66" s="1">
        <v>0.42857142857142855</v>
      </c>
      <c r="PZ66" s="487"/>
      <c r="QA66" s="1"/>
      <c r="QB66" s="487">
        <v>-4.8230769230769228</v>
      </c>
      <c r="QC66" s="1">
        <v>0.25</v>
      </c>
      <c r="QD66" s="487">
        <v>20.384615384615383</v>
      </c>
      <c r="QE66" s="1">
        <v>0.5</v>
      </c>
      <c r="QF66" s="487">
        <v>-17.76923076923077</v>
      </c>
      <c r="QG66" s="1">
        <v>0</v>
      </c>
      <c r="QH66" s="487">
        <v>5.853846153846157</v>
      </c>
      <c r="QI66" s="1">
        <v>0.33333333333333331</v>
      </c>
      <c r="QJ66" s="487">
        <v>-17.561538461538461</v>
      </c>
      <c r="QK66" s="1">
        <v>0</v>
      </c>
      <c r="QL66" s="487">
        <v>-8.5615384615384631</v>
      </c>
      <c r="QM66" s="1">
        <v>0.2857142857142857</v>
      </c>
      <c r="QN66" s="487">
        <v>-13.538461538461538</v>
      </c>
      <c r="QO66" s="1">
        <v>0.25</v>
      </c>
      <c r="QP66" s="487">
        <v>16.161538461538459</v>
      </c>
      <c r="QQ66" s="1">
        <v>0.5</v>
      </c>
      <c r="QR66" s="487">
        <v>4.5538461538461537</v>
      </c>
      <c r="QS66" s="1">
        <v>0.5</v>
      </c>
      <c r="QT66" s="487">
        <v>-17.46153846153846</v>
      </c>
      <c r="QU66" s="1">
        <v>0</v>
      </c>
      <c r="QV66" s="487">
        <v>9.207692307692307</v>
      </c>
      <c r="QW66" s="1">
        <v>0.375</v>
      </c>
      <c r="QX66" s="487">
        <v>-23.823076923076922</v>
      </c>
      <c r="QY66" s="1">
        <v>0.2</v>
      </c>
      <c r="QZ66" s="487"/>
      <c r="RA66" s="1"/>
      <c r="RB66" s="487">
        <v>-13.853846153846153</v>
      </c>
      <c r="RC66" s="1">
        <v>0.25</v>
      </c>
      <c r="RD66" s="487">
        <v>-11.284615384615384</v>
      </c>
      <c r="RE66" s="1">
        <v>0.42857142857142855</v>
      </c>
      <c r="RF66" s="487">
        <v>-9.6538461538461533</v>
      </c>
      <c r="RG66" s="1">
        <v>0.33333333333333331</v>
      </c>
      <c r="RH66" s="487">
        <v>-18.153846153846153</v>
      </c>
      <c r="RI66" s="1">
        <v>0</v>
      </c>
      <c r="RJ66" s="487">
        <v>-17.261538461538461</v>
      </c>
      <c r="RK66" s="1">
        <v>0</v>
      </c>
      <c r="RL66" s="487"/>
      <c r="RM66" s="1"/>
      <c r="RN66" s="487">
        <v>4.9692307692307693</v>
      </c>
      <c r="RO66" s="1">
        <v>0.7</v>
      </c>
      <c r="RP66" s="487">
        <v>34.630769230769232</v>
      </c>
      <c r="RQ66" s="1">
        <v>0.83333333333333337</v>
      </c>
      <c r="RR66" s="487"/>
      <c r="RS66" s="1"/>
      <c r="RT66" s="487">
        <v>10.869230769230771</v>
      </c>
      <c r="RU66" s="1">
        <v>0.6</v>
      </c>
      <c r="RV66" s="487">
        <v>7.2846153846153809</v>
      </c>
      <c r="RW66" s="1">
        <v>0.375</v>
      </c>
      <c r="RX66" s="487">
        <v>-17.438461538461539</v>
      </c>
      <c r="RY66" s="1">
        <v>0</v>
      </c>
      <c r="RZ66" s="487">
        <v>-13.969230769230769</v>
      </c>
      <c r="SA66" s="1">
        <v>0</v>
      </c>
      <c r="SB66" s="487">
        <v>-17.838461538461537</v>
      </c>
      <c r="SC66" s="1">
        <v>0</v>
      </c>
      <c r="SD66" s="487"/>
      <c r="SE66" s="1"/>
      <c r="SF66" s="487"/>
      <c r="SG66" s="1"/>
      <c r="SH66" s="487">
        <v>-14.330769230769231</v>
      </c>
      <c r="SI66" s="1">
        <v>0.16666666666666666</v>
      </c>
      <c r="SJ66" s="487">
        <v>-12.692307692307692</v>
      </c>
      <c r="SK66" s="1">
        <v>0.2</v>
      </c>
      <c r="SL66" s="487">
        <v>12.076923076923077</v>
      </c>
      <c r="SM66" s="1">
        <v>1</v>
      </c>
      <c r="SN66" s="487">
        <v>-17.253846153846155</v>
      </c>
      <c r="SO66" s="1">
        <v>0</v>
      </c>
      <c r="SP66" s="487">
        <v>-21.076923076923077</v>
      </c>
      <c r="SQ66" s="1">
        <v>0</v>
      </c>
      <c r="SR66" s="487">
        <v>-22.869230769230771</v>
      </c>
      <c r="SS66" s="1">
        <v>0</v>
      </c>
      <c r="ST66" s="487">
        <v>-9.8153846153846143</v>
      </c>
      <c r="SU66" s="1">
        <v>0.4</v>
      </c>
      <c r="SV66" s="487">
        <v>-18.592307692307692</v>
      </c>
      <c r="SW66" s="1">
        <v>0</v>
      </c>
      <c r="SX66" s="487"/>
      <c r="SY66" s="1"/>
      <c r="SZ66" s="487">
        <v>-23.946153846153848</v>
      </c>
      <c r="TA66" s="1">
        <v>0.2</v>
      </c>
      <c r="TB66" s="487">
        <v>-13.423076923076925</v>
      </c>
      <c r="TC66" s="1">
        <v>0.25</v>
      </c>
      <c r="TD66" s="487">
        <v>-3.7692307692307692</v>
      </c>
      <c r="TE66" s="1">
        <v>0.33333333333333331</v>
      </c>
      <c r="TF66" s="487">
        <v>-12.876923076923077</v>
      </c>
      <c r="TG66" s="1">
        <v>0</v>
      </c>
      <c r="TH66" s="488">
        <v>2.861538461538462</v>
      </c>
      <c r="TI66" s="1">
        <v>0.66666666666666663</v>
      </c>
      <c r="TJ66" s="489">
        <v>-16.638461538461542</v>
      </c>
      <c r="TK66" s="1">
        <v>0</v>
      </c>
      <c r="TL66" s="490">
        <v>-17.53846153846154</v>
      </c>
      <c r="TM66" s="1">
        <v>0</v>
      </c>
      <c r="TN66" s="495"/>
      <c r="TO66" s="1"/>
      <c r="TP66" s="500">
        <v>-6.3076923076923084</v>
      </c>
      <c r="TQ66" s="1">
        <v>0.5714285714285714</v>
      </c>
      <c r="TR66" s="511">
        <v>-19.669230769230769</v>
      </c>
      <c r="TS66" s="1">
        <v>0</v>
      </c>
      <c r="TT66" s="515">
        <v>-19.776923076923076</v>
      </c>
      <c r="TU66" s="1">
        <v>0</v>
      </c>
      <c r="TV66" s="518">
        <v>13.792307692307691</v>
      </c>
      <c r="TW66" s="1">
        <v>0.375</v>
      </c>
      <c r="TX66" s="521">
        <v>-23.130769230769229</v>
      </c>
      <c r="TY66" s="1">
        <v>0</v>
      </c>
      <c r="TZ66" s="524">
        <v>-16.099999999999998</v>
      </c>
      <c r="UA66" s="1">
        <v>0</v>
      </c>
      <c r="UB66" s="527">
        <v>-12.076923076923077</v>
      </c>
      <c r="UC66" s="1">
        <v>0.25</v>
      </c>
      <c r="UD66" s="530">
        <v>-16.399999999999999</v>
      </c>
      <c r="UE66" s="1">
        <v>0</v>
      </c>
      <c r="UF66" s="533">
        <v>47.115384615384613</v>
      </c>
      <c r="UG66" s="1">
        <v>0.66666666666666663</v>
      </c>
      <c r="UH66" s="536">
        <v>26.523076923076921</v>
      </c>
      <c r="UI66" s="1">
        <v>0.8</v>
      </c>
      <c r="UJ66" s="539"/>
      <c r="UK66" s="1"/>
      <c r="UL66" s="540">
        <v>15.776923076923079</v>
      </c>
      <c r="UM66" s="1">
        <v>0.55555555555555558</v>
      </c>
      <c r="UN66" s="543">
        <v>43.753846153846148</v>
      </c>
      <c r="UO66" s="1">
        <v>0.625</v>
      </c>
      <c r="UP66" s="544">
        <v>26.792307692307691</v>
      </c>
      <c r="UQ66" s="1">
        <v>0.8</v>
      </c>
      <c r="UR66" s="551">
        <v>-17.892307692307689</v>
      </c>
      <c r="US66" s="1">
        <v>0</v>
      </c>
      <c r="UT66" s="551">
        <v>8.1615384615384627</v>
      </c>
      <c r="UU66" s="1">
        <v>0.5</v>
      </c>
      <c r="UV66" s="562">
        <v>-16.853846153846153</v>
      </c>
      <c r="UW66" s="1">
        <v>0.33333333333333331</v>
      </c>
      <c r="UX66" s="566">
        <v>-15.238461538461539</v>
      </c>
      <c r="UY66" s="1">
        <v>0.2</v>
      </c>
      <c r="UZ66" s="568"/>
      <c r="VA66" s="1"/>
      <c r="VB66" s="572">
        <v>-15.7</v>
      </c>
      <c r="VC66" s="1">
        <v>0</v>
      </c>
      <c r="VD66" s="576">
        <v>-28.499999999999996</v>
      </c>
      <c r="VE66" s="1">
        <v>0.2</v>
      </c>
      <c r="VF66" s="580">
        <v>-9.4461538461538463</v>
      </c>
      <c r="VG66" s="1">
        <v>0.2</v>
      </c>
      <c r="VH66" s="584">
        <v>-15.553846153846152</v>
      </c>
      <c r="VI66" s="1">
        <v>0</v>
      </c>
      <c r="VJ66" s="589">
        <v>0.95384615384615401</v>
      </c>
      <c r="VK66" s="1">
        <v>0.75</v>
      </c>
      <c r="VL66" s="593">
        <v>-24.276923076923079</v>
      </c>
      <c r="VM66" s="1">
        <v>0</v>
      </c>
      <c r="VN66" s="597">
        <v>9.6923076923076916</v>
      </c>
      <c r="VO66" s="1">
        <v>1</v>
      </c>
      <c r="VP66" s="601">
        <v>-25.630769230769229</v>
      </c>
      <c r="VQ66" s="1">
        <v>0.36363636363636365</v>
      </c>
      <c r="VR66" s="603"/>
      <c r="VS66" s="1"/>
      <c r="VT66" s="607">
        <v>-5.0384615384615374</v>
      </c>
      <c r="VU66" s="1">
        <v>0.5</v>
      </c>
      <c r="VV66" s="609">
        <v>-11.661538461538461</v>
      </c>
      <c r="VW66" s="1">
        <v>0</v>
      </c>
      <c r="VX66" s="613">
        <v>-37.146153846153844</v>
      </c>
      <c r="VY66" s="1">
        <v>0</v>
      </c>
      <c r="VZ66" s="617">
        <v>-20.915384615384614</v>
      </c>
      <c r="WA66" s="1">
        <v>0.25</v>
      </c>
      <c r="WB66" s="619">
        <v>1.9230769230769229</v>
      </c>
      <c r="WC66" s="1">
        <v>1</v>
      </c>
      <c r="WD66" s="624">
        <v>-24.199999999999996</v>
      </c>
      <c r="WE66" s="1">
        <v>0.2</v>
      </c>
      <c r="WF66" s="626">
        <v>-33.553846153846159</v>
      </c>
      <c r="WG66" s="1">
        <v>0</v>
      </c>
      <c r="WH66" s="630">
        <v>-38.846153846153847</v>
      </c>
      <c r="WI66" s="1">
        <v>0</v>
      </c>
      <c r="WJ66" s="636">
        <v>-32.130769230769225</v>
      </c>
      <c r="WK66" s="1">
        <v>0.33333333333333331</v>
      </c>
      <c r="WL66" s="638">
        <v>8.6461538461538474</v>
      </c>
      <c r="WM66" s="1">
        <v>0.5</v>
      </c>
      <c r="WN66" s="642">
        <v>18.399999999999999</v>
      </c>
      <c r="WO66" s="1">
        <v>0.875</v>
      </c>
      <c r="WP66" s="646">
        <v>51.07692307692308</v>
      </c>
      <c r="WQ66" s="1">
        <v>0.66666666666666663</v>
      </c>
      <c r="WR66" s="652">
        <v>-43.830769230769235</v>
      </c>
      <c r="WS66" s="1">
        <v>0</v>
      </c>
      <c r="WT66" s="659">
        <v>-32.892307692307689</v>
      </c>
      <c r="WU66" s="1">
        <v>0.4</v>
      </c>
      <c r="WV66" s="659">
        <v>-6.7230769230769214</v>
      </c>
      <c r="WW66" s="1">
        <v>0.22222222222222221</v>
      </c>
      <c r="WX66" s="672">
        <v>42.753846153846155</v>
      </c>
      <c r="WY66" s="1">
        <v>0.875</v>
      </c>
      <c r="WZ66" s="677">
        <v>-30.061538461538458</v>
      </c>
      <c r="XA66" s="1">
        <v>0</v>
      </c>
      <c r="XB66" s="681">
        <v>2.5076923076923072</v>
      </c>
      <c r="XC66" s="1">
        <v>0.33333333333333331</v>
      </c>
      <c r="XD66" s="683"/>
      <c r="XE66" s="1"/>
      <c r="XF66" s="687">
        <v>-22.34615384615385</v>
      </c>
      <c r="XG66" s="1">
        <v>0.4</v>
      </c>
      <c r="XH66" s="689">
        <v>-12.676923076923076</v>
      </c>
      <c r="XI66" s="1">
        <v>0.2</v>
      </c>
      <c r="XJ66" s="696"/>
      <c r="XK66" s="1"/>
      <c r="XL66" s="696">
        <v>-16.246153846153845</v>
      </c>
      <c r="XM66" s="1">
        <v>0.4</v>
      </c>
      <c r="XN66" s="696">
        <v>-17.184615384615388</v>
      </c>
      <c r="XO66" s="1">
        <v>0</v>
      </c>
      <c r="XP66" s="700">
        <v>-3.8538461538461535</v>
      </c>
      <c r="XQ66" s="1">
        <v>0.4</v>
      </c>
      <c r="XR66" s="705">
        <v>-21.346153846153847</v>
      </c>
      <c r="XS66" s="1">
        <v>0</v>
      </c>
      <c r="XT66" s="709">
        <v>-19.815384615384616</v>
      </c>
      <c r="XU66" s="1">
        <v>0</v>
      </c>
      <c r="XV66" s="715">
        <v>-18.976923076923075</v>
      </c>
      <c r="XW66" s="1">
        <v>0</v>
      </c>
    </row>
    <row r="67" spans="2:647" x14ac:dyDescent="0.25">
      <c r="B67" s="755"/>
      <c r="C67" s="756"/>
      <c r="D67" s="766" t="s">
        <v>48</v>
      </c>
      <c r="E67" s="766"/>
      <c r="F67" s="482">
        <v>1.4</v>
      </c>
      <c r="G67" s="475" t="s">
        <v>49</v>
      </c>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c r="BH67" s="6"/>
      <c r="BI67" s="6"/>
      <c r="BJ67" s="6"/>
      <c r="BK67" s="6"/>
      <c r="BL67" s="6"/>
      <c r="BM67" s="6"/>
      <c r="BN67" s="6"/>
      <c r="BO67" s="6"/>
      <c r="BP67" s="6"/>
      <c r="BQ67" s="6"/>
      <c r="BR67" s="6"/>
      <c r="BS67" s="6"/>
      <c r="BT67" s="6"/>
      <c r="BU67" s="6"/>
      <c r="BV67" s="6"/>
      <c r="BW67" s="6"/>
      <c r="BX67" s="487"/>
      <c r="BY67" s="1"/>
      <c r="BZ67" s="487"/>
      <c r="CA67" s="1"/>
      <c r="CB67" s="487"/>
      <c r="CC67" s="1"/>
      <c r="CD67" s="487"/>
      <c r="CE67" s="1"/>
      <c r="CF67" s="487"/>
      <c r="CG67" s="1"/>
      <c r="CH67" s="487"/>
      <c r="CI67" s="1"/>
      <c r="CJ67" s="487"/>
      <c r="CK67" s="1"/>
      <c r="CL67" s="487"/>
      <c r="CM67" s="1"/>
      <c r="CN67" s="487"/>
      <c r="CO67" s="1"/>
      <c r="CP67" s="487"/>
      <c r="CQ67" s="1"/>
      <c r="CR67" s="487"/>
      <c r="CS67" s="1"/>
      <c r="CT67" s="487"/>
      <c r="CU67" s="1"/>
      <c r="CV67" s="487"/>
      <c r="CW67" s="1"/>
      <c r="CX67" s="487"/>
      <c r="CY67" s="1"/>
      <c r="CZ67" s="487"/>
      <c r="DA67" s="1"/>
      <c r="DB67" s="487"/>
      <c r="DC67" s="1"/>
      <c r="DD67" s="487"/>
      <c r="DE67" s="1"/>
      <c r="DF67" s="487"/>
      <c r="DG67" s="1"/>
      <c r="DH67" s="487"/>
      <c r="DI67" s="1"/>
      <c r="DJ67" s="487"/>
      <c r="DK67" s="1"/>
      <c r="DL67" s="487"/>
      <c r="DM67" s="1"/>
      <c r="DN67" s="487"/>
      <c r="DO67" s="1"/>
      <c r="DP67" s="487"/>
      <c r="DQ67" s="1"/>
      <c r="DR67" s="487"/>
      <c r="DS67" s="1"/>
      <c r="DT67" s="487"/>
      <c r="DU67" s="1"/>
      <c r="DV67" s="487"/>
      <c r="DW67" s="1"/>
      <c r="DX67" s="487"/>
      <c r="DY67" s="1"/>
      <c r="DZ67" s="487"/>
      <c r="EA67" s="1"/>
      <c r="EB67" s="487"/>
      <c r="EC67" s="1"/>
      <c r="ED67" s="487"/>
      <c r="EE67" s="1"/>
      <c r="EF67" s="487"/>
      <c r="EG67" s="1"/>
      <c r="EH67" s="487"/>
      <c r="EI67" s="1"/>
      <c r="EJ67" s="487"/>
      <c r="EK67" s="1"/>
      <c r="EL67" s="487"/>
      <c r="EM67" s="1"/>
      <c r="EN67" s="487"/>
      <c r="EO67" s="1"/>
      <c r="EP67" s="487"/>
      <c r="EQ67" s="1"/>
      <c r="ER67" s="487"/>
      <c r="ES67" s="1"/>
      <c r="ET67" s="487"/>
      <c r="EU67" s="1"/>
      <c r="EV67" s="487"/>
      <c r="EW67" s="1"/>
      <c r="EX67" s="487"/>
      <c r="EY67" s="1"/>
      <c r="EZ67" s="487"/>
      <c r="FA67" s="1"/>
      <c r="FB67" s="487"/>
      <c r="FC67" s="1"/>
      <c r="FD67" s="487"/>
      <c r="FE67" s="1"/>
      <c r="FF67" s="487"/>
      <c r="FG67" s="1"/>
      <c r="FH67" s="487"/>
      <c r="FI67" s="1"/>
      <c r="FJ67" s="487"/>
      <c r="FK67" s="1"/>
      <c r="FL67" s="487"/>
      <c r="FM67" s="1"/>
      <c r="FN67" s="487"/>
      <c r="FO67" s="1"/>
      <c r="FP67" s="487"/>
      <c r="FQ67" s="1"/>
      <c r="FR67" s="487"/>
      <c r="FS67" s="1"/>
      <c r="FT67" s="487"/>
      <c r="FU67" s="1"/>
      <c r="FV67" s="487"/>
      <c r="FW67" s="1"/>
      <c r="FX67" s="487"/>
      <c r="FY67" s="1"/>
      <c r="FZ67" s="487"/>
      <c r="GA67" s="1"/>
      <c r="GB67" s="487"/>
      <c r="GC67" s="1"/>
      <c r="GD67" s="487"/>
      <c r="GE67" s="1"/>
      <c r="GF67" s="487"/>
      <c r="GG67" s="1"/>
      <c r="GH67" s="487"/>
      <c r="GI67" s="1"/>
      <c r="GJ67" s="487"/>
      <c r="GK67" s="1"/>
      <c r="GL67" s="487"/>
      <c r="GM67" s="1"/>
      <c r="GN67" s="487"/>
      <c r="GO67" s="1"/>
      <c r="GP67" s="487"/>
      <c r="GQ67" s="1"/>
      <c r="GR67" s="487"/>
      <c r="GS67" s="1"/>
      <c r="GT67" s="487"/>
      <c r="GU67" s="1"/>
      <c r="GV67" s="487"/>
      <c r="GW67" s="1"/>
      <c r="GX67" s="487"/>
      <c r="GY67" s="1"/>
      <c r="GZ67" s="487"/>
      <c r="HA67" s="1"/>
      <c r="HB67" s="487"/>
      <c r="HC67" s="1"/>
      <c r="HD67" s="487"/>
      <c r="HE67" s="1"/>
      <c r="HF67" s="487"/>
      <c r="HG67" s="1"/>
      <c r="HH67" s="487"/>
      <c r="HI67" s="1"/>
      <c r="HJ67" s="487"/>
      <c r="HK67" s="1"/>
      <c r="HL67" s="487"/>
      <c r="HM67" s="1"/>
      <c r="HN67" s="487"/>
      <c r="HO67" s="1"/>
      <c r="HP67" s="487"/>
      <c r="HQ67" s="1"/>
      <c r="HR67" s="487"/>
      <c r="HS67" s="1"/>
      <c r="HT67" s="487"/>
      <c r="HU67" s="1"/>
      <c r="HV67" s="487"/>
      <c r="HW67" s="1"/>
      <c r="HX67" s="487"/>
      <c r="HY67" s="1"/>
      <c r="HZ67" s="487"/>
      <c r="IA67" s="1"/>
      <c r="IB67" s="487"/>
      <c r="IC67" s="1"/>
      <c r="ID67" s="487"/>
      <c r="IE67" s="1"/>
      <c r="IF67" s="487"/>
      <c r="IG67" s="1"/>
      <c r="IH67" s="487"/>
      <c r="II67" s="1"/>
      <c r="IJ67" s="487"/>
      <c r="IK67" s="1"/>
      <c r="IL67" s="487"/>
      <c r="IM67" s="1"/>
      <c r="IN67" s="487"/>
      <c r="IO67" s="1"/>
      <c r="IP67" s="487"/>
      <c r="IQ67" s="1"/>
      <c r="IR67" s="487"/>
      <c r="IS67" s="1"/>
      <c r="IT67" s="487"/>
      <c r="IU67" s="1"/>
      <c r="IV67" s="487"/>
      <c r="IW67" s="1"/>
      <c r="IX67" s="487"/>
      <c r="IY67" s="1"/>
      <c r="IZ67" s="487"/>
      <c r="JA67" s="1"/>
      <c r="JB67" s="487"/>
      <c r="JC67" s="1"/>
      <c r="JD67" s="487"/>
      <c r="JE67" s="1"/>
      <c r="JF67" s="487"/>
      <c r="JG67" s="1"/>
      <c r="JH67" s="487"/>
      <c r="JI67" s="1"/>
      <c r="JJ67" s="487"/>
      <c r="JK67" s="1"/>
      <c r="JL67" s="487"/>
      <c r="JM67" s="1"/>
      <c r="JN67" s="487"/>
      <c r="JO67" s="1"/>
      <c r="JP67" s="487"/>
      <c r="JQ67" s="1"/>
      <c r="JR67" s="487"/>
      <c r="JS67" s="1"/>
      <c r="JT67" s="487"/>
      <c r="JU67" s="1"/>
      <c r="JV67" s="487"/>
      <c r="JW67" s="1"/>
      <c r="JX67" s="487"/>
      <c r="JY67" s="1"/>
      <c r="JZ67" s="487"/>
      <c r="KA67" s="1"/>
      <c r="KB67" s="487"/>
      <c r="KC67" s="1"/>
      <c r="KD67" s="487"/>
      <c r="KE67" s="1"/>
      <c r="KF67" s="487"/>
      <c r="KG67" s="1"/>
      <c r="KH67" s="487"/>
      <c r="KI67" s="1"/>
      <c r="KJ67" s="487"/>
      <c r="KK67" s="1"/>
      <c r="KL67" s="487"/>
      <c r="KM67" s="1"/>
      <c r="KN67" s="487"/>
      <c r="KO67" s="1"/>
      <c r="KP67" s="487"/>
      <c r="KQ67" s="1"/>
      <c r="KR67" s="487"/>
      <c r="KS67" s="1"/>
      <c r="KT67" s="487"/>
      <c r="KU67" s="1"/>
      <c r="KV67" s="487"/>
      <c r="KW67" s="1"/>
      <c r="KX67" s="487"/>
      <c r="KY67" s="1"/>
      <c r="KZ67" s="487"/>
      <c r="LA67" s="1"/>
      <c r="LB67" s="487"/>
      <c r="LC67" s="1"/>
      <c r="LD67" s="487"/>
      <c r="LE67" s="1"/>
      <c r="LF67" s="487"/>
      <c r="LG67" s="1"/>
      <c r="LH67" s="487">
        <v>17.271428571428576</v>
      </c>
      <c r="LI67" s="1">
        <v>0.83333333333333337</v>
      </c>
      <c r="LJ67" s="487"/>
      <c r="LK67" s="1"/>
      <c r="LL67" s="487">
        <v>-45.507142857142853</v>
      </c>
      <c r="LM67" s="1">
        <v>0</v>
      </c>
      <c r="LN67" s="487">
        <v>-15.642857142857142</v>
      </c>
      <c r="LO67" s="1">
        <v>0.5</v>
      </c>
      <c r="LP67" s="487">
        <v>0.37857142857142861</v>
      </c>
      <c r="LQ67" s="1">
        <v>1</v>
      </c>
      <c r="LR67" s="487"/>
      <c r="LS67" s="1"/>
      <c r="LT67" s="487">
        <v>-33.000000000000007</v>
      </c>
      <c r="LU67" s="1">
        <v>0.42857142857142855</v>
      </c>
      <c r="LV67" s="487">
        <v>-7.885714285714287</v>
      </c>
      <c r="LW67" s="1">
        <v>0.5</v>
      </c>
      <c r="LX67" s="487"/>
      <c r="LY67" s="1"/>
      <c r="LZ67" s="487">
        <v>-0.95714285714285707</v>
      </c>
      <c r="MA67" s="1">
        <v>0.5</v>
      </c>
      <c r="MB67" s="487">
        <v>1.0500000000000005</v>
      </c>
      <c r="MC67" s="1">
        <v>0.66666666666666663</v>
      </c>
      <c r="MD67" s="487"/>
      <c r="ME67" s="1"/>
      <c r="MF67" s="487"/>
      <c r="MG67" s="1"/>
      <c r="MH67" s="487">
        <v>-7.2285714285714286</v>
      </c>
      <c r="MI67" s="1">
        <v>0.5</v>
      </c>
      <c r="MJ67" s="487">
        <v>-30.135714285714286</v>
      </c>
      <c r="MK67" s="1">
        <v>0</v>
      </c>
      <c r="ML67" s="487">
        <v>-16.192857142857147</v>
      </c>
      <c r="MM67" s="1">
        <v>0.5</v>
      </c>
      <c r="MN67" s="487">
        <v>-23.757142857142856</v>
      </c>
      <c r="MO67" s="1">
        <v>0.25</v>
      </c>
      <c r="MP67" s="487">
        <v>-7.0357142857142874</v>
      </c>
      <c r="MQ67" s="1">
        <v>0.6</v>
      </c>
      <c r="MR67" s="487">
        <v>-51.621428571428574</v>
      </c>
      <c r="MS67" s="1">
        <v>0.2</v>
      </c>
      <c r="MT67" s="487">
        <v>-29.521428571428572</v>
      </c>
      <c r="MU67" s="1">
        <v>0.4</v>
      </c>
      <c r="MV67" s="487">
        <v>2.2285714285714286</v>
      </c>
      <c r="MW67" s="1">
        <v>1</v>
      </c>
      <c r="MX67" s="487">
        <v>14.107142857142856</v>
      </c>
      <c r="MY67" s="1">
        <v>0.8</v>
      </c>
      <c r="MZ67" s="487">
        <v>21.25</v>
      </c>
      <c r="NA67" s="1">
        <v>0.83333333333333337</v>
      </c>
      <c r="NB67" s="487">
        <v>13.342857142857145</v>
      </c>
      <c r="NC67" s="1">
        <v>0.66666666666666663</v>
      </c>
      <c r="ND67" s="487"/>
      <c r="NE67" s="1"/>
      <c r="NF67" s="487">
        <v>-15.071428571428573</v>
      </c>
      <c r="NG67" s="1">
        <v>0</v>
      </c>
      <c r="NH67" s="487">
        <v>-15.071428571428573</v>
      </c>
      <c r="NI67" s="1">
        <v>0</v>
      </c>
      <c r="NJ67" s="487">
        <v>7.0571428571428578</v>
      </c>
      <c r="NK67" s="1">
        <v>1</v>
      </c>
      <c r="NL67" s="487">
        <v>-30.928571428571434</v>
      </c>
      <c r="NM67" s="1">
        <v>0.4</v>
      </c>
      <c r="NN67" s="487"/>
      <c r="NO67" s="1"/>
      <c r="NP67" s="487"/>
      <c r="NQ67" s="1"/>
      <c r="NR67" s="487">
        <v>7.15</v>
      </c>
      <c r="NS67" s="1">
        <v>1</v>
      </c>
      <c r="NT67" s="487">
        <v>7.0785714285714292</v>
      </c>
      <c r="NU67" s="1">
        <v>1</v>
      </c>
      <c r="NV67" s="487">
        <v>-0.54999999999999849</v>
      </c>
      <c r="NW67" s="1">
        <v>0.66666666666666663</v>
      </c>
      <c r="NX67" s="487">
        <v>7.5285714285714285</v>
      </c>
      <c r="NY67" s="1">
        <v>1</v>
      </c>
      <c r="NZ67" s="487">
        <v>7.3357142857142863</v>
      </c>
      <c r="OA67" s="1">
        <v>1</v>
      </c>
      <c r="OB67" s="487"/>
      <c r="OC67" s="1"/>
      <c r="OD67" s="487">
        <v>-12.257142857142858</v>
      </c>
      <c r="OE67" s="1">
        <v>0</v>
      </c>
      <c r="OF67" s="487">
        <v>-15.742857142857144</v>
      </c>
      <c r="OG67" s="1">
        <v>0</v>
      </c>
      <c r="OH67" s="487">
        <v>20.414285714285711</v>
      </c>
      <c r="OI67" s="1">
        <v>0.75</v>
      </c>
      <c r="OJ67" s="487"/>
      <c r="OK67" s="1"/>
      <c r="OL67" s="487">
        <v>-7.6857142857142859</v>
      </c>
      <c r="OM67" s="1">
        <v>0.5</v>
      </c>
      <c r="ON67" s="487"/>
      <c r="OO67" s="1"/>
      <c r="OP67" s="487">
        <v>-7.9214285714285717</v>
      </c>
      <c r="OQ67" s="1">
        <v>0.5</v>
      </c>
      <c r="OR67" s="487"/>
      <c r="OS67" s="1"/>
      <c r="OT67" s="487">
        <v>7.1642857142857146</v>
      </c>
      <c r="OU67" s="1">
        <v>1</v>
      </c>
      <c r="OV67" s="487"/>
      <c r="OW67" s="1"/>
      <c r="OX67" s="487">
        <v>14.671428571428573</v>
      </c>
      <c r="OY67" s="1">
        <v>1</v>
      </c>
      <c r="OZ67" s="487">
        <v>27.2</v>
      </c>
      <c r="PA67" s="1">
        <v>0.8571428571428571</v>
      </c>
      <c r="PB67" s="487">
        <v>22.771428571428572</v>
      </c>
      <c r="PC67" s="1">
        <v>1</v>
      </c>
      <c r="PD67" s="487">
        <v>14.200000000000001</v>
      </c>
      <c r="PE67" s="1">
        <v>1</v>
      </c>
      <c r="PF67" s="487"/>
      <c r="PG67" s="1"/>
      <c r="PH67" s="487">
        <v>-9.1142857142857139</v>
      </c>
      <c r="PI67" s="1">
        <v>0.5</v>
      </c>
      <c r="PJ67" s="487"/>
      <c r="PK67" s="1"/>
      <c r="PL67" s="487">
        <v>-22.842857142857145</v>
      </c>
      <c r="PM67" s="1">
        <v>0.33333333333333331</v>
      </c>
      <c r="PN67" s="487">
        <v>-17.842857142857145</v>
      </c>
      <c r="PO67" s="1">
        <v>0.5</v>
      </c>
      <c r="PP67" s="487">
        <v>-1.5285714285714254</v>
      </c>
      <c r="PQ67" s="1">
        <v>0.66666666666666663</v>
      </c>
      <c r="PR67" s="487">
        <v>9.1714285714285708</v>
      </c>
      <c r="PS67" s="1">
        <v>0.66666666666666663</v>
      </c>
      <c r="PT67" s="487">
        <v>-9.7285714285714278</v>
      </c>
      <c r="PU67" s="1">
        <v>0</v>
      </c>
      <c r="PV67" s="487">
        <v>-8.1000000000000014</v>
      </c>
      <c r="PW67" s="1">
        <v>0.5</v>
      </c>
      <c r="PX67" s="487">
        <v>-8.8500000000000014</v>
      </c>
      <c r="PY67" s="1">
        <v>0.6</v>
      </c>
      <c r="PZ67" s="487"/>
      <c r="QA67" s="1"/>
      <c r="QB67" s="487">
        <v>-44.057142857142864</v>
      </c>
      <c r="QC67" s="1">
        <v>0</v>
      </c>
      <c r="QD67" s="487">
        <v>21.421428571428574</v>
      </c>
      <c r="QE67" s="1">
        <v>1</v>
      </c>
      <c r="QF67" s="487">
        <v>30.12857142857143</v>
      </c>
      <c r="QG67" s="1">
        <v>1</v>
      </c>
      <c r="QH67" s="487">
        <v>-23.128571428571426</v>
      </c>
      <c r="QI67" s="1">
        <v>0.33333333333333331</v>
      </c>
      <c r="QJ67" s="487">
        <v>-22.650000000000002</v>
      </c>
      <c r="QK67" s="1">
        <v>0.33333333333333331</v>
      </c>
      <c r="QL67" s="487">
        <v>44.121428571428574</v>
      </c>
      <c r="QM67" s="1">
        <v>1</v>
      </c>
      <c r="QN67" s="487">
        <v>-30.957142857142856</v>
      </c>
      <c r="QO67" s="1">
        <v>0.4</v>
      </c>
      <c r="QP67" s="487">
        <v>-6.7785714285714276</v>
      </c>
      <c r="QQ67" s="1">
        <v>0.5</v>
      </c>
      <c r="QR67" s="487">
        <v>-31.157142857142862</v>
      </c>
      <c r="QS67" s="1">
        <v>0.4</v>
      </c>
      <c r="QT67" s="487">
        <v>7.628571428571429</v>
      </c>
      <c r="QU67" s="1">
        <v>1</v>
      </c>
      <c r="QV67" s="487">
        <v>-6.6285714285714281</v>
      </c>
      <c r="QW67" s="1">
        <v>0.4</v>
      </c>
      <c r="QX67" s="487">
        <v>0.7571428571428569</v>
      </c>
      <c r="QY67" s="1">
        <v>0.25</v>
      </c>
      <c r="QZ67" s="487"/>
      <c r="RA67" s="1"/>
      <c r="RB67" s="487">
        <v>20.000000000000004</v>
      </c>
      <c r="RC67" s="1">
        <v>0.83333333333333337</v>
      </c>
      <c r="RD67" s="487">
        <v>-28.192857142857143</v>
      </c>
      <c r="RE67" s="1">
        <v>0.2</v>
      </c>
      <c r="RF67" s="487">
        <v>21.13571428571429</v>
      </c>
      <c r="RG67" s="1">
        <v>1</v>
      </c>
      <c r="RH67" s="487">
        <v>-22.650000000000002</v>
      </c>
      <c r="RI67" s="1">
        <v>0.33333333333333331</v>
      </c>
      <c r="RJ67" s="487">
        <v>7.1714285714285717</v>
      </c>
      <c r="RK67" s="1">
        <v>1</v>
      </c>
      <c r="RL67" s="487"/>
      <c r="RM67" s="1"/>
      <c r="RN67" s="487">
        <v>-2.4428571428571444</v>
      </c>
      <c r="RO67" s="1">
        <v>0.33333333333333331</v>
      </c>
      <c r="RP67" s="487">
        <v>14.171428571428573</v>
      </c>
      <c r="RQ67" s="1">
        <v>1</v>
      </c>
      <c r="RR67" s="487"/>
      <c r="RS67" s="1"/>
      <c r="RT67" s="487">
        <v>35.421428571428571</v>
      </c>
      <c r="RU67" s="1">
        <v>1</v>
      </c>
      <c r="RV67" s="487">
        <v>-22.807142857142857</v>
      </c>
      <c r="RW67" s="1">
        <v>0.33333333333333331</v>
      </c>
      <c r="RX67" s="487">
        <v>11.400000000000002</v>
      </c>
      <c r="RY67" s="1">
        <v>0.75</v>
      </c>
      <c r="RZ67" s="487">
        <v>-8.257142857142858</v>
      </c>
      <c r="SA67" s="1">
        <v>0.5</v>
      </c>
      <c r="SB67" s="487">
        <v>-8.0071428571428562</v>
      </c>
      <c r="SC67" s="1">
        <v>0.5</v>
      </c>
      <c r="SD67" s="487"/>
      <c r="SE67" s="1"/>
      <c r="SF67" s="487"/>
      <c r="SG67" s="1"/>
      <c r="SH67" s="487">
        <v>35.407142857142865</v>
      </c>
      <c r="SI67" s="1">
        <v>1</v>
      </c>
      <c r="SJ67" s="487">
        <v>14.485714285714286</v>
      </c>
      <c r="SK67" s="1">
        <v>1</v>
      </c>
      <c r="SL67" s="487">
        <v>-7.5285714285714285</v>
      </c>
      <c r="SM67" s="1">
        <v>0.5</v>
      </c>
      <c r="SN67" s="487">
        <v>7.0642857142857149</v>
      </c>
      <c r="SO67" s="1">
        <v>1</v>
      </c>
      <c r="SP67" s="487">
        <v>5.3571428571428577</v>
      </c>
      <c r="SQ67" s="1">
        <v>0.6</v>
      </c>
      <c r="SR67" s="487">
        <v>-15.092857142857143</v>
      </c>
      <c r="SS67" s="1">
        <v>0</v>
      </c>
      <c r="ST67" s="487">
        <v>14.02857142857143</v>
      </c>
      <c r="SU67" s="1">
        <v>1</v>
      </c>
      <c r="SV67" s="487">
        <v>36.335714285714282</v>
      </c>
      <c r="SW67" s="1">
        <v>1</v>
      </c>
      <c r="SX67" s="487"/>
      <c r="SY67" s="1"/>
      <c r="SZ67" s="487">
        <v>-8.0071428571428562</v>
      </c>
      <c r="TA67" s="1">
        <v>0.5</v>
      </c>
      <c r="TB67" s="487">
        <v>-37.74285714285714</v>
      </c>
      <c r="TC67" s="1">
        <v>0.25</v>
      </c>
      <c r="TD67" s="487">
        <v>-8.6857142857142868</v>
      </c>
      <c r="TE67" s="1">
        <v>0.6</v>
      </c>
      <c r="TF67" s="487">
        <v>-3.4</v>
      </c>
      <c r="TG67" s="1">
        <v>0.5</v>
      </c>
      <c r="TH67" s="488">
        <v>1.0071428571428556</v>
      </c>
      <c r="TI67" s="1">
        <v>0.75</v>
      </c>
      <c r="TJ67" s="489">
        <v>28.25</v>
      </c>
      <c r="TK67" s="1">
        <v>1</v>
      </c>
      <c r="TL67" s="490">
        <v>4.9642857142857153</v>
      </c>
      <c r="TM67" s="1">
        <v>0.7142857142857143</v>
      </c>
      <c r="TN67" s="495"/>
      <c r="TO67" s="1"/>
      <c r="TP67" s="500">
        <v>-8.6499999999999986</v>
      </c>
      <c r="TQ67" s="1">
        <v>0.6</v>
      </c>
      <c r="TR67" s="511">
        <v>13.285714285714288</v>
      </c>
      <c r="TS67" s="1">
        <v>0.8</v>
      </c>
      <c r="TT67" s="515">
        <v>10.007142857142856</v>
      </c>
      <c r="TU67" s="1">
        <v>0.66666666666666663</v>
      </c>
      <c r="TV67" s="518">
        <v>-51.164285714285711</v>
      </c>
      <c r="TW67" s="1">
        <v>0.2857142857142857</v>
      </c>
      <c r="TX67" s="521">
        <v>21.214285714285719</v>
      </c>
      <c r="TY67" s="1">
        <v>1</v>
      </c>
      <c r="TZ67" s="524">
        <v>-30.335714285714285</v>
      </c>
      <c r="UA67" s="1">
        <v>0</v>
      </c>
      <c r="UB67" s="527">
        <v>-16.107142857142858</v>
      </c>
      <c r="UC67" s="1">
        <v>0.5</v>
      </c>
      <c r="UD67" s="530">
        <v>-16.7</v>
      </c>
      <c r="UE67" s="1">
        <v>0.5</v>
      </c>
      <c r="UF67" s="533">
        <v>-7.9357142857142859</v>
      </c>
      <c r="UG67" s="1">
        <v>0.5</v>
      </c>
      <c r="UH67" s="536">
        <v>-1.1928571428571442</v>
      </c>
      <c r="UI67" s="1">
        <v>0.66666666666666663</v>
      </c>
      <c r="UJ67" s="539"/>
      <c r="UK67" s="1"/>
      <c r="UL67" s="540">
        <v>-6.5928571428571434</v>
      </c>
      <c r="UM67" s="1">
        <v>0.5</v>
      </c>
      <c r="UN67" s="543">
        <v>40.1</v>
      </c>
      <c r="UO67" s="1">
        <v>0.9</v>
      </c>
      <c r="UP67" s="544">
        <v>-32.178571428571431</v>
      </c>
      <c r="UQ67" s="1">
        <v>0.5</v>
      </c>
      <c r="UR67" s="551">
        <v>-18.664285714285715</v>
      </c>
      <c r="US67" s="1">
        <v>0.4</v>
      </c>
      <c r="UT67" s="551">
        <v>-15.05</v>
      </c>
      <c r="UU67" s="1">
        <v>0</v>
      </c>
      <c r="UV67" s="562">
        <v>7.0357142857142856</v>
      </c>
      <c r="UW67" s="1">
        <v>1</v>
      </c>
      <c r="UX67" s="566">
        <v>12.885714285714283</v>
      </c>
      <c r="UY67" s="1">
        <v>0.8</v>
      </c>
      <c r="UZ67" s="568"/>
      <c r="VA67" s="1"/>
      <c r="VB67" s="572">
        <v>-23.064285714285717</v>
      </c>
      <c r="VC67" s="1">
        <v>0.33333333333333331</v>
      </c>
      <c r="VD67" s="576">
        <v>10.078571428571429</v>
      </c>
      <c r="VE67" s="1">
        <v>0.8</v>
      </c>
      <c r="VF67" s="580">
        <v>22.278571428571428</v>
      </c>
      <c r="VG67" s="1">
        <v>1</v>
      </c>
      <c r="VH67" s="584">
        <v>-42.835714285714289</v>
      </c>
      <c r="VI67" s="1">
        <v>0.2</v>
      </c>
      <c r="VJ67" s="589">
        <v>12.235714285714286</v>
      </c>
      <c r="VK67" s="1">
        <v>0.66666666666666663</v>
      </c>
      <c r="VL67" s="593">
        <v>20.8</v>
      </c>
      <c r="VM67" s="1">
        <v>1</v>
      </c>
      <c r="VN67" s="597"/>
      <c r="VO67" s="1"/>
      <c r="VP67" s="601">
        <v>-30.25714285714286</v>
      </c>
      <c r="VQ67" s="1">
        <v>0</v>
      </c>
      <c r="VR67" s="603"/>
      <c r="VS67" s="1"/>
      <c r="VT67" s="607">
        <v>-32.807142857142864</v>
      </c>
      <c r="VU67" s="1">
        <v>0.42857142857142855</v>
      </c>
      <c r="VV67" s="609">
        <v>-32.949999999999996</v>
      </c>
      <c r="VW67" s="1">
        <v>0.25</v>
      </c>
      <c r="VX67" s="613">
        <v>-0.76428571428571457</v>
      </c>
      <c r="VY67" s="1">
        <v>0.66666666666666663</v>
      </c>
      <c r="VZ67" s="617">
        <v>0.70000000000000162</v>
      </c>
      <c r="WA67" s="1">
        <v>0.6</v>
      </c>
      <c r="WB67" s="619">
        <v>-45.614285714285714</v>
      </c>
      <c r="WC67" s="1">
        <v>0.33333333333333331</v>
      </c>
      <c r="WD67" s="624">
        <v>-29.771428571428572</v>
      </c>
      <c r="WE67" s="1">
        <v>0</v>
      </c>
      <c r="WF67" s="626">
        <v>14.442857142857143</v>
      </c>
      <c r="WG67" s="1">
        <v>1</v>
      </c>
      <c r="WH67" s="630">
        <v>-1.0642857142857132</v>
      </c>
      <c r="WI67" s="1">
        <v>0.66666666666666663</v>
      </c>
      <c r="WJ67" s="636">
        <v>-8.1857142857142868</v>
      </c>
      <c r="WK67" s="1">
        <v>0.5</v>
      </c>
      <c r="WL67" s="638">
        <v>-0.93571428571428616</v>
      </c>
      <c r="WM67" s="1">
        <v>0.66666666666666663</v>
      </c>
      <c r="WN67" s="642">
        <v>-25.428571428571427</v>
      </c>
      <c r="WO67" s="1">
        <v>0.25</v>
      </c>
      <c r="WP67" s="646">
        <v>8.0357142857142865</v>
      </c>
      <c r="WQ67" s="1">
        <v>0.66666666666666663</v>
      </c>
      <c r="WR67" s="652">
        <v>7.0928571428571434</v>
      </c>
      <c r="WS67" s="1">
        <v>1</v>
      </c>
      <c r="WT67" s="659">
        <v>-30.06428571428572</v>
      </c>
      <c r="WU67" s="1">
        <v>0</v>
      </c>
      <c r="WV67" s="659">
        <v>-0.66428571428571415</v>
      </c>
      <c r="WW67" s="1">
        <v>0.66666666666666663</v>
      </c>
      <c r="WX67" s="672">
        <v>9.4142857142857164</v>
      </c>
      <c r="WY67" s="1">
        <v>0.66666666666666663</v>
      </c>
      <c r="WZ67" s="677">
        <v>-32.328571428571422</v>
      </c>
      <c r="XA67" s="1">
        <v>0.5</v>
      </c>
      <c r="XB67" s="681">
        <v>-9.2357142857142858</v>
      </c>
      <c r="XC67" s="1">
        <v>0.6</v>
      </c>
      <c r="XD67" s="683"/>
      <c r="XE67" s="1"/>
      <c r="XF67" s="687">
        <v>-0.49285714285714127</v>
      </c>
      <c r="XG67" s="1">
        <v>0.66666666666666663</v>
      </c>
      <c r="XH67" s="689">
        <v>-52.400000000000006</v>
      </c>
      <c r="XI67" s="1">
        <v>0.2857142857142857</v>
      </c>
      <c r="XJ67" s="696">
        <v>-6.950000000000002</v>
      </c>
      <c r="XK67" s="1">
        <v>0.5</v>
      </c>
      <c r="XL67" s="696">
        <v>-0.75000000000000056</v>
      </c>
      <c r="XM67" s="1">
        <v>0.66666666666666663</v>
      </c>
      <c r="XN67" s="696">
        <v>-16.3</v>
      </c>
      <c r="XO67" s="1">
        <v>0.5714285714285714</v>
      </c>
      <c r="XP67" s="700">
        <v>9.0428571428571427</v>
      </c>
      <c r="XQ67" s="1">
        <v>0.75</v>
      </c>
      <c r="XR67" s="705">
        <v>-76.935714285714297</v>
      </c>
      <c r="XS67" s="1">
        <v>0.125</v>
      </c>
      <c r="XT67" s="709">
        <v>-16.657142857142858</v>
      </c>
      <c r="XU67" s="1">
        <v>0.5</v>
      </c>
      <c r="XV67" s="715"/>
      <c r="XW67" s="1"/>
    </row>
    <row r="68" spans="2:647" x14ac:dyDescent="0.25">
      <c r="B68" s="755"/>
      <c r="C68" s="728"/>
      <c r="D68" s="720" t="s">
        <v>47</v>
      </c>
      <c r="E68" s="720"/>
      <c r="F68" s="482">
        <v>1.5</v>
      </c>
      <c r="G68" s="475" t="s">
        <v>49</v>
      </c>
      <c r="H68" s="6"/>
      <c r="I68" s="6"/>
      <c r="J68" s="6"/>
      <c r="K68" s="6"/>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G68" s="6"/>
      <c r="BH68" s="6"/>
      <c r="BI68" s="6"/>
      <c r="BJ68" s="6"/>
      <c r="BK68" s="6"/>
      <c r="BL68" s="6"/>
      <c r="BM68" s="6"/>
      <c r="BN68" s="6"/>
      <c r="BO68" s="6"/>
      <c r="BP68" s="6"/>
      <c r="BQ68" s="6"/>
      <c r="BR68" s="6"/>
      <c r="BS68" s="6"/>
      <c r="BT68" s="6"/>
      <c r="BU68" s="6"/>
      <c r="BV68" s="6"/>
      <c r="BW68" s="6"/>
      <c r="BX68" s="9"/>
      <c r="BY68" s="10"/>
      <c r="BZ68" s="9"/>
      <c r="CA68" s="10"/>
      <c r="CB68" s="9"/>
      <c r="CC68" s="10"/>
      <c r="CD68" s="9"/>
      <c r="CE68" s="10"/>
      <c r="CF68" s="9"/>
      <c r="CG68" s="10"/>
      <c r="CH68" s="9"/>
      <c r="CI68" s="10"/>
      <c r="CJ68" s="9"/>
      <c r="CK68" s="10"/>
      <c r="CL68" s="9"/>
      <c r="CM68" s="10"/>
      <c r="CN68" s="9"/>
      <c r="CO68" s="10"/>
      <c r="CP68" s="9"/>
      <c r="CQ68" s="10"/>
      <c r="CR68" s="9"/>
      <c r="CS68" s="10"/>
      <c r="CT68" s="9"/>
      <c r="CU68" s="10"/>
      <c r="CV68" s="9"/>
      <c r="CW68" s="10"/>
      <c r="CX68" s="9"/>
      <c r="CY68" s="10"/>
      <c r="CZ68" s="9"/>
      <c r="DA68" s="10"/>
      <c r="DB68" s="9"/>
      <c r="DC68" s="10"/>
      <c r="DD68" s="9"/>
      <c r="DE68" s="10"/>
      <c r="DF68" s="9"/>
      <c r="DG68" s="10"/>
      <c r="DH68" s="9"/>
      <c r="DI68" s="10"/>
      <c r="DJ68" s="9"/>
      <c r="DK68" s="10"/>
      <c r="DL68" s="9"/>
      <c r="DM68" s="10"/>
      <c r="DN68" s="9"/>
      <c r="DO68" s="10"/>
      <c r="DP68" s="9"/>
      <c r="DQ68" s="10"/>
      <c r="DR68" s="9"/>
      <c r="DS68" s="10"/>
      <c r="DT68" s="9"/>
      <c r="DU68" s="10"/>
      <c r="DV68" s="9"/>
      <c r="DW68" s="10"/>
      <c r="DX68" s="9"/>
      <c r="DY68" s="10"/>
      <c r="DZ68" s="9"/>
      <c r="EA68" s="10"/>
      <c r="EB68" s="9"/>
      <c r="EC68" s="10"/>
      <c r="ED68" s="9"/>
      <c r="EE68" s="10"/>
      <c r="EF68" s="9"/>
      <c r="EG68" s="10"/>
      <c r="EH68" s="9"/>
      <c r="EI68" s="10"/>
      <c r="EJ68" s="9"/>
      <c r="EK68" s="10"/>
      <c r="EL68" s="9"/>
      <c r="EM68" s="10"/>
      <c r="EN68" s="9"/>
      <c r="EO68" s="10"/>
      <c r="EP68" s="9"/>
      <c r="EQ68" s="10"/>
      <c r="ER68" s="487"/>
      <c r="ES68" s="1"/>
      <c r="ET68" s="487"/>
      <c r="EU68" s="1"/>
      <c r="EV68" s="487"/>
      <c r="EW68" s="1"/>
      <c r="EX68" s="487"/>
      <c r="EY68" s="1"/>
      <c r="EZ68" s="487"/>
      <c r="FA68" s="1"/>
      <c r="FB68" s="487"/>
      <c r="FC68" s="1"/>
      <c r="FD68" s="487"/>
      <c r="FE68" s="1"/>
      <c r="FF68" s="487"/>
      <c r="FG68" s="1"/>
      <c r="FH68" s="487"/>
      <c r="FI68" s="1"/>
      <c r="FJ68" s="487"/>
      <c r="FK68" s="1"/>
      <c r="FL68" s="487"/>
      <c r="FM68" s="1"/>
      <c r="FN68" s="487"/>
      <c r="FO68" s="1"/>
      <c r="FP68" s="487"/>
      <c r="FQ68" s="1"/>
      <c r="FR68" s="487"/>
      <c r="FS68" s="1"/>
      <c r="FT68" s="487"/>
      <c r="FU68" s="1"/>
      <c r="FV68" s="487"/>
      <c r="FW68" s="1"/>
      <c r="FX68" s="487"/>
      <c r="FY68" s="1"/>
      <c r="FZ68" s="487"/>
      <c r="GA68" s="1"/>
      <c r="GB68" s="487"/>
      <c r="GC68" s="1"/>
      <c r="GD68" s="487"/>
      <c r="GE68" s="1"/>
      <c r="GF68" s="487"/>
      <c r="GG68" s="1"/>
      <c r="GH68" s="487"/>
      <c r="GI68" s="1"/>
      <c r="GJ68" s="487"/>
      <c r="GK68" s="1"/>
      <c r="GL68" s="487"/>
      <c r="GM68" s="1"/>
      <c r="GN68" s="487"/>
      <c r="GO68" s="1"/>
      <c r="GP68" s="487"/>
      <c r="GQ68" s="1"/>
      <c r="GR68" s="487"/>
      <c r="GS68" s="1"/>
      <c r="GT68" s="487"/>
      <c r="GU68" s="1"/>
      <c r="GV68" s="487"/>
      <c r="GW68" s="1"/>
      <c r="GX68" s="487"/>
      <c r="GY68" s="1"/>
      <c r="GZ68" s="487"/>
      <c r="HA68" s="1"/>
      <c r="HB68" s="487"/>
      <c r="HC68" s="1"/>
      <c r="HD68" s="487"/>
      <c r="HE68" s="1"/>
      <c r="HF68" s="487"/>
      <c r="HG68" s="1"/>
      <c r="HH68" s="487"/>
      <c r="HI68" s="1"/>
      <c r="HJ68" s="487"/>
      <c r="HK68" s="1"/>
      <c r="HL68" s="487"/>
      <c r="HM68" s="1"/>
      <c r="HN68" s="487"/>
      <c r="HO68" s="1"/>
      <c r="HP68" s="487"/>
      <c r="HQ68" s="1"/>
      <c r="HR68" s="487"/>
      <c r="HS68" s="1"/>
      <c r="HT68" s="487"/>
      <c r="HU68" s="1"/>
      <c r="HV68" s="487"/>
      <c r="HW68" s="1"/>
      <c r="HX68" s="487"/>
      <c r="HY68" s="1"/>
      <c r="HZ68" s="487"/>
      <c r="IA68" s="1"/>
      <c r="IB68" s="487"/>
      <c r="IC68" s="1"/>
      <c r="ID68" s="487"/>
      <c r="IE68" s="1"/>
      <c r="IF68" s="487"/>
      <c r="IG68" s="1"/>
      <c r="IH68" s="487"/>
      <c r="II68" s="1"/>
      <c r="IJ68" s="487"/>
      <c r="IK68" s="1"/>
      <c r="IL68" s="487"/>
      <c r="IM68" s="1"/>
      <c r="IN68" s="487"/>
      <c r="IO68" s="1"/>
      <c r="IP68" s="487"/>
      <c r="IQ68" s="1"/>
      <c r="IR68" s="487"/>
      <c r="IS68" s="1"/>
      <c r="IT68" s="487"/>
      <c r="IU68" s="1"/>
      <c r="IV68" s="487"/>
      <c r="IW68" s="1"/>
      <c r="IX68" s="487"/>
      <c r="IY68" s="1"/>
      <c r="IZ68" s="487"/>
      <c r="JA68" s="1"/>
      <c r="JB68" s="487"/>
      <c r="JC68" s="1"/>
      <c r="JD68" s="487"/>
      <c r="JE68" s="1"/>
      <c r="JF68" s="487"/>
      <c r="JG68" s="1"/>
      <c r="JH68" s="487"/>
      <c r="JI68" s="1"/>
      <c r="JJ68" s="487"/>
      <c r="JK68" s="1"/>
      <c r="JL68" s="487"/>
      <c r="JM68" s="1"/>
      <c r="JN68" s="487"/>
      <c r="JO68" s="1"/>
      <c r="JP68" s="487"/>
      <c r="JQ68" s="1"/>
      <c r="JR68" s="487"/>
      <c r="JS68" s="1"/>
      <c r="JT68" s="487"/>
      <c r="JU68" s="1"/>
      <c r="JV68" s="487"/>
      <c r="JW68" s="1"/>
      <c r="JX68" s="487"/>
      <c r="JY68" s="1"/>
      <c r="JZ68" s="487"/>
      <c r="KA68" s="1"/>
      <c r="KB68" s="487"/>
      <c r="KC68" s="1"/>
      <c r="KD68" s="487"/>
      <c r="KE68" s="1"/>
      <c r="KF68" s="487"/>
      <c r="KG68" s="1"/>
      <c r="KH68" s="487"/>
      <c r="KI68" s="1"/>
      <c r="KJ68" s="487"/>
      <c r="KK68" s="1"/>
      <c r="KL68" s="487"/>
      <c r="KM68" s="1"/>
      <c r="KN68" s="487"/>
      <c r="KO68" s="1"/>
      <c r="KP68" s="487"/>
      <c r="KQ68" s="1"/>
      <c r="KR68" s="487"/>
      <c r="KS68" s="1"/>
      <c r="KT68" s="487"/>
      <c r="KU68" s="1"/>
      <c r="KV68" s="487"/>
      <c r="KW68" s="1"/>
      <c r="KX68" s="487"/>
      <c r="KY68" s="1"/>
      <c r="KZ68" s="487"/>
      <c r="LA68" s="1"/>
      <c r="LB68" s="487"/>
      <c r="LC68" s="1"/>
      <c r="LD68" s="487"/>
      <c r="LE68" s="1"/>
      <c r="LF68" s="487"/>
      <c r="LG68" s="1"/>
      <c r="LH68" s="487">
        <v>29.90666666666667</v>
      </c>
      <c r="LI68" s="1">
        <v>0.8125</v>
      </c>
      <c r="LJ68" s="487"/>
      <c r="LK68" s="1"/>
      <c r="LL68" s="487">
        <v>-100.22666666666663</v>
      </c>
      <c r="LM68" s="1">
        <v>0.42857142857142855</v>
      </c>
      <c r="LN68" s="487">
        <v>16.526666666666667</v>
      </c>
      <c r="LO68" s="1">
        <v>0.76923076923076927</v>
      </c>
      <c r="LP68" s="487">
        <v>3.2533333333333303</v>
      </c>
      <c r="LQ68" s="1">
        <v>0.7</v>
      </c>
      <c r="LR68" s="487">
        <v>7.2533333333333339</v>
      </c>
      <c r="LS68" s="1">
        <v>1</v>
      </c>
      <c r="LT68" s="487">
        <v>-82.813333333333333</v>
      </c>
      <c r="LU68" s="1">
        <v>0.33333333333333331</v>
      </c>
      <c r="LV68" s="487">
        <v>18.013333333333328</v>
      </c>
      <c r="LW68" s="1">
        <v>0.8</v>
      </c>
      <c r="LX68" s="487">
        <v>18.500000000000004</v>
      </c>
      <c r="LY68" s="1">
        <v>0.83333333333333337</v>
      </c>
      <c r="LZ68" s="487">
        <v>-61</v>
      </c>
      <c r="MA68" s="1">
        <v>0.2857142857142857</v>
      </c>
      <c r="MB68" s="487">
        <v>-66.586666666666659</v>
      </c>
      <c r="MC68" s="1">
        <v>0.5</v>
      </c>
      <c r="MD68" s="487"/>
      <c r="ME68" s="1"/>
      <c r="MF68" s="487">
        <v>15.313333333333333</v>
      </c>
      <c r="MG68" s="1">
        <v>1</v>
      </c>
      <c r="MH68" s="487">
        <v>71.993333333333325</v>
      </c>
      <c r="MI68" s="1">
        <v>1</v>
      </c>
      <c r="MJ68" s="487">
        <v>-49.82</v>
      </c>
      <c r="MK68" s="1">
        <v>0.54545454545454541</v>
      </c>
      <c r="ML68" s="487">
        <v>24.093333333333334</v>
      </c>
      <c r="MM68" s="1">
        <v>0.8571428571428571</v>
      </c>
      <c r="MN68" s="487">
        <v>-3.633333333333328</v>
      </c>
      <c r="MO68" s="1">
        <v>0.58333333333333337</v>
      </c>
      <c r="MP68" s="487">
        <v>-20.52</v>
      </c>
      <c r="MQ68" s="1">
        <v>0.625</v>
      </c>
      <c r="MR68" s="487">
        <v>-26.866666666666674</v>
      </c>
      <c r="MS68" s="1">
        <v>0.6428571428571429</v>
      </c>
      <c r="MT68" s="487">
        <v>-56.04</v>
      </c>
      <c r="MU68" s="1">
        <v>0.5</v>
      </c>
      <c r="MV68" s="487">
        <v>-6.0866666666666696</v>
      </c>
      <c r="MW68" s="1">
        <v>0.6428571428571429</v>
      </c>
      <c r="MX68" s="487">
        <v>-27.933333333333334</v>
      </c>
      <c r="MY68" s="1">
        <v>0.66666666666666663</v>
      </c>
      <c r="MZ68" s="487">
        <v>40.513333333333335</v>
      </c>
      <c r="NA68" s="1">
        <v>0.75</v>
      </c>
      <c r="NB68" s="487">
        <v>53.06</v>
      </c>
      <c r="NC68" s="1">
        <v>0.7857142857142857</v>
      </c>
      <c r="ND68" s="487"/>
      <c r="NE68" s="1"/>
      <c r="NF68" s="487">
        <v>-10.799999999999997</v>
      </c>
      <c r="NG68" s="1">
        <v>0.70588235294117652</v>
      </c>
      <c r="NH68" s="487">
        <v>-10.799999999999997</v>
      </c>
      <c r="NI68" s="1">
        <v>0.70588235294117652</v>
      </c>
      <c r="NJ68" s="487">
        <v>-31.653333333333336</v>
      </c>
      <c r="NK68" s="1">
        <v>0.6428571428571429</v>
      </c>
      <c r="NL68" s="487">
        <v>-102.92666666666666</v>
      </c>
      <c r="NM68" s="1">
        <v>0.46666666666666667</v>
      </c>
      <c r="NN68" s="487"/>
      <c r="NO68" s="1"/>
      <c r="NP68" s="487">
        <v>-29.646666666666672</v>
      </c>
      <c r="NQ68" s="1">
        <v>0.63636363636363635</v>
      </c>
      <c r="NR68" s="487">
        <v>-43.646666666666675</v>
      </c>
      <c r="NS68" s="1">
        <v>0.4</v>
      </c>
      <c r="NT68" s="487">
        <v>-27.093333333333334</v>
      </c>
      <c r="NU68" s="1">
        <v>0.6</v>
      </c>
      <c r="NV68" s="487">
        <v>35.313333333333325</v>
      </c>
      <c r="NW68" s="1">
        <v>0.72727272727272729</v>
      </c>
      <c r="NX68" s="487">
        <v>41.419999999999995</v>
      </c>
      <c r="NY68" s="1">
        <v>0.88888888888888884</v>
      </c>
      <c r="NZ68" s="487">
        <v>-2.6399999999999983</v>
      </c>
      <c r="OA68" s="1">
        <v>0.7142857142857143</v>
      </c>
      <c r="OB68" s="487">
        <v>50.16</v>
      </c>
      <c r="OC68" s="1">
        <v>0.83333333333333337</v>
      </c>
      <c r="OD68" s="487">
        <v>54.566666666666684</v>
      </c>
      <c r="OE68" s="1">
        <v>0.8571428571428571</v>
      </c>
      <c r="OF68" s="487">
        <v>17.599999999999998</v>
      </c>
      <c r="OG68" s="1">
        <v>0.6</v>
      </c>
      <c r="OH68" s="487">
        <v>14.053333333333333</v>
      </c>
      <c r="OI68" s="1">
        <v>0.5714285714285714</v>
      </c>
      <c r="OJ68" s="487"/>
      <c r="OK68" s="1"/>
      <c r="OL68" s="487">
        <v>-57.740000000000009</v>
      </c>
      <c r="OM68" s="1">
        <v>0.61111111111111116</v>
      </c>
      <c r="ON68" s="487"/>
      <c r="OO68" s="1"/>
      <c r="OP68" s="487">
        <v>-45.533333333333331</v>
      </c>
      <c r="OQ68" s="1">
        <v>0.52631578947368418</v>
      </c>
      <c r="OR68" s="487"/>
      <c r="OS68" s="1"/>
      <c r="OT68" s="487">
        <v>99.873333333333335</v>
      </c>
      <c r="OU68" s="1">
        <v>0.94117647058823528</v>
      </c>
      <c r="OV68" s="487"/>
      <c r="OW68" s="1"/>
      <c r="OX68" s="487">
        <v>-15.299999999999995</v>
      </c>
      <c r="OY68" s="1">
        <v>0.66666666666666663</v>
      </c>
      <c r="OZ68" s="487">
        <v>60.02000000000001</v>
      </c>
      <c r="PA68" s="1">
        <v>0.875</v>
      </c>
      <c r="PB68" s="487">
        <v>20.886666666666667</v>
      </c>
      <c r="PC68" s="1">
        <v>0.7857142857142857</v>
      </c>
      <c r="PD68" s="487">
        <v>0.73999999999999966</v>
      </c>
      <c r="PE68" s="1">
        <v>0.72222222222222221</v>
      </c>
      <c r="PF68" s="487">
        <v>117.98666666666666</v>
      </c>
      <c r="PG68" s="1">
        <v>1</v>
      </c>
      <c r="PH68" s="487">
        <v>-27.24666666666667</v>
      </c>
      <c r="PI68" s="1">
        <v>0.63636363636363635</v>
      </c>
      <c r="PJ68" s="487"/>
      <c r="PK68" s="1"/>
      <c r="PL68" s="487">
        <v>6.6733333333333293</v>
      </c>
      <c r="PM68" s="1">
        <v>0.72727272727272729</v>
      </c>
      <c r="PN68" s="487">
        <v>-153</v>
      </c>
      <c r="PO68" s="1">
        <v>0.3125</v>
      </c>
      <c r="PP68" s="487">
        <v>-28.780000000000012</v>
      </c>
      <c r="PQ68" s="1">
        <v>0.66666666666666663</v>
      </c>
      <c r="PR68" s="487">
        <v>-49.473333333333336</v>
      </c>
      <c r="PS68" s="1">
        <v>0.52941176470588236</v>
      </c>
      <c r="PT68" s="487">
        <v>-98.539999999999978</v>
      </c>
      <c r="PU68" s="1">
        <v>0.42857142857142855</v>
      </c>
      <c r="PV68" s="487">
        <v>22.5</v>
      </c>
      <c r="PW68" s="1">
        <v>0.8</v>
      </c>
      <c r="PX68" s="487">
        <v>2.1199999999999992</v>
      </c>
      <c r="PY68" s="1">
        <v>0.75</v>
      </c>
      <c r="PZ68" s="487"/>
      <c r="QA68" s="1"/>
      <c r="QB68" s="487">
        <v>-16.653333333333332</v>
      </c>
      <c r="QC68" s="1">
        <v>0.66666666666666663</v>
      </c>
      <c r="QD68" s="487">
        <v>-37.353333333333332</v>
      </c>
      <c r="QE68" s="1">
        <v>0.6</v>
      </c>
      <c r="QF68" s="487">
        <v>-0.39333333333333559</v>
      </c>
      <c r="QG68" s="1">
        <v>0.66666666666666663</v>
      </c>
      <c r="QH68" s="487">
        <v>-40.206666666666671</v>
      </c>
      <c r="QI68" s="1">
        <v>0.61538461538461542</v>
      </c>
      <c r="QJ68" s="487">
        <v>-113.21333333333331</v>
      </c>
      <c r="QK68" s="1">
        <v>0.47058823529411764</v>
      </c>
      <c r="QL68" s="487">
        <v>124.11333333333336</v>
      </c>
      <c r="QM68" s="1">
        <v>1</v>
      </c>
      <c r="QN68" s="487">
        <v>-149.78</v>
      </c>
      <c r="QO68" s="1">
        <v>0.35294117647058826</v>
      </c>
      <c r="QP68" s="487">
        <v>21.759999999999994</v>
      </c>
      <c r="QQ68" s="1">
        <v>0.73333333333333328</v>
      </c>
      <c r="QR68" s="487">
        <v>-165.62666666666667</v>
      </c>
      <c r="QS68" s="1">
        <v>0.35294117647058826</v>
      </c>
      <c r="QT68" s="487">
        <v>-48.759999999999991</v>
      </c>
      <c r="QU68" s="1">
        <v>0.53333333333333333</v>
      </c>
      <c r="QV68" s="487">
        <v>-46.546666666666674</v>
      </c>
      <c r="QW68" s="1">
        <v>0.61111111111111116</v>
      </c>
      <c r="QX68" s="487">
        <v>-50.226666666666652</v>
      </c>
      <c r="QY68" s="1">
        <v>0.3888888888888889</v>
      </c>
      <c r="QZ68" s="487"/>
      <c r="RA68" s="1"/>
      <c r="RB68" s="487">
        <v>20.706666666666667</v>
      </c>
      <c r="RC68" s="1">
        <v>0.7857142857142857</v>
      </c>
      <c r="RD68" s="487">
        <v>-72.36</v>
      </c>
      <c r="RE68" s="1">
        <v>0.4</v>
      </c>
      <c r="RF68" s="487">
        <v>22.22666666666667</v>
      </c>
      <c r="RG68" s="1">
        <v>0.6875</v>
      </c>
      <c r="RH68" s="487">
        <v>52.680000000000007</v>
      </c>
      <c r="RI68" s="1">
        <v>0.8666666666666667</v>
      </c>
      <c r="RJ68" s="487">
        <v>32.173333333333339</v>
      </c>
      <c r="RK68" s="1">
        <v>0.8125</v>
      </c>
      <c r="RL68" s="487"/>
      <c r="RM68" s="1"/>
      <c r="RN68" s="487">
        <v>5.0133333333333363</v>
      </c>
      <c r="RO68" s="1">
        <v>0.53846153846153844</v>
      </c>
      <c r="RP68" s="487">
        <v>22.179999999999996</v>
      </c>
      <c r="RQ68" s="1">
        <v>0.8571428571428571</v>
      </c>
      <c r="RR68" s="487"/>
      <c r="RS68" s="1"/>
      <c r="RT68" s="487">
        <v>39.046666666666674</v>
      </c>
      <c r="RU68" s="1">
        <v>0.76470588235294112</v>
      </c>
      <c r="RV68" s="487">
        <v>-106.60666666666668</v>
      </c>
      <c r="RW68" s="1">
        <v>0.41666666666666669</v>
      </c>
      <c r="RX68" s="487">
        <v>-28.546666666666663</v>
      </c>
      <c r="RY68" s="1">
        <v>0.66666666666666663</v>
      </c>
      <c r="RZ68" s="487">
        <v>-131.93999999999997</v>
      </c>
      <c r="SA68" s="1">
        <v>0.33333333333333331</v>
      </c>
      <c r="SB68" s="487">
        <v>-16.79333333333334</v>
      </c>
      <c r="SC68" s="1">
        <v>0.66666666666666663</v>
      </c>
      <c r="SD68" s="487"/>
      <c r="SE68" s="1"/>
      <c r="SF68" s="487"/>
      <c r="SG68" s="1"/>
      <c r="SH68" s="487">
        <v>27.666666666666661</v>
      </c>
      <c r="SI68" s="1">
        <v>0.76923076923076927</v>
      </c>
      <c r="SJ68" s="487">
        <v>-80.813333333333333</v>
      </c>
      <c r="SK68" s="1">
        <v>0.53333333333333333</v>
      </c>
      <c r="SL68" s="487">
        <v>-57.846666666666671</v>
      </c>
      <c r="SM68" s="1">
        <v>0.42857142857142855</v>
      </c>
      <c r="SN68" s="487">
        <v>-4.0133333333333354</v>
      </c>
      <c r="SO68" s="1">
        <v>0.7142857142857143</v>
      </c>
      <c r="SP68" s="487">
        <v>50.5</v>
      </c>
      <c r="SQ68" s="1">
        <v>0.84615384615384615</v>
      </c>
      <c r="SR68" s="487">
        <v>21.266666666666666</v>
      </c>
      <c r="SS68" s="1">
        <v>1</v>
      </c>
      <c r="ST68" s="487">
        <v>-6.7933333333333321</v>
      </c>
      <c r="SU68" s="1">
        <v>0.7142857142857143</v>
      </c>
      <c r="SV68" s="487">
        <v>93.779999999999987</v>
      </c>
      <c r="SW68" s="1">
        <v>0.94117647058823528</v>
      </c>
      <c r="SX68" s="487"/>
      <c r="SY68" s="1"/>
      <c r="SZ68" s="487">
        <v>-98.153333333333322</v>
      </c>
      <c r="TA68" s="1">
        <v>0.46153846153846156</v>
      </c>
      <c r="TB68" s="487">
        <v>-25.086666666666677</v>
      </c>
      <c r="TC68" s="1">
        <v>0.66666666666666663</v>
      </c>
      <c r="TD68" s="487">
        <v>33.006666666666668</v>
      </c>
      <c r="TE68" s="1">
        <v>0.8125</v>
      </c>
      <c r="TF68" s="487">
        <v>-14.713333333333333</v>
      </c>
      <c r="TG68" s="1">
        <v>0.5</v>
      </c>
      <c r="TH68" s="488">
        <v>31.613333333333333</v>
      </c>
      <c r="TI68" s="1">
        <v>0.7857142857142857</v>
      </c>
      <c r="TJ68" s="489">
        <v>17.999999999999996</v>
      </c>
      <c r="TK68" s="1">
        <v>0.72727272727272729</v>
      </c>
      <c r="TL68" s="490">
        <v>33.720000000000006</v>
      </c>
      <c r="TM68" s="1">
        <v>0.76470588235294112</v>
      </c>
      <c r="TN68" s="495"/>
      <c r="TO68" s="1"/>
      <c r="TP68" s="500">
        <v>-52.78</v>
      </c>
      <c r="TQ68" s="1">
        <v>0.5714285714285714</v>
      </c>
      <c r="TR68" s="511">
        <v>4.0799999999999947</v>
      </c>
      <c r="TS68" s="1">
        <v>0.75</v>
      </c>
      <c r="TT68" s="515">
        <v>49.453333333333319</v>
      </c>
      <c r="TU68" s="1">
        <v>0.8125</v>
      </c>
      <c r="TV68" s="518">
        <v>-101.86666666666667</v>
      </c>
      <c r="TW68" s="1">
        <v>0.47058823529411764</v>
      </c>
      <c r="TX68" s="521">
        <v>-23.646666666666658</v>
      </c>
      <c r="TY68" s="1">
        <v>0.66666666666666663</v>
      </c>
      <c r="TZ68" s="524">
        <v>-10.44</v>
      </c>
      <c r="UA68" s="1">
        <v>0.6470588235294118</v>
      </c>
      <c r="UB68" s="527">
        <v>-93.46</v>
      </c>
      <c r="UC68" s="1">
        <v>0.47058823529411764</v>
      </c>
      <c r="UD68" s="530">
        <v>-93.940000000000012</v>
      </c>
      <c r="UE68" s="1">
        <v>0.5</v>
      </c>
      <c r="UF68" s="533">
        <v>-4.3066666666666693</v>
      </c>
      <c r="UG68" s="1">
        <v>0.7142857142857143</v>
      </c>
      <c r="UH68" s="536">
        <v>-17.459999999999997</v>
      </c>
      <c r="UI68" s="1">
        <v>0.69230769230769229</v>
      </c>
      <c r="UJ68" s="539">
        <v>-79.313333333333347</v>
      </c>
      <c r="UK68" s="1">
        <v>0.375</v>
      </c>
      <c r="UL68" s="540">
        <v>30.460000000000012</v>
      </c>
      <c r="UM68" s="1">
        <v>0.78947368421052633</v>
      </c>
      <c r="UN68" s="543">
        <v>24.306666666666672</v>
      </c>
      <c r="UO68" s="1">
        <v>0.82352941176470584</v>
      </c>
      <c r="UP68" s="544">
        <v>-7.7266666666666728</v>
      </c>
      <c r="UQ68" s="1">
        <v>0.7142857142857143</v>
      </c>
      <c r="UR68" s="551">
        <v>-52.026666666666671</v>
      </c>
      <c r="US68" s="1">
        <v>0.58823529411764708</v>
      </c>
      <c r="UT68" s="551">
        <v>71.086666666666659</v>
      </c>
      <c r="UU68" s="1">
        <v>0.875</v>
      </c>
      <c r="UV68" s="562">
        <v>1.3466666666666598</v>
      </c>
      <c r="UW68" s="1">
        <v>0.625</v>
      </c>
      <c r="UX68" s="566">
        <v>76.333333333333357</v>
      </c>
      <c r="UY68" s="1">
        <v>0.78947368421052633</v>
      </c>
      <c r="UZ68" s="568"/>
      <c r="VA68" s="1"/>
      <c r="VB68" s="572">
        <v>-38.066666666666663</v>
      </c>
      <c r="VC68" s="1">
        <v>0.44444444444444442</v>
      </c>
      <c r="VD68" s="576">
        <v>83.38</v>
      </c>
      <c r="VE68" s="1">
        <v>0.94444444444444442</v>
      </c>
      <c r="VF68" s="580">
        <v>51.633333333333326</v>
      </c>
      <c r="VG68" s="1">
        <v>0.90909090909090906</v>
      </c>
      <c r="VH68" s="584">
        <v>-109.42666666666666</v>
      </c>
      <c r="VI68" s="1">
        <v>0.375</v>
      </c>
      <c r="VJ68" s="589">
        <v>-73.426666666666662</v>
      </c>
      <c r="VK68" s="1">
        <v>0.53333333333333333</v>
      </c>
      <c r="VL68" s="593">
        <v>-0.59333333333333893</v>
      </c>
      <c r="VM68" s="1">
        <v>0.6875</v>
      </c>
      <c r="VN68" s="597">
        <v>-33.24</v>
      </c>
      <c r="VO68" s="1">
        <v>0.5714285714285714</v>
      </c>
      <c r="VP68" s="601">
        <v>-92.073333333333323</v>
      </c>
      <c r="VQ68" s="1">
        <v>0.55555555555555558</v>
      </c>
      <c r="VR68" s="603"/>
      <c r="VS68" s="1"/>
      <c r="VT68" s="607">
        <v>-61.893333333333345</v>
      </c>
      <c r="VU68" s="1">
        <v>0.53333333333333333</v>
      </c>
      <c r="VV68" s="609">
        <v>9.7666666666666639</v>
      </c>
      <c r="VW68" s="1">
        <v>0.6875</v>
      </c>
      <c r="VX68" s="613">
        <v>44.660000000000004</v>
      </c>
      <c r="VY68" s="1">
        <v>0.8</v>
      </c>
      <c r="VZ68" s="617">
        <v>-167.93333333333331</v>
      </c>
      <c r="WA68" s="1">
        <v>0.31578947368421051</v>
      </c>
      <c r="WB68" s="619">
        <v>-186.92</v>
      </c>
      <c r="WC68" s="1">
        <v>0.29411764705882354</v>
      </c>
      <c r="WD68" s="624">
        <v>-91.280000000000015</v>
      </c>
      <c r="WE68" s="1">
        <v>0.5</v>
      </c>
      <c r="WF68" s="626">
        <v>-71.006666666666675</v>
      </c>
      <c r="WG68" s="1">
        <v>0.53846153846153844</v>
      </c>
      <c r="WH68" s="630">
        <v>32.593333333333334</v>
      </c>
      <c r="WI68" s="1">
        <v>0.8</v>
      </c>
      <c r="WJ68" s="636">
        <v>-23.086666666666684</v>
      </c>
      <c r="WK68" s="1">
        <v>0.66666666666666663</v>
      </c>
      <c r="WL68" s="638">
        <v>-24.859999999999996</v>
      </c>
      <c r="WM68" s="1">
        <v>0.625</v>
      </c>
      <c r="WN68" s="642">
        <v>16.546666666666667</v>
      </c>
      <c r="WO68" s="1">
        <v>0.66666666666666663</v>
      </c>
      <c r="WP68" s="646">
        <v>77.900000000000006</v>
      </c>
      <c r="WQ68" s="1">
        <v>0.92307692307692313</v>
      </c>
      <c r="WR68" s="652">
        <v>-77.039999999999992</v>
      </c>
      <c r="WS68" s="1">
        <v>0.53333333333333333</v>
      </c>
      <c r="WT68" s="659">
        <v>-18.146666666666665</v>
      </c>
      <c r="WU68" s="1">
        <v>0.61538461538461542</v>
      </c>
      <c r="WV68" s="659">
        <v>8.0933333333333284</v>
      </c>
      <c r="WW68" s="1">
        <v>0.66666666666666663</v>
      </c>
      <c r="WX68" s="672">
        <v>-32.22</v>
      </c>
      <c r="WY68" s="1">
        <v>0.47058823529411764</v>
      </c>
      <c r="WZ68" s="677">
        <v>-49.706666666666671</v>
      </c>
      <c r="XA68" s="1">
        <v>0.625</v>
      </c>
      <c r="XB68" s="681">
        <v>-23.3</v>
      </c>
      <c r="XC68" s="1">
        <v>0.6470588235294118</v>
      </c>
      <c r="XD68" s="683"/>
      <c r="XE68" s="1"/>
      <c r="XF68" s="687">
        <v>-76.806666666666644</v>
      </c>
      <c r="XG68" s="1">
        <v>0.46666666666666667</v>
      </c>
      <c r="XH68" s="689">
        <v>27.22</v>
      </c>
      <c r="XI68" s="1">
        <v>0.73333333333333328</v>
      </c>
      <c r="XJ68" s="696">
        <v>-28.213333333333328</v>
      </c>
      <c r="XK68" s="1">
        <v>0.66666666666666663</v>
      </c>
      <c r="XL68" s="696">
        <v>51.726666666666659</v>
      </c>
      <c r="XM68" s="1">
        <v>0.81818181818181823</v>
      </c>
      <c r="XN68" s="696">
        <v>-48.039999999999992</v>
      </c>
      <c r="XO68" s="1">
        <v>0.66666666666666663</v>
      </c>
      <c r="XP68" s="700">
        <v>-90.026666666666685</v>
      </c>
      <c r="XQ68" s="1">
        <v>0.47058823529411764</v>
      </c>
      <c r="XR68" s="705">
        <v>-55.193333333333321</v>
      </c>
      <c r="XS68" s="1">
        <v>0.625</v>
      </c>
      <c r="XT68" s="709">
        <v>-8.0200000000000014</v>
      </c>
      <c r="XU68" s="1">
        <v>0.61111111111111116</v>
      </c>
      <c r="XV68" s="715">
        <v>46.800000000000011</v>
      </c>
      <c r="XW68" s="1">
        <v>0.61111111111111116</v>
      </c>
    </row>
    <row r="69" spans="2:647" x14ac:dyDescent="0.25">
      <c r="B69" s="755"/>
      <c r="C69" s="721" t="s">
        <v>10</v>
      </c>
      <c r="D69" s="741" t="s">
        <v>25</v>
      </c>
      <c r="E69" s="741"/>
      <c r="F69" s="477">
        <v>0.1</v>
      </c>
      <c r="G69" s="48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c r="BA69" s="6"/>
      <c r="BB69" s="6"/>
      <c r="BC69" s="6"/>
      <c r="BD69" s="6"/>
      <c r="BE69" s="6"/>
      <c r="BF69" s="6"/>
      <c r="BG69" s="6"/>
      <c r="BH69" s="6"/>
      <c r="BI69" s="6"/>
      <c r="BJ69" s="6"/>
      <c r="BK69" s="6"/>
      <c r="BL69" s="6"/>
      <c r="BM69" s="6"/>
      <c r="BN69" s="6"/>
      <c r="BO69" s="6"/>
      <c r="BP69" s="6"/>
      <c r="BQ69" s="6"/>
      <c r="BR69" s="6"/>
      <c r="BS69" s="6"/>
      <c r="BT69" s="6"/>
      <c r="BU69" s="6"/>
      <c r="BV69" s="6"/>
      <c r="BW69" s="6"/>
      <c r="BX69" s="6"/>
      <c r="BY69" s="95"/>
      <c r="BZ69" s="6"/>
      <c r="CA69" s="95"/>
      <c r="CB69" s="6"/>
      <c r="CC69" s="95"/>
      <c r="CD69" s="6"/>
      <c r="CE69" s="95"/>
      <c r="CF69" s="6"/>
      <c r="CG69" s="95"/>
      <c r="CH69" s="6"/>
      <c r="CI69" s="95"/>
      <c r="CJ69" s="6"/>
      <c r="CK69" s="95"/>
      <c r="CL69" s="6"/>
      <c r="CM69" s="95"/>
      <c r="CN69" s="6"/>
      <c r="CO69" s="95"/>
      <c r="CP69" s="6"/>
      <c r="CQ69" s="95"/>
      <c r="CR69" s="6"/>
      <c r="CS69" s="95"/>
      <c r="CT69" s="6"/>
      <c r="CU69" s="95"/>
      <c r="CV69" s="6"/>
      <c r="CW69" s="95"/>
      <c r="CX69" s="6"/>
      <c r="CY69" s="95"/>
      <c r="CZ69" s="6"/>
      <c r="DA69" s="95"/>
      <c r="DB69" s="6"/>
      <c r="DC69" s="95"/>
      <c r="DD69" s="6"/>
      <c r="DE69" s="95"/>
      <c r="DF69" s="6"/>
      <c r="DG69" s="95"/>
      <c r="DH69" s="6"/>
      <c r="DI69" s="95"/>
      <c r="DJ69" s="6"/>
      <c r="DK69" s="95"/>
      <c r="DL69" s="6"/>
      <c r="DM69" s="95"/>
      <c r="DN69" s="6"/>
      <c r="DO69" s="95"/>
      <c r="DP69" s="6"/>
      <c r="DQ69" s="95"/>
      <c r="DR69" s="6"/>
      <c r="DS69" s="95"/>
      <c r="DT69" s="6"/>
      <c r="DU69" s="95"/>
      <c r="DV69" s="6"/>
      <c r="DW69" s="95"/>
      <c r="DX69" s="6"/>
      <c r="DY69" s="95"/>
      <c r="DZ69" s="6"/>
      <c r="EA69" s="95"/>
      <c r="EB69" s="6"/>
      <c r="EC69" s="95"/>
      <c r="ED69" s="6"/>
      <c r="EE69" s="95"/>
      <c r="EF69" s="6"/>
      <c r="EG69" s="95"/>
      <c r="EH69" s="6"/>
      <c r="EI69" s="95"/>
      <c r="EJ69" s="6"/>
      <c r="EK69" s="95"/>
      <c r="EL69" s="6"/>
      <c r="EM69" s="95"/>
      <c r="EN69" s="6"/>
      <c r="EO69" s="95"/>
      <c r="EP69" s="6"/>
      <c r="EQ69" s="95"/>
      <c r="ER69" s="18">
        <v>-2.2000000000000006</v>
      </c>
      <c r="ES69" s="19">
        <v>0.66666666666666663</v>
      </c>
      <c r="ET69" s="18">
        <v>-25.3</v>
      </c>
      <c r="EU69" s="19">
        <v>0.25</v>
      </c>
      <c r="EV69" s="18">
        <v>-5.4000000000000012</v>
      </c>
      <c r="EW69" s="19">
        <v>0.5714285714285714</v>
      </c>
      <c r="EX69" s="18">
        <v>21.299999999999997</v>
      </c>
      <c r="EY69" s="19">
        <v>0.75</v>
      </c>
      <c r="EZ69" s="18">
        <v>-6.9</v>
      </c>
      <c r="FA69" s="19">
        <v>0.75</v>
      </c>
      <c r="FB69" s="18">
        <v>-45.999999999999993</v>
      </c>
      <c r="FC69" s="19">
        <v>0.42857142857142855</v>
      </c>
      <c r="FD69" s="18">
        <v>-22.8</v>
      </c>
      <c r="FE69" s="19">
        <v>0.4</v>
      </c>
      <c r="FF69" s="18">
        <v>-2.9000000000000004</v>
      </c>
      <c r="FG69" s="19">
        <v>0.66666666666666663</v>
      </c>
      <c r="FH69" s="18">
        <v>-39.4</v>
      </c>
      <c r="FI69" s="19">
        <v>0.25</v>
      </c>
      <c r="FJ69" s="18">
        <v>-13.5</v>
      </c>
      <c r="FK69" s="19">
        <v>0.6</v>
      </c>
      <c r="FL69" s="18">
        <v>-21.900000000000002</v>
      </c>
      <c r="FM69" s="19">
        <v>0.5</v>
      </c>
      <c r="FN69" s="18">
        <v>-11.8</v>
      </c>
      <c r="FO69" s="19">
        <v>0.25</v>
      </c>
      <c r="FP69" s="18">
        <v>11.399999999999999</v>
      </c>
      <c r="FQ69" s="19">
        <v>0.75</v>
      </c>
      <c r="FR69" s="18">
        <v>-19.799999999999997</v>
      </c>
      <c r="FS69" s="19">
        <v>0.2</v>
      </c>
      <c r="FT69" s="18">
        <v>6.4999999999999991</v>
      </c>
      <c r="FU69" s="19">
        <v>0.75</v>
      </c>
      <c r="FV69" s="18">
        <v>27.999999999999996</v>
      </c>
      <c r="FW69" s="19">
        <v>0.83333333333333337</v>
      </c>
      <c r="FX69" s="18">
        <v>-4.6000000000000005</v>
      </c>
      <c r="FY69" s="19">
        <v>0.5</v>
      </c>
      <c r="FZ69" s="18">
        <v>-83.499999999999986</v>
      </c>
      <c r="GA69" s="19">
        <v>0.22222222222222221</v>
      </c>
      <c r="GB69" s="18">
        <v>-3.1999999999999997</v>
      </c>
      <c r="GC69" s="19">
        <v>0</v>
      </c>
      <c r="GD69" s="18">
        <v>7.8</v>
      </c>
      <c r="GE69" s="19">
        <v>0.4</v>
      </c>
      <c r="GF69" s="18">
        <v>1.5000000000000002</v>
      </c>
      <c r="GG69" s="19">
        <v>0.5</v>
      </c>
      <c r="GH69" s="18">
        <v>-29.4</v>
      </c>
      <c r="GI69" s="19">
        <v>0.42857142857142855</v>
      </c>
      <c r="GJ69" s="18">
        <v>10.899999999999999</v>
      </c>
      <c r="GK69" s="19">
        <v>0.75</v>
      </c>
      <c r="GL69" s="18">
        <v>-0.30000000000000027</v>
      </c>
      <c r="GM69" s="19">
        <v>0.75</v>
      </c>
      <c r="GN69" s="18">
        <v>-10.1</v>
      </c>
      <c r="GO69" s="19">
        <v>0.5</v>
      </c>
      <c r="GP69" s="18">
        <v>-1.4000000000000001</v>
      </c>
      <c r="GQ69" s="19">
        <v>0.5</v>
      </c>
      <c r="GR69" s="18">
        <v>35.799999999999997</v>
      </c>
      <c r="GS69" s="19">
        <v>1</v>
      </c>
      <c r="GT69" s="18">
        <v>-6.3</v>
      </c>
      <c r="GU69" s="19">
        <v>0.2</v>
      </c>
      <c r="GV69" s="18">
        <v>1.3000000000000005</v>
      </c>
      <c r="GW69" s="19">
        <v>0.5</v>
      </c>
      <c r="GX69" s="18">
        <v>-4.1999999999999993</v>
      </c>
      <c r="GY69" s="19">
        <v>0</v>
      </c>
      <c r="GZ69" s="18">
        <v>17.2</v>
      </c>
      <c r="HA69" s="19">
        <v>0.8</v>
      </c>
      <c r="HB69" s="18">
        <v>8.6999999999999993</v>
      </c>
      <c r="HC69" s="19">
        <v>0.7142857142857143</v>
      </c>
      <c r="HD69" s="18">
        <v>-3.6999999999999997</v>
      </c>
      <c r="HE69" s="19">
        <v>0</v>
      </c>
      <c r="HF69" s="18">
        <v>15.299999999999997</v>
      </c>
      <c r="HG69" s="19">
        <v>0.8</v>
      </c>
      <c r="HH69" s="18">
        <v>-32.599999999999994</v>
      </c>
      <c r="HI69" s="19">
        <v>0.4</v>
      </c>
      <c r="HJ69" s="18">
        <v>-31.7</v>
      </c>
      <c r="HK69" s="19">
        <v>0.25</v>
      </c>
      <c r="HL69" s="18">
        <v>4.6000000000000005</v>
      </c>
      <c r="HM69" s="19">
        <v>0.42857142857142855</v>
      </c>
      <c r="HN69" s="18">
        <v>-10.8</v>
      </c>
      <c r="HO69" s="19">
        <v>0.33333333333333331</v>
      </c>
      <c r="HP69" s="18">
        <v>3.1999999999999993</v>
      </c>
      <c r="HQ69" s="19">
        <v>0.5</v>
      </c>
      <c r="HR69" s="18">
        <v>-0.60000000000000053</v>
      </c>
      <c r="HS69" s="19">
        <v>0.66666666666666663</v>
      </c>
      <c r="HT69" s="18">
        <v>7.8</v>
      </c>
      <c r="HU69" s="19">
        <v>1</v>
      </c>
      <c r="HV69" s="18">
        <v>-13.5</v>
      </c>
      <c r="HW69" s="19">
        <v>0.5</v>
      </c>
      <c r="HX69" s="18">
        <v>-9.5000000000000018</v>
      </c>
      <c r="HY69" s="19">
        <v>0.5714285714285714</v>
      </c>
      <c r="HZ69" s="18"/>
      <c r="IA69" s="19"/>
      <c r="IB69" s="18">
        <v>-26.799999999999997</v>
      </c>
      <c r="IC69" s="19">
        <v>0.2857142857142857</v>
      </c>
      <c r="ID69" s="18">
        <v>-3.9</v>
      </c>
      <c r="IE69" s="19">
        <v>0.25</v>
      </c>
      <c r="IF69" s="18">
        <v>6.1</v>
      </c>
      <c r="IG69" s="19">
        <v>0.5</v>
      </c>
      <c r="IH69" s="18">
        <v>-37.5</v>
      </c>
      <c r="II69" s="19">
        <v>0</v>
      </c>
      <c r="IJ69" s="18">
        <v>-16</v>
      </c>
      <c r="IK69" s="19">
        <v>0.5</v>
      </c>
      <c r="IL69" s="18"/>
      <c r="IM69" s="19"/>
      <c r="IN69" s="18">
        <v>-0.40000000000000036</v>
      </c>
      <c r="IO69" s="19">
        <v>0.2</v>
      </c>
      <c r="IP69" s="18">
        <v>0.79999999999999849</v>
      </c>
      <c r="IQ69" s="19">
        <v>0.5</v>
      </c>
      <c r="IR69" s="18">
        <v>-27.400000000000002</v>
      </c>
      <c r="IS69" s="19">
        <v>0.25</v>
      </c>
      <c r="IT69" s="18">
        <v>-29.699999999999996</v>
      </c>
      <c r="IU69" s="19">
        <v>0.25</v>
      </c>
      <c r="IV69" s="18">
        <v>7.5</v>
      </c>
      <c r="IW69" s="19">
        <v>0.5</v>
      </c>
      <c r="IX69" s="18">
        <v>33.899999999999991</v>
      </c>
      <c r="IY69" s="19">
        <v>1</v>
      </c>
      <c r="IZ69" s="18">
        <v>-3.9000000000000012</v>
      </c>
      <c r="JA69" s="19">
        <v>0.5</v>
      </c>
      <c r="JB69" s="18">
        <v>1.7999999999999998</v>
      </c>
      <c r="JC69" s="19">
        <v>0.5</v>
      </c>
      <c r="JD69" s="18"/>
      <c r="JE69" s="19"/>
      <c r="JF69" s="18">
        <v>13.799999999999999</v>
      </c>
      <c r="JG69" s="19">
        <v>0.75</v>
      </c>
      <c r="JH69" s="18">
        <v>2.0000000000000004</v>
      </c>
      <c r="JI69" s="19">
        <v>0.2857142857142857</v>
      </c>
      <c r="JJ69" s="18">
        <v>5.0000000000000009</v>
      </c>
      <c r="JK69" s="19">
        <v>0.66666666666666663</v>
      </c>
      <c r="JL69" s="18">
        <v>-6.1999999999999984</v>
      </c>
      <c r="JM69" s="19">
        <v>0.4</v>
      </c>
      <c r="JN69" s="18"/>
      <c r="JO69" s="19"/>
      <c r="JP69" s="18">
        <v>-19.400000000000002</v>
      </c>
      <c r="JQ69" s="19">
        <v>0</v>
      </c>
      <c r="JR69" s="18"/>
      <c r="JS69" s="19"/>
      <c r="JT69" s="18"/>
      <c r="JU69" s="19"/>
      <c r="JV69" s="18">
        <v>-37.9</v>
      </c>
      <c r="JW69" s="19">
        <v>0</v>
      </c>
      <c r="JX69" s="18">
        <v>-14.299999999999999</v>
      </c>
      <c r="JY69" s="19">
        <v>0.33333333333333331</v>
      </c>
      <c r="JZ69" s="18">
        <v>-0.40000000000000036</v>
      </c>
      <c r="KA69" s="19">
        <v>0.66666666666666663</v>
      </c>
      <c r="KB69" s="18">
        <v>-23.200000000000003</v>
      </c>
      <c r="KC69" s="19">
        <v>0.33333333333333331</v>
      </c>
      <c r="KD69" s="18">
        <v>3.8</v>
      </c>
      <c r="KE69" s="19">
        <v>0.6</v>
      </c>
      <c r="KF69" s="18">
        <v>28.799999999999997</v>
      </c>
      <c r="KG69" s="19">
        <v>1</v>
      </c>
      <c r="KH69" s="18">
        <v>-7.3999999999999995</v>
      </c>
      <c r="KI69" s="19">
        <v>0.6</v>
      </c>
      <c r="KJ69" s="18">
        <v>-4.4000000000000004</v>
      </c>
      <c r="KK69" s="19">
        <v>0.5</v>
      </c>
      <c r="KL69" s="18">
        <v>0.84999999999999964</v>
      </c>
      <c r="KM69" s="19">
        <v>0.5</v>
      </c>
      <c r="KN69" s="18">
        <v>-4.0000000000000009</v>
      </c>
      <c r="KO69" s="19">
        <v>0.4</v>
      </c>
      <c r="KP69" s="18">
        <v>-4.1000000000000014</v>
      </c>
      <c r="KQ69" s="19">
        <v>0.66666666666666663</v>
      </c>
      <c r="KR69" s="18">
        <v>-22.9</v>
      </c>
      <c r="KS69" s="19">
        <v>0.33333333333333331</v>
      </c>
      <c r="KT69" s="18">
        <v>19.599999999999998</v>
      </c>
      <c r="KU69" s="19">
        <v>0.77777777777777779</v>
      </c>
      <c r="KV69" s="18">
        <v>-34.599999999999994</v>
      </c>
      <c r="KW69" s="19">
        <v>0.33333333333333331</v>
      </c>
      <c r="KX69" s="18">
        <v>-25.1</v>
      </c>
      <c r="KY69" s="19">
        <v>0.25</v>
      </c>
      <c r="KZ69" s="18">
        <v>-22.9</v>
      </c>
      <c r="LA69" s="19">
        <v>0.33333333333333331</v>
      </c>
      <c r="LB69" s="18">
        <v>-8.1</v>
      </c>
      <c r="LC69" s="19">
        <v>0.5</v>
      </c>
      <c r="LD69" s="18">
        <v>35.099999999999994</v>
      </c>
      <c r="LE69" s="19">
        <v>0.875</v>
      </c>
      <c r="LF69" s="18">
        <v>6.6999999999999993</v>
      </c>
      <c r="LG69" s="19">
        <v>0.75</v>
      </c>
      <c r="LH69" s="18">
        <v>5.0000000000000018</v>
      </c>
      <c r="LI69" s="19">
        <v>0.7142857142857143</v>
      </c>
      <c r="LJ69" s="18">
        <v>0</v>
      </c>
      <c r="LK69" s="19">
        <v>0.75</v>
      </c>
      <c r="LL69" s="18"/>
      <c r="LM69" s="19"/>
      <c r="LN69" s="18">
        <v>7.1</v>
      </c>
      <c r="LO69" s="19">
        <v>1</v>
      </c>
      <c r="LP69" s="18"/>
      <c r="LQ69" s="19"/>
      <c r="LR69" s="18"/>
      <c r="LS69" s="19"/>
      <c r="LT69" s="18"/>
      <c r="LU69" s="19"/>
      <c r="LV69" s="18"/>
      <c r="LW69" s="19"/>
      <c r="LX69" s="18"/>
      <c r="LY69" s="19"/>
      <c r="LZ69" s="18">
        <v>7.3999999999999995</v>
      </c>
      <c r="MA69" s="19">
        <v>1</v>
      </c>
      <c r="MB69" s="18"/>
      <c r="MC69" s="19"/>
      <c r="MD69" s="18"/>
      <c r="ME69" s="19"/>
      <c r="MF69" s="18"/>
      <c r="MG69" s="19"/>
      <c r="MH69" s="18"/>
      <c r="MI69" s="19"/>
      <c r="MJ69" s="18"/>
      <c r="MK69" s="19"/>
      <c r="ML69" s="18"/>
      <c r="MM69" s="19"/>
      <c r="MN69" s="18"/>
      <c r="MO69" s="19"/>
      <c r="MP69" s="18"/>
      <c r="MQ69" s="19"/>
      <c r="MR69" s="18"/>
      <c r="MS69" s="19"/>
      <c r="MT69" s="18"/>
      <c r="MU69" s="19"/>
      <c r="MV69" s="18"/>
      <c r="MW69" s="19"/>
      <c r="MX69" s="18">
        <v>-15.4</v>
      </c>
      <c r="MY69" s="19">
        <v>0</v>
      </c>
      <c r="MZ69" s="18"/>
      <c r="NA69" s="19"/>
      <c r="NB69" s="18"/>
      <c r="NC69" s="19"/>
      <c r="ND69" s="18"/>
      <c r="NE69" s="19"/>
      <c r="NF69" s="18">
        <v>-15.299999999999999</v>
      </c>
      <c r="NG69" s="19">
        <v>0</v>
      </c>
      <c r="NH69" s="18">
        <v>-15.299999999999999</v>
      </c>
      <c r="NI69" s="19">
        <v>0</v>
      </c>
      <c r="NJ69" s="18">
        <v>-2.0999999999999996</v>
      </c>
      <c r="NK69" s="19">
        <v>0</v>
      </c>
      <c r="NL69" s="18"/>
      <c r="NM69" s="19"/>
      <c r="NN69" s="18"/>
      <c r="NO69" s="19"/>
      <c r="NP69" s="18"/>
      <c r="NQ69" s="19"/>
      <c r="NR69" s="18"/>
      <c r="NS69" s="19"/>
      <c r="NT69" s="18">
        <v>-14.899999999999999</v>
      </c>
      <c r="NU69" s="19">
        <v>0</v>
      </c>
      <c r="NV69" s="18"/>
      <c r="NW69" s="19"/>
      <c r="NX69" s="18">
        <v>-15</v>
      </c>
      <c r="NY69" s="19">
        <v>0</v>
      </c>
      <c r="NZ69" s="18"/>
      <c r="OA69" s="19"/>
      <c r="OB69" s="18">
        <v>7.1</v>
      </c>
      <c r="OC69" s="19">
        <v>1</v>
      </c>
      <c r="OD69" s="18">
        <v>7.5</v>
      </c>
      <c r="OE69" s="19">
        <v>1</v>
      </c>
      <c r="OF69" s="18">
        <v>-15</v>
      </c>
      <c r="OG69" s="19">
        <v>0</v>
      </c>
      <c r="OH69" s="18"/>
      <c r="OI69" s="19"/>
      <c r="OJ69" s="18">
        <v>-5.3</v>
      </c>
      <c r="OK69" s="19">
        <v>0</v>
      </c>
      <c r="OL69" s="18">
        <v>6.9999999999999991</v>
      </c>
      <c r="OM69" s="19">
        <v>1</v>
      </c>
      <c r="ON69" s="18"/>
      <c r="OO69" s="19"/>
      <c r="OP69" s="18">
        <v>-15.5</v>
      </c>
      <c r="OQ69" s="19">
        <v>0</v>
      </c>
      <c r="OR69" s="18">
        <v>-15</v>
      </c>
      <c r="OS69" s="19">
        <v>0</v>
      </c>
      <c r="OT69" s="18">
        <v>7.1999999999999993</v>
      </c>
      <c r="OU69" s="19">
        <v>1</v>
      </c>
      <c r="OV69" s="18"/>
      <c r="OW69" s="19"/>
      <c r="OX69" s="18"/>
      <c r="OY69" s="19"/>
      <c r="OZ69" s="18">
        <v>7.1</v>
      </c>
      <c r="PA69" s="19">
        <v>1</v>
      </c>
      <c r="PB69" s="18">
        <v>9.6</v>
      </c>
      <c r="PC69" s="19">
        <v>0.66666666666666663</v>
      </c>
      <c r="PD69" s="18">
        <v>5.9999999999999982</v>
      </c>
      <c r="PE69" s="19">
        <v>0.5</v>
      </c>
      <c r="PF69" s="18">
        <v>-1.4000000000000001</v>
      </c>
      <c r="PG69" s="19">
        <v>0.5</v>
      </c>
      <c r="PH69" s="18">
        <v>8.0999999999999979</v>
      </c>
      <c r="PI69" s="19">
        <v>0.75</v>
      </c>
      <c r="PJ69" s="18">
        <v>5.0999999999999979</v>
      </c>
      <c r="PK69" s="19">
        <v>0.7142857142857143</v>
      </c>
      <c r="PL69" s="18"/>
      <c r="PM69" s="19"/>
      <c r="PN69" s="18"/>
      <c r="PO69" s="19"/>
      <c r="PP69" s="18">
        <v>-0.60000000000000053</v>
      </c>
      <c r="PQ69" s="19">
        <v>0.66666666666666663</v>
      </c>
      <c r="PR69" s="18">
        <v>-39.200000000000003</v>
      </c>
      <c r="PS69" s="19">
        <v>0.33333333333333331</v>
      </c>
      <c r="PT69" s="18">
        <v>-1.100000000000001</v>
      </c>
      <c r="PU69" s="19">
        <v>0.66666666666666663</v>
      </c>
      <c r="PV69" s="18">
        <v>5.6999999999999984</v>
      </c>
      <c r="PW69" s="19">
        <v>0.7142857142857143</v>
      </c>
      <c r="PX69" s="18">
        <v>29.4</v>
      </c>
      <c r="PY69" s="19">
        <v>1</v>
      </c>
      <c r="PZ69" s="18"/>
      <c r="QA69" s="19"/>
      <c r="QB69" s="18">
        <v>-12.200000000000001</v>
      </c>
      <c r="QC69" s="19">
        <v>0.5</v>
      </c>
      <c r="QD69" s="18">
        <v>17.5</v>
      </c>
      <c r="QE69" s="19">
        <v>0.75</v>
      </c>
      <c r="QF69" s="18">
        <v>44</v>
      </c>
      <c r="QG69" s="19">
        <v>1</v>
      </c>
      <c r="QH69" s="18">
        <v>-56.6</v>
      </c>
      <c r="QI69" s="19">
        <v>0.16666666666666666</v>
      </c>
      <c r="QJ69" s="18">
        <v>-15.900000000000002</v>
      </c>
      <c r="QK69" s="19">
        <v>0.4</v>
      </c>
      <c r="QL69" s="18">
        <v>18.5</v>
      </c>
      <c r="QM69" s="19">
        <v>0.8</v>
      </c>
      <c r="QN69" s="18">
        <v>10.199999999999999</v>
      </c>
      <c r="QO69" s="19">
        <v>0.66666666666666663</v>
      </c>
      <c r="QP69" s="18">
        <v>-6.8999999999999995</v>
      </c>
      <c r="QQ69" s="19">
        <v>0.5</v>
      </c>
      <c r="QR69" s="18">
        <v>-12.6</v>
      </c>
      <c r="QS69" s="19">
        <v>0.25</v>
      </c>
      <c r="QT69" s="18">
        <v>-12.2</v>
      </c>
      <c r="QU69" s="19">
        <v>0.5</v>
      </c>
      <c r="QV69" s="18">
        <v>14.499999999999998</v>
      </c>
      <c r="QW69" s="19">
        <v>1</v>
      </c>
      <c r="QX69" s="18">
        <v>-0.69999999999999951</v>
      </c>
      <c r="QY69" s="19">
        <v>0.4</v>
      </c>
      <c r="QZ69" s="18">
        <v>-17.5</v>
      </c>
      <c r="RA69" s="19">
        <v>0.2</v>
      </c>
      <c r="RB69" s="18">
        <v>23.499999999999996</v>
      </c>
      <c r="RC69" s="19">
        <v>0.8</v>
      </c>
      <c r="RD69" s="18">
        <v>-46.699999999999996</v>
      </c>
      <c r="RE69" s="19">
        <v>0.16666666666666666</v>
      </c>
      <c r="RF69" s="18">
        <v>10</v>
      </c>
      <c r="RG69" s="19">
        <v>0.5</v>
      </c>
      <c r="RH69" s="18">
        <v>4.8</v>
      </c>
      <c r="RI69" s="19">
        <v>1</v>
      </c>
      <c r="RJ69" s="18">
        <v>2.4999999999999987</v>
      </c>
      <c r="RK69" s="19">
        <v>0.6</v>
      </c>
      <c r="RL69" s="18"/>
      <c r="RM69" s="19"/>
      <c r="RN69" s="18">
        <v>-8.9999999999999982</v>
      </c>
      <c r="RO69" s="19">
        <v>0.5</v>
      </c>
      <c r="RP69" s="18">
        <v>-18.099999999999998</v>
      </c>
      <c r="RQ69" s="19">
        <v>0.5714285714285714</v>
      </c>
      <c r="RR69" s="18"/>
      <c r="RS69" s="19"/>
      <c r="RT69" s="18">
        <v>4.3999999999999995</v>
      </c>
      <c r="RU69" s="19">
        <v>0.66666666666666663</v>
      </c>
      <c r="RV69" s="18"/>
      <c r="RW69" s="19"/>
      <c r="RX69" s="18">
        <v>-29.7</v>
      </c>
      <c r="RY69" s="19">
        <v>0.33333333333333331</v>
      </c>
      <c r="RZ69" s="18">
        <v>-35.999999999999993</v>
      </c>
      <c r="SA69" s="19">
        <v>0.4</v>
      </c>
      <c r="SB69" s="18">
        <v>-0.50000000000000044</v>
      </c>
      <c r="SC69" s="19">
        <v>0.66666666666666663</v>
      </c>
      <c r="SD69" s="18"/>
      <c r="SE69" s="19"/>
      <c r="SF69" s="18">
        <v>-2.0000000000000013</v>
      </c>
      <c r="SG69" s="19">
        <v>0.42857142857142855</v>
      </c>
      <c r="SH69" s="18">
        <v>-62.29999999999999</v>
      </c>
      <c r="SI69" s="19">
        <v>0.16666666666666666</v>
      </c>
      <c r="SJ69" s="18">
        <v>-17.799999999999997</v>
      </c>
      <c r="SK69" s="19">
        <v>0.33333333333333331</v>
      </c>
      <c r="SL69" s="18">
        <v>18.999999999999996</v>
      </c>
      <c r="SM69" s="19">
        <v>0.8</v>
      </c>
      <c r="SN69" s="18">
        <v>-24.599999999999998</v>
      </c>
      <c r="SO69" s="19">
        <v>0.5</v>
      </c>
      <c r="SP69" s="18"/>
      <c r="SQ69" s="19"/>
      <c r="SR69" s="18">
        <v>-66.199999999999989</v>
      </c>
      <c r="SS69" s="19">
        <v>0.25</v>
      </c>
      <c r="ST69" s="18">
        <v>6.6999999999999993</v>
      </c>
      <c r="SU69" s="19">
        <v>0.75</v>
      </c>
      <c r="SV69" s="18">
        <v>15.499999999999998</v>
      </c>
      <c r="SW69" s="19">
        <v>0.6</v>
      </c>
      <c r="SX69" s="18">
        <v>-9.2000000000000011</v>
      </c>
      <c r="SY69" s="19">
        <v>0.6</v>
      </c>
      <c r="SZ69" s="18">
        <v>27.199999999999996</v>
      </c>
      <c r="TA69" s="19">
        <v>1</v>
      </c>
      <c r="TB69" s="18">
        <v>-42.300000000000004</v>
      </c>
      <c r="TC69" s="19">
        <v>0.375</v>
      </c>
      <c r="TD69" s="18"/>
      <c r="TE69" s="19"/>
      <c r="TF69" s="18">
        <v>-11</v>
      </c>
      <c r="TG69" s="19">
        <v>0.33333333333333331</v>
      </c>
      <c r="TH69" s="18">
        <v>-15</v>
      </c>
      <c r="TI69" s="19">
        <v>0</v>
      </c>
      <c r="TJ69" s="18">
        <v>-29.900000000000002</v>
      </c>
      <c r="TK69" s="19">
        <v>0</v>
      </c>
      <c r="TL69" s="18">
        <v>-46.300000000000004</v>
      </c>
      <c r="TM69" s="19">
        <v>0.33333333333333331</v>
      </c>
      <c r="TN69" s="18">
        <v>4.0999999999999988</v>
      </c>
      <c r="TO69" s="19">
        <v>0.5</v>
      </c>
      <c r="TP69" s="18">
        <v>14.2</v>
      </c>
      <c r="TQ69" s="19">
        <v>1</v>
      </c>
      <c r="TR69" s="18">
        <v>7.1</v>
      </c>
      <c r="TS69" s="19">
        <v>1</v>
      </c>
      <c r="TT69" s="18">
        <v>-1.9000000000000006</v>
      </c>
      <c r="TU69" s="19">
        <v>0.5</v>
      </c>
      <c r="TV69" s="18">
        <v>5.6999999999999993</v>
      </c>
      <c r="TW69" s="19">
        <v>0.66666666666666663</v>
      </c>
      <c r="TX69" s="18"/>
      <c r="TY69" s="19"/>
      <c r="TZ69" s="18">
        <v>-0.7999999999999996</v>
      </c>
      <c r="UA69" s="19">
        <v>0.5</v>
      </c>
      <c r="UB69" s="18">
        <v>-8.5</v>
      </c>
      <c r="UC69" s="19">
        <v>0.6</v>
      </c>
      <c r="UD69" s="18">
        <v>-10.299999999999999</v>
      </c>
      <c r="UE69" s="19">
        <v>0.5</v>
      </c>
      <c r="UF69" s="18">
        <v>7.4999999999999982</v>
      </c>
      <c r="UG69" s="19">
        <v>0.8</v>
      </c>
      <c r="UH69" s="18">
        <v>-5.5000000000000027</v>
      </c>
      <c r="UI69" s="19">
        <v>0.5</v>
      </c>
      <c r="UJ69" s="18">
        <v>28.3</v>
      </c>
      <c r="UK69" s="19">
        <v>1</v>
      </c>
      <c r="UL69" s="18">
        <v>7.1</v>
      </c>
      <c r="UM69" s="19">
        <v>1</v>
      </c>
      <c r="UN69" s="18">
        <v>-0.60000000000000053</v>
      </c>
      <c r="UO69" s="19">
        <v>0.33333333333333331</v>
      </c>
      <c r="UP69" s="18">
        <v>7.1</v>
      </c>
      <c r="UQ69" s="19">
        <v>0.8</v>
      </c>
      <c r="UR69" s="18"/>
      <c r="US69" s="19"/>
      <c r="UT69" s="18">
        <v>5.7</v>
      </c>
      <c r="UU69" s="19">
        <v>0.6</v>
      </c>
      <c r="UV69" s="18">
        <v>-2.200000000000002</v>
      </c>
      <c r="UW69" s="19">
        <v>0.66666666666666663</v>
      </c>
      <c r="UX69" s="18">
        <v>-11.299999999999999</v>
      </c>
      <c r="UY69" s="19">
        <v>0.5</v>
      </c>
      <c r="UZ69" s="18">
        <v>19.2</v>
      </c>
      <c r="VA69" s="19">
        <v>0.66666666666666663</v>
      </c>
      <c r="VB69" s="18">
        <v>7.5</v>
      </c>
      <c r="VC69" s="19">
        <v>1</v>
      </c>
      <c r="VD69" s="18">
        <v>7.5</v>
      </c>
      <c r="VE69" s="19">
        <v>0.8</v>
      </c>
      <c r="VF69" s="18">
        <v>-9.8999999999999986</v>
      </c>
      <c r="VG69" s="19">
        <v>0.25</v>
      </c>
      <c r="VH69" s="18">
        <v>-15.8</v>
      </c>
      <c r="VI69" s="19">
        <v>0.2</v>
      </c>
      <c r="VJ69" s="18"/>
      <c r="VK69" s="19"/>
      <c r="VL69" s="18">
        <v>-5.1999999999999984</v>
      </c>
      <c r="VM69" s="19">
        <v>0.33333333333333331</v>
      </c>
      <c r="VN69" s="18">
        <v>1.9999999999999996</v>
      </c>
      <c r="VO69" s="19">
        <v>0.5</v>
      </c>
      <c r="VP69" s="18">
        <v>14.099999999999998</v>
      </c>
      <c r="VQ69" s="19">
        <v>1</v>
      </c>
      <c r="VR69" s="18">
        <v>-6.5000000000000009</v>
      </c>
      <c r="VS69" s="19">
        <v>0.4</v>
      </c>
      <c r="VT69" s="18">
        <v>-1.6000000000000005</v>
      </c>
      <c r="VU69" s="19">
        <v>0.6</v>
      </c>
      <c r="VV69" s="18">
        <v>7.1</v>
      </c>
      <c r="VW69" s="19">
        <v>1</v>
      </c>
      <c r="VX69" s="18"/>
      <c r="VY69" s="19"/>
      <c r="VZ69" s="18"/>
      <c r="WA69" s="19"/>
      <c r="WB69" s="18"/>
      <c r="WC69" s="19"/>
      <c r="WD69" s="18">
        <v>-0.80000000000000071</v>
      </c>
      <c r="WE69" s="19">
        <v>0.66666666666666663</v>
      </c>
      <c r="WF69" s="18">
        <v>7.1</v>
      </c>
      <c r="WG69" s="19">
        <v>1</v>
      </c>
      <c r="WH69" s="18"/>
      <c r="WI69" s="19"/>
      <c r="WJ69" s="18">
        <v>5.8999999999999995</v>
      </c>
      <c r="WK69" s="19">
        <v>0.66666666666666663</v>
      </c>
      <c r="WL69" s="18">
        <v>-3.5999999999999996</v>
      </c>
      <c r="WM69" s="19">
        <v>0</v>
      </c>
      <c r="WN69" s="18"/>
      <c r="WO69" s="19"/>
      <c r="WP69" s="18">
        <v>-9.9</v>
      </c>
      <c r="WQ69" s="19">
        <v>0.4</v>
      </c>
      <c r="WR69" s="18"/>
      <c r="WS69" s="19"/>
      <c r="WT69" s="18">
        <v>2.2999999999999998</v>
      </c>
      <c r="WU69" s="19">
        <v>0.66666666666666663</v>
      </c>
      <c r="WV69" s="18">
        <v>-30.4</v>
      </c>
      <c r="WW69" s="19">
        <v>0.2857142857142857</v>
      </c>
      <c r="WX69" s="18">
        <v>16.499999999999996</v>
      </c>
      <c r="WY69" s="19">
        <v>0.75</v>
      </c>
      <c r="WZ69" s="18"/>
      <c r="XA69" s="19"/>
      <c r="XB69" s="18">
        <v>-8.6</v>
      </c>
      <c r="XC69" s="19">
        <v>0.6</v>
      </c>
      <c r="XD69" s="18">
        <v>11.199999999999998</v>
      </c>
      <c r="XE69" s="19">
        <v>0.6</v>
      </c>
      <c r="XF69" s="18">
        <v>-12.900000000000002</v>
      </c>
      <c r="XG69" s="19">
        <v>0.42857142857142855</v>
      </c>
      <c r="XH69" s="18">
        <v>-2.5</v>
      </c>
      <c r="XI69" s="19">
        <v>0</v>
      </c>
      <c r="XJ69" s="18">
        <v>-8.1</v>
      </c>
      <c r="XK69" s="19">
        <v>0.5</v>
      </c>
      <c r="XL69" s="18">
        <v>-4.8</v>
      </c>
      <c r="XM69" s="19">
        <v>0</v>
      </c>
      <c r="XN69" s="18">
        <v>-11.999999999999998</v>
      </c>
      <c r="XO69" s="19">
        <v>0.5</v>
      </c>
      <c r="XP69" s="18">
        <v>30.5</v>
      </c>
      <c r="XQ69" s="19">
        <v>0.83333333333333337</v>
      </c>
      <c r="XR69" s="18">
        <v>-0.6</v>
      </c>
      <c r="XS69" s="19">
        <v>0</v>
      </c>
      <c r="XT69" s="18">
        <v>-5.0999999999999996</v>
      </c>
      <c r="XU69" s="19">
        <v>0</v>
      </c>
      <c r="XV69" s="18"/>
      <c r="XW69" s="19"/>
    </row>
    <row r="70" spans="2:647" x14ac:dyDescent="0.25">
      <c r="B70" s="755"/>
      <c r="C70" s="763"/>
      <c r="D70" s="755" t="s">
        <v>31</v>
      </c>
      <c r="E70" s="755"/>
      <c r="F70" s="482">
        <v>0.2</v>
      </c>
      <c r="G70" s="475" t="s">
        <v>42</v>
      </c>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6"/>
      <c r="BC70" s="6"/>
      <c r="BD70" s="6"/>
      <c r="BE70" s="6"/>
      <c r="BF70" s="6"/>
      <c r="BG70" s="6"/>
      <c r="BH70" s="6"/>
      <c r="BI70" s="6"/>
      <c r="BJ70" s="6"/>
      <c r="BK70" s="6"/>
      <c r="BL70" s="6"/>
      <c r="BM70" s="6"/>
      <c r="BN70" s="6"/>
      <c r="BO70" s="6"/>
      <c r="BP70" s="6"/>
      <c r="BQ70" s="6"/>
      <c r="BR70" s="6"/>
      <c r="BS70" s="6"/>
      <c r="BT70" s="6"/>
      <c r="BU70" s="6"/>
      <c r="BV70" s="6"/>
      <c r="BW70" s="6"/>
      <c r="BX70" s="6"/>
      <c r="BY70" s="95"/>
      <c r="BZ70" s="6"/>
      <c r="CA70" s="95"/>
      <c r="CB70" s="6"/>
      <c r="CC70" s="95"/>
      <c r="CD70" s="6"/>
      <c r="CE70" s="95"/>
      <c r="CF70" s="6"/>
      <c r="CG70" s="95"/>
      <c r="CH70" s="6"/>
      <c r="CI70" s="95"/>
      <c r="CJ70" s="6"/>
      <c r="CK70" s="95"/>
      <c r="CL70" s="6"/>
      <c r="CM70" s="95"/>
      <c r="CN70" s="6"/>
      <c r="CO70" s="95"/>
      <c r="CP70" s="6"/>
      <c r="CQ70" s="95"/>
      <c r="CR70" s="6"/>
      <c r="CS70" s="95"/>
      <c r="CT70" s="6"/>
      <c r="CU70" s="95"/>
      <c r="CV70" s="6"/>
      <c r="CW70" s="95"/>
      <c r="CX70" s="6"/>
      <c r="CY70" s="95"/>
      <c r="CZ70" s="6"/>
      <c r="DA70" s="95"/>
      <c r="DB70" s="6"/>
      <c r="DC70" s="95"/>
      <c r="DD70" s="6"/>
      <c r="DE70" s="95"/>
      <c r="DF70" s="6"/>
      <c r="DG70" s="95"/>
      <c r="DH70" s="6"/>
      <c r="DI70" s="95"/>
      <c r="DJ70" s="6"/>
      <c r="DK70" s="95"/>
      <c r="DL70" s="6"/>
      <c r="DM70" s="95"/>
      <c r="DN70" s="6"/>
      <c r="DO70" s="95"/>
      <c r="DP70" s="6"/>
      <c r="DQ70" s="95"/>
      <c r="DR70" s="6"/>
      <c r="DS70" s="95"/>
      <c r="DT70" s="6"/>
      <c r="DU70" s="95"/>
      <c r="DV70" s="6"/>
      <c r="DW70" s="95"/>
      <c r="DX70" s="6"/>
      <c r="DY70" s="95"/>
      <c r="DZ70" s="6"/>
      <c r="EA70" s="95"/>
      <c r="EB70" s="6"/>
      <c r="EC70" s="95"/>
      <c r="ED70" s="6"/>
      <c r="EE70" s="95"/>
      <c r="EF70" s="6"/>
      <c r="EG70" s="95"/>
      <c r="EH70" s="6"/>
      <c r="EI70" s="95"/>
      <c r="EJ70" s="6"/>
      <c r="EK70" s="95"/>
      <c r="EL70" s="6"/>
      <c r="EM70" s="95"/>
      <c r="EN70" s="6"/>
      <c r="EO70" s="95"/>
      <c r="EP70" s="6"/>
      <c r="EQ70" s="95"/>
      <c r="ER70" s="487"/>
      <c r="ES70" s="1"/>
      <c r="ET70" s="487"/>
      <c r="EU70" s="1"/>
      <c r="EV70" s="487"/>
      <c r="EW70" s="1"/>
      <c r="EX70" s="487"/>
      <c r="EY70" s="1"/>
      <c r="EZ70" s="487"/>
      <c r="FA70" s="1"/>
      <c r="FB70" s="487"/>
      <c r="FC70" s="1"/>
      <c r="FD70" s="487"/>
      <c r="FE70" s="1"/>
      <c r="FF70" s="487"/>
      <c r="FG70" s="1"/>
      <c r="FH70" s="487"/>
      <c r="FI70" s="1"/>
      <c r="FJ70" s="487"/>
      <c r="FK70" s="1"/>
      <c r="FL70" s="487"/>
      <c r="FM70" s="1"/>
      <c r="FN70" s="487"/>
      <c r="FO70" s="1"/>
      <c r="FP70" s="487"/>
      <c r="FQ70" s="1"/>
      <c r="FR70" s="487"/>
      <c r="FS70" s="1"/>
      <c r="FT70" s="487"/>
      <c r="FU70" s="1"/>
      <c r="FV70" s="487"/>
      <c r="FW70" s="1"/>
      <c r="FX70" s="487"/>
      <c r="FY70" s="1"/>
      <c r="FZ70" s="487"/>
      <c r="GA70" s="1"/>
      <c r="GB70" s="487"/>
      <c r="GC70" s="1"/>
      <c r="GD70" s="487"/>
      <c r="GE70" s="1"/>
      <c r="GF70" s="487"/>
      <c r="GG70" s="1"/>
      <c r="GH70" s="487"/>
      <c r="GI70" s="1"/>
      <c r="GJ70" s="487"/>
      <c r="GK70" s="1"/>
      <c r="GL70" s="487"/>
      <c r="GM70" s="1"/>
      <c r="GN70" s="487"/>
      <c r="GO70" s="1"/>
      <c r="GP70" s="487"/>
      <c r="GQ70" s="1"/>
      <c r="GR70" s="487"/>
      <c r="GS70" s="1"/>
      <c r="GT70" s="487"/>
      <c r="GU70" s="1"/>
      <c r="GV70" s="487"/>
      <c r="GW70" s="1"/>
      <c r="GX70" s="487"/>
      <c r="GY70" s="1"/>
      <c r="GZ70" s="487"/>
      <c r="HA70" s="1"/>
      <c r="HB70" s="487"/>
      <c r="HC70" s="1"/>
      <c r="HD70" s="487"/>
      <c r="HE70" s="1"/>
      <c r="HF70" s="487"/>
      <c r="HG70" s="1"/>
      <c r="HH70" s="487"/>
      <c r="HI70" s="1"/>
      <c r="HJ70" s="487"/>
      <c r="HK70" s="1"/>
      <c r="HL70" s="487"/>
      <c r="HM70" s="1"/>
      <c r="HN70" s="487"/>
      <c r="HO70" s="1"/>
      <c r="HP70" s="487"/>
      <c r="HQ70" s="1"/>
      <c r="HR70" s="487"/>
      <c r="HS70" s="1"/>
      <c r="HT70" s="487"/>
      <c r="HU70" s="1"/>
      <c r="HV70" s="487"/>
      <c r="HW70" s="1"/>
      <c r="HX70" s="487"/>
      <c r="HY70" s="1"/>
      <c r="HZ70" s="487"/>
      <c r="IA70" s="1"/>
      <c r="IB70" s="487"/>
      <c r="IC70" s="1"/>
      <c r="ID70" s="487"/>
      <c r="IE70" s="1"/>
      <c r="IF70" s="487"/>
      <c r="IG70" s="1"/>
      <c r="IH70" s="487"/>
      <c r="II70" s="1"/>
      <c r="IJ70" s="487"/>
      <c r="IK70" s="1"/>
      <c r="IL70" s="487"/>
      <c r="IM70" s="1"/>
      <c r="IN70" s="487">
        <v>-17.850000000000001</v>
      </c>
      <c r="IO70" s="1">
        <v>0.4</v>
      </c>
      <c r="IP70" s="487">
        <v>-5.1999999999999984</v>
      </c>
      <c r="IQ70" s="1">
        <v>0.25</v>
      </c>
      <c r="IR70" s="487">
        <v>42.449999999999996</v>
      </c>
      <c r="IS70" s="1">
        <v>0.55555555555555558</v>
      </c>
      <c r="IT70" s="487">
        <v>-1.7999999999999994</v>
      </c>
      <c r="IU70" s="1">
        <v>0.6</v>
      </c>
      <c r="IV70" s="487">
        <v>16.2</v>
      </c>
      <c r="IW70" s="1">
        <v>0.7142857142857143</v>
      </c>
      <c r="IX70" s="487">
        <v>-19.95</v>
      </c>
      <c r="IY70" s="1">
        <v>0.6</v>
      </c>
      <c r="IZ70" s="487">
        <v>-13.95</v>
      </c>
      <c r="JA70" s="1">
        <v>0.4</v>
      </c>
      <c r="JB70" s="487">
        <v>-30.1</v>
      </c>
      <c r="JC70" s="1">
        <v>0.25</v>
      </c>
      <c r="JD70" s="487"/>
      <c r="JE70" s="1"/>
      <c r="JF70" s="487">
        <v>29.599999999999998</v>
      </c>
      <c r="JG70" s="1">
        <v>0.8</v>
      </c>
      <c r="JH70" s="487">
        <v>37.549999999999997</v>
      </c>
      <c r="JI70" s="1">
        <v>0.8571428571428571</v>
      </c>
      <c r="JJ70" s="487">
        <v>-1.3500000000000056</v>
      </c>
      <c r="JK70" s="1">
        <v>0.625</v>
      </c>
      <c r="JL70" s="487">
        <v>-28.949999999999996</v>
      </c>
      <c r="JM70" s="1">
        <v>0.16666666666666666</v>
      </c>
      <c r="JN70" s="487"/>
      <c r="JO70" s="1"/>
      <c r="JP70" s="487">
        <v>7.8500000000000014</v>
      </c>
      <c r="JQ70" s="1">
        <v>0.55555555555555558</v>
      </c>
      <c r="JR70" s="487"/>
      <c r="JS70" s="1"/>
      <c r="JT70" s="487"/>
      <c r="JU70" s="1"/>
      <c r="JV70" s="487">
        <v>18.950000000000003</v>
      </c>
      <c r="JW70" s="1">
        <v>0.375</v>
      </c>
      <c r="JX70" s="487">
        <v>-48.3</v>
      </c>
      <c r="JY70" s="1">
        <v>0.44444444444444442</v>
      </c>
      <c r="JZ70" s="487">
        <v>10.899999999999999</v>
      </c>
      <c r="KA70" s="1">
        <v>0.77777777777777779</v>
      </c>
      <c r="KB70" s="487">
        <v>13.599999999999998</v>
      </c>
      <c r="KC70" s="1">
        <v>0.7142857142857143</v>
      </c>
      <c r="KD70" s="487">
        <v>12.5</v>
      </c>
      <c r="KE70" s="1">
        <v>0.5714285714285714</v>
      </c>
      <c r="KF70" s="487">
        <v>-9.0499999999999989</v>
      </c>
      <c r="KG70" s="1">
        <v>0.4</v>
      </c>
      <c r="KH70" s="487">
        <v>-3.0500000000000016</v>
      </c>
      <c r="KI70" s="1">
        <v>0.5</v>
      </c>
      <c r="KJ70" s="487">
        <v>12.95</v>
      </c>
      <c r="KK70" s="1">
        <v>0.5</v>
      </c>
      <c r="KL70" s="487">
        <v>-9.7333333333333343</v>
      </c>
      <c r="KM70" s="1">
        <v>0.4</v>
      </c>
      <c r="KN70" s="487">
        <v>13.85</v>
      </c>
      <c r="KO70" s="1">
        <v>0.5</v>
      </c>
      <c r="KP70" s="487">
        <v>36.700000000000003</v>
      </c>
      <c r="KQ70" s="1">
        <v>0.7</v>
      </c>
      <c r="KR70" s="487">
        <v>3.1000000000000005</v>
      </c>
      <c r="KS70" s="1">
        <v>0.8</v>
      </c>
      <c r="KT70" s="487">
        <v>20.350000000000001</v>
      </c>
      <c r="KU70" s="1">
        <v>0.8</v>
      </c>
      <c r="KV70" s="487">
        <v>20.849999999999998</v>
      </c>
      <c r="KW70" s="1">
        <v>0.77777777777777779</v>
      </c>
      <c r="KX70" s="487">
        <v>-73.650000000000006</v>
      </c>
      <c r="KY70" s="1">
        <v>0.44444444444444442</v>
      </c>
      <c r="KZ70" s="487">
        <v>30.45</v>
      </c>
      <c r="LA70" s="1">
        <v>0.77777777777777779</v>
      </c>
      <c r="LB70" s="487">
        <v>-15.15</v>
      </c>
      <c r="LC70" s="1">
        <v>0.66666666666666663</v>
      </c>
      <c r="LD70" s="487">
        <v>30.199999999999996</v>
      </c>
      <c r="LE70" s="1">
        <v>0.88888888888888884</v>
      </c>
      <c r="LF70" s="487">
        <v>7.5499999999999989</v>
      </c>
      <c r="LG70" s="1">
        <v>0.8</v>
      </c>
      <c r="LH70" s="487">
        <v>53.349999999999994</v>
      </c>
      <c r="LI70" s="1">
        <v>0.91666666666666663</v>
      </c>
      <c r="LJ70" s="487">
        <v>36.049999999999997</v>
      </c>
      <c r="LK70" s="1">
        <v>0.8571428571428571</v>
      </c>
      <c r="LL70" s="487"/>
      <c r="LM70" s="1"/>
      <c r="LN70" s="487">
        <v>-24.849999999999998</v>
      </c>
      <c r="LO70" s="1">
        <v>0</v>
      </c>
      <c r="LP70" s="487">
        <v>7.1</v>
      </c>
      <c r="LQ70" s="1">
        <v>1</v>
      </c>
      <c r="LR70" s="487">
        <v>7.2499999999999991</v>
      </c>
      <c r="LS70" s="1">
        <v>1</v>
      </c>
      <c r="LT70" s="487">
        <v>-25.049999999999997</v>
      </c>
      <c r="LU70" s="1">
        <v>0</v>
      </c>
      <c r="LV70" s="487">
        <v>-21.099999999999998</v>
      </c>
      <c r="LW70" s="1">
        <v>0</v>
      </c>
      <c r="LX70" s="487"/>
      <c r="LY70" s="1"/>
      <c r="LZ70" s="487">
        <v>7.0499999999999989</v>
      </c>
      <c r="MA70" s="1">
        <v>1</v>
      </c>
      <c r="MB70" s="487">
        <v>7.1999999999999993</v>
      </c>
      <c r="MC70" s="1">
        <v>1</v>
      </c>
      <c r="MD70" s="487">
        <v>-20.499999999999996</v>
      </c>
      <c r="ME70" s="1">
        <v>0</v>
      </c>
      <c r="MF70" s="487">
        <v>7.8</v>
      </c>
      <c r="MG70" s="1">
        <v>1</v>
      </c>
      <c r="MH70" s="487">
        <v>6.3</v>
      </c>
      <c r="MI70" s="1">
        <v>1</v>
      </c>
      <c r="MJ70" s="487">
        <v>6.8</v>
      </c>
      <c r="MK70" s="1">
        <v>1</v>
      </c>
      <c r="ML70" s="487">
        <v>7.35</v>
      </c>
      <c r="MM70" s="1">
        <v>1</v>
      </c>
      <c r="MN70" s="487">
        <v>-21.2</v>
      </c>
      <c r="MO70" s="1">
        <v>0</v>
      </c>
      <c r="MP70" s="487"/>
      <c r="MQ70" s="1"/>
      <c r="MR70" s="487"/>
      <c r="MS70" s="1"/>
      <c r="MT70" s="487"/>
      <c r="MU70" s="1"/>
      <c r="MV70" s="487"/>
      <c r="MW70" s="1"/>
      <c r="MX70" s="487"/>
      <c r="MY70" s="1"/>
      <c r="MZ70" s="487"/>
      <c r="NA70" s="1"/>
      <c r="NB70" s="487">
        <v>2.75</v>
      </c>
      <c r="NC70" s="1">
        <v>1</v>
      </c>
      <c r="ND70" s="487"/>
      <c r="NE70" s="1"/>
      <c r="NF70" s="487"/>
      <c r="NG70" s="1"/>
      <c r="NH70" s="487"/>
      <c r="NI70" s="1"/>
      <c r="NJ70" s="487"/>
      <c r="NK70" s="1"/>
      <c r="NL70" s="487"/>
      <c r="NM70" s="1"/>
      <c r="NN70" s="487"/>
      <c r="NO70" s="1"/>
      <c r="NP70" s="487">
        <v>7.1499999999999995</v>
      </c>
      <c r="NQ70" s="1">
        <v>1</v>
      </c>
      <c r="NR70" s="487">
        <v>-5.35</v>
      </c>
      <c r="NS70" s="1">
        <v>0</v>
      </c>
      <c r="NT70" s="487"/>
      <c r="NU70" s="1"/>
      <c r="NV70" s="487"/>
      <c r="NW70" s="1"/>
      <c r="NX70" s="487">
        <v>-25.049999999999997</v>
      </c>
      <c r="NY70" s="1">
        <v>0</v>
      </c>
      <c r="NZ70" s="487">
        <v>7.0499999999999989</v>
      </c>
      <c r="OA70" s="1">
        <v>1</v>
      </c>
      <c r="OB70" s="487"/>
      <c r="OC70" s="1"/>
      <c r="OD70" s="487">
        <v>7.75</v>
      </c>
      <c r="OE70" s="1">
        <v>1</v>
      </c>
      <c r="OF70" s="487"/>
      <c r="OG70" s="1"/>
      <c r="OH70" s="487">
        <v>7.1999999999999993</v>
      </c>
      <c r="OI70" s="1">
        <v>1</v>
      </c>
      <c r="OJ70" s="487"/>
      <c r="OK70" s="1"/>
      <c r="OL70" s="487"/>
      <c r="OM70" s="1"/>
      <c r="ON70" s="487"/>
      <c r="OO70" s="1"/>
      <c r="OP70" s="487">
        <v>7.1</v>
      </c>
      <c r="OQ70" s="1">
        <v>1</v>
      </c>
      <c r="OR70" s="487">
        <v>-21.949999999999996</v>
      </c>
      <c r="OS70" s="1">
        <v>0</v>
      </c>
      <c r="OT70" s="487">
        <v>-14.45</v>
      </c>
      <c r="OU70" s="1">
        <v>0</v>
      </c>
      <c r="OV70" s="487">
        <v>-23.999999999999996</v>
      </c>
      <c r="OW70" s="1">
        <v>0</v>
      </c>
      <c r="OX70" s="487"/>
      <c r="OY70" s="1"/>
      <c r="OZ70" s="487">
        <v>-7.950000000000002</v>
      </c>
      <c r="PA70" s="1">
        <v>0.66666666666666663</v>
      </c>
      <c r="PB70" s="487">
        <v>28.549999999999994</v>
      </c>
      <c r="PC70" s="1">
        <v>0.8</v>
      </c>
      <c r="PD70" s="487">
        <v>23.849999999999998</v>
      </c>
      <c r="PE70" s="1">
        <v>0.75</v>
      </c>
      <c r="PF70" s="487">
        <v>-24.900000000000002</v>
      </c>
      <c r="PG70" s="1">
        <v>0.5714285714285714</v>
      </c>
      <c r="PH70" s="487">
        <v>-55.149999999999991</v>
      </c>
      <c r="PI70" s="1">
        <v>0.5</v>
      </c>
      <c r="PJ70" s="487">
        <v>33.449999999999996</v>
      </c>
      <c r="PK70" s="1">
        <v>0.88888888888888884</v>
      </c>
      <c r="PL70" s="487"/>
      <c r="PM70" s="1"/>
      <c r="PN70" s="487"/>
      <c r="PO70" s="1"/>
      <c r="PP70" s="487">
        <v>-42.05</v>
      </c>
      <c r="PQ70" s="1">
        <v>0.5</v>
      </c>
      <c r="PR70" s="487">
        <v>1.1999999999999988</v>
      </c>
      <c r="PS70" s="1">
        <v>0.75</v>
      </c>
      <c r="PT70" s="487">
        <v>7.299999999999998</v>
      </c>
      <c r="PU70" s="1">
        <v>0.8</v>
      </c>
      <c r="PV70" s="487">
        <v>-71.399999999999991</v>
      </c>
      <c r="PW70" s="1">
        <v>0.5</v>
      </c>
      <c r="PX70" s="487">
        <v>-53.499999999999993</v>
      </c>
      <c r="PY70" s="1">
        <v>0.58333333333333337</v>
      </c>
      <c r="PZ70" s="487"/>
      <c r="QA70" s="1"/>
      <c r="QB70" s="487">
        <v>-7.1999999999999993</v>
      </c>
      <c r="QC70" s="1">
        <v>0.75</v>
      </c>
      <c r="QD70" s="487">
        <v>2.4000000000000021</v>
      </c>
      <c r="QE70" s="1">
        <v>0.66666666666666663</v>
      </c>
      <c r="QF70" s="487">
        <v>-25.35</v>
      </c>
      <c r="QG70" s="1">
        <v>0.42857142857142855</v>
      </c>
      <c r="QH70" s="487">
        <v>-43.75</v>
      </c>
      <c r="QI70" s="1">
        <v>0.5</v>
      </c>
      <c r="QJ70" s="487">
        <v>-33.649999999999991</v>
      </c>
      <c r="QK70" s="1">
        <v>0.55555555555555558</v>
      </c>
      <c r="QL70" s="487">
        <v>5.6499999999999977</v>
      </c>
      <c r="QM70" s="1">
        <v>0.625</v>
      </c>
      <c r="QN70" s="487">
        <v>4.5500000000000007</v>
      </c>
      <c r="QO70" s="1">
        <v>0.55555555555555558</v>
      </c>
      <c r="QP70" s="487">
        <v>-78.2</v>
      </c>
      <c r="QQ70" s="1">
        <v>0.375</v>
      </c>
      <c r="QR70" s="487">
        <v>4.1999999999999993</v>
      </c>
      <c r="QS70" s="1">
        <v>0.5</v>
      </c>
      <c r="QT70" s="487">
        <v>11.999999999999996</v>
      </c>
      <c r="QU70" s="1">
        <v>0.7142857142857143</v>
      </c>
      <c r="QV70" s="487">
        <v>-20.45</v>
      </c>
      <c r="QW70" s="1">
        <v>0.33333333333333331</v>
      </c>
      <c r="QX70" s="487">
        <v>7.35</v>
      </c>
      <c r="QY70" s="1">
        <v>0.4</v>
      </c>
      <c r="QZ70" s="487">
        <v>-77.199999999999989</v>
      </c>
      <c r="RA70" s="1">
        <v>0.1111111111111111</v>
      </c>
      <c r="RB70" s="487">
        <v>48.149999999999991</v>
      </c>
      <c r="RC70" s="1">
        <v>1</v>
      </c>
      <c r="RD70" s="487">
        <v>-20.75</v>
      </c>
      <c r="RE70" s="1">
        <v>0.5</v>
      </c>
      <c r="RF70" s="487">
        <v>16.799999999999997</v>
      </c>
      <c r="RG70" s="1">
        <v>0.66666666666666663</v>
      </c>
      <c r="RH70" s="487">
        <v>7.1</v>
      </c>
      <c r="RI70" s="1">
        <v>1</v>
      </c>
      <c r="RJ70" s="487">
        <v>-33.299999999999997</v>
      </c>
      <c r="RK70" s="1">
        <v>0.44444444444444442</v>
      </c>
      <c r="RL70" s="487"/>
      <c r="RM70" s="1"/>
      <c r="RN70" s="487">
        <v>-13.75</v>
      </c>
      <c r="RO70" s="1">
        <v>0.5</v>
      </c>
      <c r="RP70" s="487">
        <v>-4.950000000000002</v>
      </c>
      <c r="RQ70" s="1">
        <v>0.5714285714285714</v>
      </c>
      <c r="RR70" s="487"/>
      <c r="RS70" s="1"/>
      <c r="RT70" s="487">
        <v>-5.7499999999999991</v>
      </c>
      <c r="RU70" s="1">
        <v>0.66666666666666663</v>
      </c>
      <c r="RV70" s="487">
        <v>-58.1</v>
      </c>
      <c r="RW70" s="1">
        <v>0.36363636363636365</v>
      </c>
      <c r="RX70" s="487">
        <v>28.999999999999996</v>
      </c>
      <c r="RY70" s="1">
        <v>0.77777777777777779</v>
      </c>
      <c r="RZ70" s="487">
        <v>-24.249999999999996</v>
      </c>
      <c r="SA70" s="1">
        <v>0.625</v>
      </c>
      <c r="SB70" s="487">
        <v>-9.8000000000000007</v>
      </c>
      <c r="SC70" s="1">
        <v>0.5714285714285714</v>
      </c>
      <c r="SD70" s="487"/>
      <c r="SE70" s="1"/>
      <c r="SF70" s="487">
        <v>-5.0000000000001155E-2</v>
      </c>
      <c r="SG70" s="1">
        <v>0.55555555555555558</v>
      </c>
      <c r="SH70" s="487">
        <v>-50.449999999999996</v>
      </c>
      <c r="SI70" s="1">
        <v>0.42857142857142855</v>
      </c>
      <c r="SJ70" s="487">
        <v>-33.349999999999987</v>
      </c>
      <c r="SK70" s="1">
        <v>0.45454545454545453</v>
      </c>
      <c r="SL70" s="487">
        <v>37.6</v>
      </c>
      <c r="SM70" s="1">
        <v>1</v>
      </c>
      <c r="SN70" s="487">
        <v>-12.6</v>
      </c>
      <c r="SO70" s="1">
        <v>0.66666666666666663</v>
      </c>
      <c r="SP70" s="487">
        <v>-11.099999999999998</v>
      </c>
      <c r="SQ70" s="1">
        <v>0.5</v>
      </c>
      <c r="SR70" s="487">
        <v>-31.150000000000002</v>
      </c>
      <c r="SS70" s="1">
        <v>0.6</v>
      </c>
      <c r="ST70" s="487">
        <v>-35.749999999999993</v>
      </c>
      <c r="SU70" s="1">
        <v>0.25</v>
      </c>
      <c r="SV70" s="487">
        <v>-9.0999999999999979</v>
      </c>
      <c r="SW70" s="1">
        <v>0.5</v>
      </c>
      <c r="SX70" s="487">
        <v>-34.1</v>
      </c>
      <c r="SY70" s="1">
        <v>0.6</v>
      </c>
      <c r="SZ70" s="487">
        <v>-24.5</v>
      </c>
      <c r="TA70" s="1">
        <v>0.5</v>
      </c>
      <c r="TB70" s="487">
        <v>3.4499999999999962</v>
      </c>
      <c r="TC70" s="1">
        <v>0.8</v>
      </c>
      <c r="TD70" s="487">
        <v>7.2499999999999991</v>
      </c>
      <c r="TE70" s="1">
        <v>1</v>
      </c>
      <c r="TF70" s="487">
        <v>7.6499999999999986</v>
      </c>
      <c r="TG70" s="1">
        <v>0.44444444444444442</v>
      </c>
      <c r="TH70" s="488">
        <v>0.19999999999999998</v>
      </c>
      <c r="TI70" s="1">
        <v>1</v>
      </c>
      <c r="TJ70" s="489">
        <v>-89.25</v>
      </c>
      <c r="TK70" s="1">
        <v>0</v>
      </c>
      <c r="TL70" s="490">
        <v>11.849999999999996</v>
      </c>
      <c r="TM70" s="1">
        <v>0.81818181818181823</v>
      </c>
      <c r="TN70" s="495">
        <v>-26.500000000000004</v>
      </c>
      <c r="TO70" s="1">
        <v>0.54545454545454541</v>
      </c>
      <c r="TP70" s="500">
        <v>14.399999999999999</v>
      </c>
      <c r="TQ70" s="1">
        <v>1</v>
      </c>
      <c r="TR70" s="511">
        <v>5.9999999999999991</v>
      </c>
      <c r="TS70" s="1">
        <v>0.5</v>
      </c>
      <c r="TT70" s="515">
        <v>11.25</v>
      </c>
      <c r="TU70" s="1">
        <v>0.77777777777777779</v>
      </c>
      <c r="TV70" s="518">
        <v>-154.6</v>
      </c>
      <c r="TW70" s="1">
        <v>0.25</v>
      </c>
      <c r="TX70" s="521"/>
      <c r="TY70" s="1"/>
      <c r="TZ70" s="524">
        <v>-9.75</v>
      </c>
      <c r="UA70" s="1">
        <v>0.375</v>
      </c>
      <c r="UB70" s="527">
        <v>1.4500000000000013</v>
      </c>
      <c r="UC70" s="1">
        <v>0.6</v>
      </c>
      <c r="UD70" s="530">
        <v>3.75</v>
      </c>
      <c r="UE70" s="1">
        <v>0.72727272727272729</v>
      </c>
      <c r="UF70" s="533">
        <v>31.849999999999994</v>
      </c>
      <c r="UG70" s="1">
        <v>0.69230769230769229</v>
      </c>
      <c r="UH70" s="536">
        <v>10.249999999999998</v>
      </c>
      <c r="UI70" s="1">
        <v>0.55555555555555558</v>
      </c>
      <c r="UJ70" s="539">
        <v>-30.699999999999996</v>
      </c>
      <c r="UK70" s="1">
        <v>0.6</v>
      </c>
      <c r="UL70" s="540">
        <v>8.6999999999999975</v>
      </c>
      <c r="UM70" s="1">
        <v>0.625</v>
      </c>
      <c r="UN70" s="543">
        <v>-15.1</v>
      </c>
      <c r="UO70" s="1">
        <v>0.44444444444444442</v>
      </c>
      <c r="UP70" s="544">
        <v>7.5500000000000034</v>
      </c>
      <c r="UQ70" s="1">
        <v>0.63636363636363635</v>
      </c>
      <c r="UR70" s="551">
        <v>-25.2</v>
      </c>
      <c r="US70" s="1">
        <v>0</v>
      </c>
      <c r="UT70" s="551">
        <v>-40.849999999999994</v>
      </c>
      <c r="UU70" s="1">
        <v>0.18181818181818182</v>
      </c>
      <c r="UV70" s="562">
        <v>32.549999999999997</v>
      </c>
      <c r="UW70" s="1">
        <v>0.72727272727272729</v>
      </c>
      <c r="UX70" s="566">
        <v>-34.949999999999996</v>
      </c>
      <c r="UY70" s="1">
        <v>0.25</v>
      </c>
      <c r="UZ70" s="568">
        <v>49.749999999999993</v>
      </c>
      <c r="VA70" s="1">
        <v>0.7</v>
      </c>
      <c r="VB70" s="572">
        <v>-41.399999999999991</v>
      </c>
      <c r="VC70" s="1">
        <v>0</v>
      </c>
      <c r="VD70" s="576">
        <v>-25.849999999999998</v>
      </c>
      <c r="VE70" s="1">
        <v>0.16666666666666666</v>
      </c>
      <c r="VF70" s="580">
        <v>17.149999999999999</v>
      </c>
      <c r="VG70" s="1">
        <v>0.7142857142857143</v>
      </c>
      <c r="VH70" s="584">
        <v>11.449999999999998</v>
      </c>
      <c r="VI70" s="1">
        <v>0.625</v>
      </c>
      <c r="VJ70" s="589">
        <v>-0.95000000000000029</v>
      </c>
      <c r="VK70" s="1">
        <v>0.5</v>
      </c>
      <c r="VL70" s="593">
        <v>-56.45</v>
      </c>
      <c r="VM70" s="1">
        <v>0.45454545454545453</v>
      </c>
      <c r="VN70" s="597">
        <v>-26.300000000000008</v>
      </c>
      <c r="VO70" s="1">
        <v>0.5</v>
      </c>
      <c r="VP70" s="601">
        <v>-25.55</v>
      </c>
      <c r="VQ70" s="1">
        <v>0.42857142857142855</v>
      </c>
      <c r="VR70" s="603">
        <v>-36.85</v>
      </c>
      <c r="VS70" s="1">
        <v>0.5</v>
      </c>
      <c r="VT70" s="607">
        <v>10.95</v>
      </c>
      <c r="VU70" s="1">
        <v>0.75</v>
      </c>
      <c r="VV70" s="609">
        <v>7.1499999999999995</v>
      </c>
      <c r="VW70" s="1">
        <v>1</v>
      </c>
      <c r="VX70" s="613">
        <v>-11.499999999999998</v>
      </c>
      <c r="VY70" s="1">
        <v>0</v>
      </c>
      <c r="VZ70" s="617">
        <v>-10.6</v>
      </c>
      <c r="WA70" s="1">
        <v>0</v>
      </c>
      <c r="WB70" s="619"/>
      <c r="WC70" s="1"/>
      <c r="WD70" s="624">
        <v>-6.3000000000000007</v>
      </c>
      <c r="WE70" s="1">
        <v>0.66666666666666663</v>
      </c>
      <c r="WF70" s="626">
        <v>7.0499999999999989</v>
      </c>
      <c r="WG70" s="1">
        <v>1</v>
      </c>
      <c r="WH70" s="630"/>
      <c r="WI70" s="1"/>
      <c r="WJ70" s="636">
        <v>66.199999999999989</v>
      </c>
      <c r="WK70" s="1">
        <v>0.83333333333333337</v>
      </c>
      <c r="WL70" s="638"/>
      <c r="WM70" s="1"/>
      <c r="WN70" s="642"/>
      <c r="WO70" s="1"/>
      <c r="WP70" s="646">
        <v>-17.8</v>
      </c>
      <c r="WQ70" s="1">
        <v>0.5</v>
      </c>
      <c r="WR70" s="652"/>
      <c r="WS70" s="1"/>
      <c r="WT70" s="659">
        <v>-9.6499999999999986</v>
      </c>
      <c r="WU70" s="1">
        <v>0.72727272727272729</v>
      </c>
      <c r="WV70" s="659">
        <v>-72.999999999999986</v>
      </c>
      <c r="WW70" s="1">
        <v>0.27272727272727271</v>
      </c>
      <c r="WX70" s="672">
        <v>-27.999999999999996</v>
      </c>
      <c r="WY70" s="1">
        <v>0.33333333333333331</v>
      </c>
      <c r="WZ70" s="677"/>
      <c r="XA70" s="1"/>
      <c r="XB70" s="681">
        <v>-40.499999999999993</v>
      </c>
      <c r="XC70" s="1">
        <v>0.2</v>
      </c>
      <c r="XD70" s="683">
        <v>-10.850000000000003</v>
      </c>
      <c r="XE70" s="1">
        <v>0.66666666666666663</v>
      </c>
      <c r="XF70" s="687">
        <v>56.04999999999999</v>
      </c>
      <c r="XG70" s="1">
        <v>0.90909090909090906</v>
      </c>
      <c r="XH70" s="689">
        <v>-8.7999999999999989</v>
      </c>
      <c r="XI70" s="1">
        <v>0</v>
      </c>
      <c r="XJ70" s="696">
        <v>17.5</v>
      </c>
      <c r="XK70" s="1">
        <v>0.8571428571428571</v>
      </c>
      <c r="XL70" s="696">
        <v>7.1499999999999995</v>
      </c>
      <c r="XM70" s="1">
        <v>1</v>
      </c>
      <c r="XN70" s="696">
        <v>19.649999999999999</v>
      </c>
      <c r="XO70" s="1">
        <v>0.66666666666666663</v>
      </c>
      <c r="XP70" s="700">
        <v>16.55</v>
      </c>
      <c r="XQ70" s="1">
        <v>0.66666666666666663</v>
      </c>
      <c r="XR70" s="705">
        <v>-2.0499999999999998</v>
      </c>
      <c r="XS70" s="1">
        <v>0</v>
      </c>
      <c r="XT70" s="709">
        <v>-8.6</v>
      </c>
      <c r="XU70" s="1">
        <v>0</v>
      </c>
      <c r="XV70" s="715"/>
      <c r="XW70" s="1"/>
    </row>
    <row r="71" spans="2:647" x14ac:dyDescent="0.25">
      <c r="B71" s="755"/>
      <c r="C71" s="763"/>
      <c r="D71" s="755"/>
      <c r="E71" s="755"/>
      <c r="F71" s="482">
        <v>0.3</v>
      </c>
      <c r="G71" s="344" t="s">
        <v>49</v>
      </c>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c r="AZ71" s="6"/>
      <c r="BA71" s="6"/>
      <c r="BB71" s="6"/>
      <c r="BC71" s="6"/>
      <c r="BD71" s="6"/>
      <c r="BE71" s="6"/>
      <c r="BF71" s="6"/>
      <c r="BG71" s="6"/>
      <c r="BH71" s="6"/>
      <c r="BI71" s="6"/>
      <c r="BJ71" s="6"/>
      <c r="BK71" s="6"/>
      <c r="BL71" s="6"/>
      <c r="BM71" s="6"/>
      <c r="BN71" s="6"/>
      <c r="BO71" s="6"/>
      <c r="BP71" s="6"/>
      <c r="BQ71" s="6"/>
      <c r="BR71" s="6"/>
      <c r="BS71" s="6"/>
      <c r="BT71" s="6"/>
      <c r="BU71" s="6"/>
      <c r="BV71" s="6"/>
      <c r="BW71" s="6"/>
      <c r="BX71" s="6"/>
      <c r="BY71" s="95"/>
      <c r="BZ71" s="6"/>
      <c r="CA71" s="95"/>
      <c r="CB71" s="6"/>
      <c r="CC71" s="95"/>
      <c r="CD71" s="6"/>
      <c r="CE71" s="95"/>
      <c r="CF71" s="6"/>
      <c r="CG71" s="95"/>
      <c r="CH71" s="6"/>
      <c r="CI71" s="95"/>
      <c r="CJ71" s="6"/>
      <c r="CK71" s="95"/>
      <c r="CL71" s="6"/>
      <c r="CM71" s="95"/>
      <c r="CN71" s="6"/>
      <c r="CO71" s="95"/>
      <c r="CP71" s="6"/>
      <c r="CQ71" s="95"/>
      <c r="CR71" s="6"/>
      <c r="CS71" s="95"/>
      <c r="CT71" s="6"/>
      <c r="CU71" s="95"/>
      <c r="CV71" s="6"/>
      <c r="CW71" s="95"/>
      <c r="CX71" s="6"/>
      <c r="CY71" s="95"/>
      <c r="CZ71" s="6"/>
      <c r="DA71" s="95"/>
      <c r="DB71" s="6"/>
      <c r="DC71" s="95"/>
      <c r="DD71" s="6"/>
      <c r="DE71" s="95"/>
      <c r="DF71" s="6"/>
      <c r="DG71" s="95"/>
      <c r="DH71" s="6"/>
      <c r="DI71" s="95"/>
      <c r="DJ71" s="6"/>
      <c r="DK71" s="95"/>
      <c r="DL71" s="6"/>
      <c r="DM71" s="95"/>
      <c r="DN71" s="6"/>
      <c r="DO71" s="95"/>
      <c r="DP71" s="6"/>
      <c r="DQ71" s="95"/>
      <c r="DR71" s="6"/>
      <c r="DS71" s="95"/>
      <c r="DT71" s="6"/>
      <c r="DU71" s="95"/>
      <c r="DV71" s="6"/>
      <c r="DW71" s="95"/>
      <c r="DX71" s="6"/>
      <c r="DY71" s="95"/>
      <c r="DZ71" s="6"/>
      <c r="EA71" s="95"/>
      <c r="EB71" s="6"/>
      <c r="EC71" s="95"/>
      <c r="ED71" s="6"/>
      <c r="EE71" s="95"/>
      <c r="EF71" s="6"/>
      <c r="EG71" s="95"/>
      <c r="EH71" s="6"/>
      <c r="EI71" s="95"/>
      <c r="EJ71" s="6"/>
      <c r="EK71" s="95"/>
      <c r="EL71" s="6"/>
      <c r="EM71" s="95"/>
      <c r="EN71" s="6"/>
      <c r="EO71" s="95"/>
      <c r="EP71" s="6"/>
      <c r="EQ71" s="95"/>
      <c r="ER71" s="487"/>
      <c r="ES71" s="1"/>
      <c r="ET71" s="487"/>
      <c r="EU71" s="1"/>
      <c r="EV71" s="487"/>
      <c r="EW71" s="1"/>
      <c r="EX71" s="487"/>
      <c r="EY71" s="1"/>
      <c r="EZ71" s="487"/>
      <c r="FA71" s="1"/>
      <c r="FB71" s="487"/>
      <c r="FC71" s="1"/>
      <c r="FD71" s="487"/>
      <c r="FE71" s="1"/>
      <c r="FF71" s="487"/>
      <c r="FG71" s="1"/>
      <c r="FH71" s="487"/>
      <c r="FI71" s="1"/>
      <c r="FJ71" s="487"/>
      <c r="FK71" s="1"/>
      <c r="FL71" s="487"/>
      <c r="FM71" s="1"/>
      <c r="FN71" s="487"/>
      <c r="FO71" s="1"/>
      <c r="FP71" s="487"/>
      <c r="FQ71" s="1"/>
      <c r="FR71" s="487"/>
      <c r="FS71" s="1"/>
      <c r="FT71" s="487"/>
      <c r="FU71" s="1"/>
      <c r="FV71" s="487"/>
      <c r="FW71" s="1"/>
      <c r="FX71" s="487"/>
      <c r="FY71" s="1"/>
      <c r="FZ71" s="487"/>
      <c r="GA71" s="1"/>
      <c r="GB71" s="487"/>
      <c r="GC71" s="1"/>
      <c r="GD71" s="487"/>
      <c r="GE71" s="1"/>
      <c r="GF71" s="487"/>
      <c r="GG71" s="1"/>
      <c r="GH71" s="487"/>
      <c r="GI71" s="1"/>
      <c r="GJ71" s="487"/>
      <c r="GK71" s="1"/>
      <c r="GL71" s="487"/>
      <c r="GM71" s="1"/>
      <c r="GN71" s="487"/>
      <c r="GO71" s="1"/>
      <c r="GP71" s="487"/>
      <c r="GQ71" s="1"/>
      <c r="GR71" s="487"/>
      <c r="GS71" s="1"/>
      <c r="GT71" s="487"/>
      <c r="GU71" s="1"/>
      <c r="GV71" s="487"/>
      <c r="GW71" s="1"/>
      <c r="GX71" s="487"/>
      <c r="GY71" s="1"/>
      <c r="GZ71" s="487"/>
      <c r="HA71" s="1"/>
      <c r="HB71" s="487"/>
      <c r="HC71" s="1"/>
      <c r="HD71" s="487"/>
      <c r="HE71" s="1"/>
      <c r="HF71" s="487"/>
      <c r="HG71" s="1"/>
      <c r="HH71" s="487"/>
      <c r="HI71" s="1"/>
      <c r="HJ71" s="487"/>
      <c r="HK71" s="1"/>
      <c r="HL71" s="487"/>
      <c r="HM71" s="1"/>
      <c r="HN71" s="487"/>
      <c r="HO71" s="1"/>
      <c r="HP71" s="487"/>
      <c r="HQ71" s="1"/>
      <c r="HR71" s="487"/>
      <c r="HS71" s="1"/>
      <c r="HT71" s="487"/>
      <c r="HU71" s="1"/>
      <c r="HV71" s="487"/>
      <c r="HW71" s="1"/>
      <c r="HX71" s="487"/>
      <c r="HY71" s="1"/>
      <c r="HZ71" s="487"/>
      <c r="IA71" s="1"/>
      <c r="IB71" s="487"/>
      <c r="IC71" s="1"/>
      <c r="ID71" s="487"/>
      <c r="IE71" s="1"/>
      <c r="IF71" s="487"/>
      <c r="IG71" s="1"/>
      <c r="IH71" s="487"/>
      <c r="II71" s="1"/>
      <c r="IJ71" s="487"/>
      <c r="IK71" s="1"/>
      <c r="IL71" s="487"/>
      <c r="IM71" s="1"/>
      <c r="IN71" s="487"/>
      <c r="IO71" s="1"/>
      <c r="IP71" s="487"/>
      <c r="IQ71" s="1"/>
      <c r="IR71" s="487">
        <v>34.333333333333329</v>
      </c>
      <c r="IS71" s="1">
        <v>0.45454545454545453</v>
      </c>
      <c r="IT71" s="487">
        <v>18.733333333333334</v>
      </c>
      <c r="IU71" s="1">
        <v>0.66666666666666663</v>
      </c>
      <c r="IV71" s="487">
        <v>23.56666666666667</v>
      </c>
      <c r="IW71" s="1">
        <v>0.75</v>
      </c>
      <c r="IX71" s="487">
        <v>-1.8666666666666654</v>
      </c>
      <c r="IY71" s="1">
        <v>0.75</v>
      </c>
      <c r="IZ71" s="487">
        <v>7.4666666666666659</v>
      </c>
      <c r="JA71" s="1">
        <v>0.66666666666666663</v>
      </c>
      <c r="JB71" s="487">
        <v>-17.899999999999999</v>
      </c>
      <c r="JC71" s="1">
        <v>0.5714285714285714</v>
      </c>
      <c r="JD71" s="487"/>
      <c r="JE71" s="1"/>
      <c r="JF71" s="487">
        <v>29.333333333333336</v>
      </c>
      <c r="JG71" s="1">
        <v>0.75</v>
      </c>
      <c r="JH71" s="487">
        <v>28.56666666666667</v>
      </c>
      <c r="JI71" s="1">
        <v>0.625</v>
      </c>
      <c r="JJ71" s="487">
        <v>-22.4</v>
      </c>
      <c r="JK71" s="1">
        <v>0.54545454545454541</v>
      </c>
      <c r="JL71" s="487">
        <v>-34.266666666666673</v>
      </c>
      <c r="JM71" s="1">
        <v>0.16666666666666666</v>
      </c>
      <c r="JN71" s="487"/>
      <c r="JO71" s="1"/>
      <c r="JP71" s="487">
        <v>23.933333333333334</v>
      </c>
      <c r="JQ71" s="1">
        <v>0.9</v>
      </c>
      <c r="JR71" s="487"/>
      <c r="JS71" s="1"/>
      <c r="JT71" s="487"/>
      <c r="JU71" s="1"/>
      <c r="JV71" s="487">
        <v>-12.900000000000004</v>
      </c>
      <c r="JW71" s="1">
        <v>0.66666666666666663</v>
      </c>
      <c r="JX71" s="487">
        <v>-55.033333333333339</v>
      </c>
      <c r="JY71" s="1">
        <v>0.375</v>
      </c>
      <c r="JZ71" s="487">
        <v>-18.533333333333331</v>
      </c>
      <c r="KA71" s="1">
        <v>0.63636363636363635</v>
      </c>
      <c r="KB71" s="487">
        <v>-19.400000000000002</v>
      </c>
      <c r="KC71" s="1">
        <v>0.5714285714285714</v>
      </c>
      <c r="KD71" s="487">
        <v>13.066666666666666</v>
      </c>
      <c r="KE71" s="1">
        <v>0.625</v>
      </c>
      <c r="KF71" s="487">
        <v>-2.7666666666666671</v>
      </c>
      <c r="KG71" s="1">
        <v>0.5</v>
      </c>
      <c r="KH71" s="487">
        <v>10.633333333333335</v>
      </c>
      <c r="KI71" s="1">
        <v>0.55555555555555558</v>
      </c>
      <c r="KJ71" s="487">
        <v>-3.933333333333334</v>
      </c>
      <c r="KK71" s="1">
        <v>0.33333333333333331</v>
      </c>
      <c r="KL71" s="487">
        <v>1.7750000000000021</v>
      </c>
      <c r="KM71" s="1">
        <v>0.6</v>
      </c>
      <c r="KN71" s="487">
        <v>4.1666666666666679</v>
      </c>
      <c r="KO71" s="1">
        <v>0.375</v>
      </c>
      <c r="KP71" s="487">
        <v>16.900000000000002</v>
      </c>
      <c r="KQ71" s="1">
        <v>0.75</v>
      </c>
      <c r="KR71" s="487">
        <v>21.1</v>
      </c>
      <c r="KS71" s="1">
        <v>1</v>
      </c>
      <c r="KT71" s="487">
        <v>27.566666666666666</v>
      </c>
      <c r="KU71" s="1">
        <v>0.81818181818181823</v>
      </c>
      <c r="KV71" s="487">
        <v>14.46666666666667</v>
      </c>
      <c r="KW71" s="1">
        <v>0.75</v>
      </c>
      <c r="KX71" s="487">
        <v>-57.833333333333329</v>
      </c>
      <c r="KY71" s="1">
        <v>0.5</v>
      </c>
      <c r="KZ71" s="487">
        <v>47.333333333333336</v>
      </c>
      <c r="LA71" s="1">
        <v>0.875</v>
      </c>
      <c r="LB71" s="487">
        <v>22.900000000000002</v>
      </c>
      <c r="LC71" s="1">
        <v>0.8</v>
      </c>
      <c r="LD71" s="487">
        <v>35</v>
      </c>
      <c r="LE71" s="1">
        <v>0.88888888888888884</v>
      </c>
      <c r="LF71" s="487">
        <v>7.1666666666666714</v>
      </c>
      <c r="LG71" s="1">
        <v>0.8</v>
      </c>
      <c r="LH71" s="487">
        <v>53.666666666666671</v>
      </c>
      <c r="LI71" s="1">
        <v>0.91666666666666663</v>
      </c>
      <c r="LJ71" s="487">
        <v>26.000000000000004</v>
      </c>
      <c r="LK71" s="1">
        <v>0.8</v>
      </c>
      <c r="LL71" s="487"/>
      <c r="LM71" s="1"/>
      <c r="LN71" s="487">
        <v>-25.666666666666668</v>
      </c>
      <c r="LO71" s="1">
        <v>0</v>
      </c>
      <c r="LP71" s="487">
        <v>7.3666666666666671</v>
      </c>
      <c r="LQ71" s="1">
        <v>1</v>
      </c>
      <c r="LR71" s="487">
        <v>6.2333333333333343</v>
      </c>
      <c r="LS71" s="1">
        <v>1</v>
      </c>
      <c r="LT71" s="487">
        <v>-25.133333333333333</v>
      </c>
      <c r="LU71" s="1">
        <v>0</v>
      </c>
      <c r="LV71" s="487"/>
      <c r="LW71" s="1"/>
      <c r="LX71" s="487"/>
      <c r="LY71" s="1"/>
      <c r="LZ71" s="487">
        <v>7.0333333333333332</v>
      </c>
      <c r="MA71" s="1">
        <v>1</v>
      </c>
      <c r="MB71" s="487">
        <v>7.0333333333333332</v>
      </c>
      <c r="MC71" s="1">
        <v>1</v>
      </c>
      <c r="MD71" s="487">
        <v>-20.466666666666665</v>
      </c>
      <c r="ME71" s="1">
        <v>0</v>
      </c>
      <c r="MF71" s="487"/>
      <c r="MG71" s="1"/>
      <c r="MH71" s="487"/>
      <c r="MI71" s="1"/>
      <c r="MJ71" s="487"/>
      <c r="MK71" s="1"/>
      <c r="ML71" s="487">
        <v>7.2000000000000011</v>
      </c>
      <c r="MM71" s="1">
        <v>1</v>
      </c>
      <c r="MN71" s="487">
        <v>-21.200000000000003</v>
      </c>
      <c r="MO71" s="1">
        <v>0</v>
      </c>
      <c r="MP71" s="487"/>
      <c r="MQ71" s="1"/>
      <c r="MR71" s="487">
        <v>-17.8</v>
      </c>
      <c r="MS71" s="1">
        <v>0</v>
      </c>
      <c r="MT71" s="487"/>
      <c r="MU71" s="1"/>
      <c r="MV71" s="487"/>
      <c r="MW71" s="1"/>
      <c r="MX71" s="487"/>
      <c r="MY71" s="1"/>
      <c r="MZ71" s="487"/>
      <c r="NA71" s="1"/>
      <c r="NB71" s="487"/>
      <c r="NC71" s="1"/>
      <c r="ND71" s="487"/>
      <c r="NE71" s="1"/>
      <c r="NF71" s="487"/>
      <c r="NG71" s="1"/>
      <c r="NH71" s="487"/>
      <c r="NI71" s="1"/>
      <c r="NJ71" s="487"/>
      <c r="NK71" s="1"/>
      <c r="NL71" s="487"/>
      <c r="NM71" s="1"/>
      <c r="NN71" s="487"/>
      <c r="NO71" s="1"/>
      <c r="NP71" s="487"/>
      <c r="NQ71" s="1"/>
      <c r="NR71" s="487">
        <v>-5.5666666666666664</v>
      </c>
      <c r="NS71" s="1">
        <v>0</v>
      </c>
      <c r="NT71" s="487"/>
      <c r="NU71" s="1"/>
      <c r="NV71" s="487"/>
      <c r="NW71" s="1"/>
      <c r="NX71" s="487"/>
      <c r="NY71" s="1"/>
      <c r="NZ71" s="487"/>
      <c r="OA71" s="1"/>
      <c r="OB71" s="487"/>
      <c r="OC71" s="1"/>
      <c r="OD71" s="487"/>
      <c r="OE71" s="1"/>
      <c r="OF71" s="487"/>
      <c r="OG71" s="1"/>
      <c r="OH71" s="487"/>
      <c r="OI71" s="1"/>
      <c r="OJ71" s="487"/>
      <c r="OK71" s="1"/>
      <c r="OL71" s="487"/>
      <c r="OM71" s="1"/>
      <c r="ON71" s="487"/>
      <c r="OO71" s="1"/>
      <c r="OP71" s="487">
        <v>7.5666666666666673</v>
      </c>
      <c r="OQ71" s="1">
        <v>1</v>
      </c>
      <c r="OR71" s="487">
        <v>-22.033333333333335</v>
      </c>
      <c r="OS71" s="1">
        <v>0</v>
      </c>
      <c r="OT71" s="487">
        <v>-14.633333333333333</v>
      </c>
      <c r="OU71" s="1">
        <v>0</v>
      </c>
      <c r="OV71" s="487">
        <v>-24.1</v>
      </c>
      <c r="OW71" s="1">
        <v>0</v>
      </c>
      <c r="OX71" s="487"/>
      <c r="OY71" s="1"/>
      <c r="OZ71" s="487">
        <v>14.133333333333335</v>
      </c>
      <c r="PA71" s="1">
        <v>1</v>
      </c>
      <c r="PB71" s="487">
        <v>25.600000000000005</v>
      </c>
      <c r="PC71" s="1">
        <v>0.875</v>
      </c>
      <c r="PD71" s="487">
        <v>42.366666666666667</v>
      </c>
      <c r="PE71" s="1">
        <v>0.8571428571428571</v>
      </c>
      <c r="PF71" s="487">
        <v>-24.2</v>
      </c>
      <c r="PG71" s="1">
        <v>0.5714285714285714</v>
      </c>
      <c r="PH71" s="487">
        <v>-6.7999999999999989</v>
      </c>
      <c r="PI71" s="1">
        <v>0.75</v>
      </c>
      <c r="PJ71" s="487">
        <v>39.133333333333333</v>
      </c>
      <c r="PK71" s="1">
        <v>0.90909090909090906</v>
      </c>
      <c r="PL71" s="487"/>
      <c r="PM71" s="1"/>
      <c r="PN71" s="487"/>
      <c r="PO71" s="1"/>
      <c r="PP71" s="487">
        <v>-32.366666666666674</v>
      </c>
      <c r="PQ71" s="1">
        <v>0.58333333333333337</v>
      </c>
      <c r="PR71" s="487">
        <v>1.3666666666666687</v>
      </c>
      <c r="PS71" s="1">
        <v>0.75</v>
      </c>
      <c r="PT71" s="487">
        <v>-10.633333333333331</v>
      </c>
      <c r="PU71" s="1">
        <v>0.75</v>
      </c>
      <c r="PV71" s="487">
        <v>-58.066666666666677</v>
      </c>
      <c r="PW71" s="1">
        <v>0.55555555555555558</v>
      </c>
      <c r="PX71" s="487">
        <v>-62.266666666666666</v>
      </c>
      <c r="PY71" s="1">
        <v>0.54545454545454541</v>
      </c>
      <c r="PZ71" s="487"/>
      <c r="QA71" s="1"/>
      <c r="QB71" s="487">
        <v>6.4333333333333389</v>
      </c>
      <c r="QC71" s="1">
        <v>0.8</v>
      </c>
      <c r="QD71" s="487">
        <v>-55.7</v>
      </c>
      <c r="QE71" s="1">
        <v>0.375</v>
      </c>
      <c r="QF71" s="487">
        <v>2.3999999999999995</v>
      </c>
      <c r="QG71" s="1">
        <v>0.63636363636363635</v>
      </c>
      <c r="QH71" s="487">
        <v>-65.26666666666668</v>
      </c>
      <c r="QI71" s="1">
        <v>0.41666666666666669</v>
      </c>
      <c r="QJ71" s="487">
        <v>-33.333333333333343</v>
      </c>
      <c r="QK71" s="1">
        <v>0.55555555555555558</v>
      </c>
      <c r="QL71" s="487">
        <v>3.7000000000000028</v>
      </c>
      <c r="QM71" s="1">
        <v>0.625</v>
      </c>
      <c r="QN71" s="487">
        <v>4.6333333333333373</v>
      </c>
      <c r="QO71" s="1">
        <v>0.55555555555555558</v>
      </c>
      <c r="QP71" s="487">
        <v>-110.23333333333333</v>
      </c>
      <c r="QQ71" s="1">
        <v>0.3</v>
      </c>
      <c r="QR71" s="487">
        <v>17.033333333333331</v>
      </c>
      <c r="QS71" s="1">
        <v>0.66666666666666663</v>
      </c>
      <c r="QT71" s="487">
        <v>18.833333333333336</v>
      </c>
      <c r="QU71" s="1">
        <v>0.75</v>
      </c>
      <c r="QV71" s="487">
        <v>19.533333333333335</v>
      </c>
      <c r="QW71" s="1">
        <v>0.66666666666666663</v>
      </c>
      <c r="QX71" s="487">
        <v>0.63333333333333319</v>
      </c>
      <c r="QY71" s="1">
        <v>0.5</v>
      </c>
      <c r="QZ71" s="487">
        <v>-95.63333333333334</v>
      </c>
      <c r="RA71" s="1">
        <v>0.18181818181818182</v>
      </c>
      <c r="RB71" s="487">
        <v>48.066666666666677</v>
      </c>
      <c r="RC71" s="1">
        <v>1</v>
      </c>
      <c r="RD71" s="487">
        <v>-15.333333333333336</v>
      </c>
      <c r="RE71" s="1">
        <v>0.5</v>
      </c>
      <c r="RF71" s="487">
        <v>8.9000000000000039</v>
      </c>
      <c r="RG71" s="1">
        <v>0.625</v>
      </c>
      <c r="RH71" s="487">
        <v>14.000000000000002</v>
      </c>
      <c r="RI71" s="1">
        <v>1</v>
      </c>
      <c r="RJ71" s="487">
        <v>-34.066666666666663</v>
      </c>
      <c r="RK71" s="1">
        <v>0.5</v>
      </c>
      <c r="RL71" s="487"/>
      <c r="RM71" s="1"/>
      <c r="RN71" s="487">
        <v>-20.6</v>
      </c>
      <c r="RO71" s="1">
        <v>0.375</v>
      </c>
      <c r="RP71" s="487">
        <v>-18.900000000000002</v>
      </c>
      <c r="RQ71" s="1">
        <v>0.42857142857142855</v>
      </c>
      <c r="RR71" s="487"/>
      <c r="RS71" s="1"/>
      <c r="RT71" s="487">
        <v>-15.499999999999998</v>
      </c>
      <c r="RU71" s="1">
        <v>0.5</v>
      </c>
      <c r="RV71" s="487">
        <v>-50.63333333333334</v>
      </c>
      <c r="RW71" s="1">
        <v>0.4</v>
      </c>
      <c r="RX71" s="487">
        <v>0.59999999999999765</v>
      </c>
      <c r="RY71" s="1">
        <v>0.7142857142857143</v>
      </c>
      <c r="RZ71" s="487">
        <v>-50.533333333333339</v>
      </c>
      <c r="SA71" s="1">
        <v>0.42857142857142855</v>
      </c>
      <c r="SB71" s="487">
        <v>-30.199999999999996</v>
      </c>
      <c r="SC71" s="1">
        <v>0.5</v>
      </c>
      <c r="SD71" s="487"/>
      <c r="SE71" s="1"/>
      <c r="SF71" s="487">
        <v>-7.3666666666666627</v>
      </c>
      <c r="SG71" s="1">
        <v>0.5</v>
      </c>
      <c r="SH71" s="487">
        <v>-51.699999999999996</v>
      </c>
      <c r="SI71" s="1">
        <v>0.54545454545454541</v>
      </c>
      <c r="SJ71" s="487">
        <v>-8.6666666666666696</v>
      </c>
      <c r="SK71" s="1">
        <v>0.5</v>
      </c>
      <c r="SL71" s="487">
        <v>49.2</v>
      </c>
      <c r="SM71" s="1">
        <v>0.88888888888888884</v>
      </c>
      <c r="SN71" s="487">
        <v>12</v>
      </c>
      <c r="SO71" s="1">
        <v>0.8</v>
      </c>
      <c r="SP71" s="487">
        <v>7.0333333333333332</v>
      </c>
      <c r="SQ71" s="1">
        <v>1</v>
      </c>
      <c r="SR71" s="487">
        <v>-40.033333333333331</v>
      </c>
      <c r="SS71" s="1">
        <v>0.5</v>
      </c>
      <c r="ST71" s="487">
        <v>-31.733333333333334</v>
      </c>
      <c r="SU71" s="1">
        <v>0.36363636363636365</v>
      </c>
      <c r="SV71" s="487">
        <v>-9.2000000000000028</v>
      </c>
      <c r="SW71" s="1">
        <v>0.45454545454545453</v>
      </c>
      <c r="SX71" s="487">
        <v>-27.366666666666671</v>
      </c>
      <c r="SY71" s="1">
        <v>0.63636363636363635</v>
      </c>
      <c r="SZ71" s="487">
        <v>1.5333333333333319</v>
      </c>
      <c r="TA71" s="1">
        <v>0.625</v>
      </c>
      <c r="TB71" s="487">
        <v>20.966666666666665</v>
      </c>
      <c r="TC71" s="1">
        <v>0.8</v>
      </c>
      <c r="TD71" s="487">
        <v>7.2333333333333334</v>
      </c>
      <c r="TE71" s="1">
        <v>1</v>
      </c>
      <c r="TF71" s="487">
        <v>-1.7666666666666662</v>
      </c>
      <c r="TG71" s="1">
        <v>0.55555555555555558</v>
      </c>
      <c r="TH71" s="488"/>
      <c r="TI71" s="1"/>
      <c r="TJ71" s="489">
        <v>-90.066666666666677</v>
      </c>
      <c r="TK71" s="1">
        <v>0</v>
      </c>
      <c r="TL71" s="490">
        <v>-16.166666666666668</v>
      </c>
      <c r="TM71" s="1">
        <v>0.72727272727272729</v>
      </c>
      <c r="TN71" s="495">
        <v>-40.700000000000003</v>
      </c>
      <c r="TO71" s="1">
        <v>0.5</v>
      </c>
      <c r="TP71" s="500">
        <v>14.133333333333335</v>
      </c>
      <c r="TQ71" s="1">
        <v>1</v>
      </c>
      <c r="TR71" s="511">
        <v>5.9333333333333327</v>
      </c>
      <c r="TS71" s="1">
        <v>0.5</v>
      </c>
      <c r="TT71" s="515">
        <v>25.13333333333334</v>
      </c>
      <c r="TU71" s="1">
        <v>0.81818181818181823</v>
      </c>
      <c r="TV71" s="518">
        <v>-147.89999999999998</v>
      </c>
      <c r="TW71" s="1">
        <v>0.30769230769230771</v>
      </c>
      <c r="TX71" s="521"/>
      <c r="TY71" s="1"/>
      <c r="TZ71" s="524">
        <v>-25.833333333333336</v>
      </c>
      <c r="UA71" s="1">
        <v>0.375</v>
      </c>
      <c r="UB71" s="527">
        <v>-30.933333333333334</v>
      </c>
      <c r="UC71" s="1">
        <v>0.54545454545454541</v>
      </c>
      <c r="UD71" s="530">
        <v>10.8</v>
      </c>
      <c r="UE71" s="1">
        <v>0.69230769230769229</v>
      </c>
      <c r="UF71" s="533">
        <v>25.499999999999993</v>
      </c>
      <c r="UG71" s="1">
        <v>0.66666666666666663</v>
      </c>
      <c r="UH71" s="536">
        <v>-4.666666666666667</v>
      </c>
      <c r="UI71" s="1">
        <v>0.42857142857142855</v>
      </c>
      <c r="UJ71" s="539">
        <v>-15.166666666666675</v>
      </c>
      <c r="UK71" s="1">
        <v>0.66666666666666663</v>
      </c>
      <c r="UL71" s="540">
        <v>23.2</v>
      </c>
      <c r="UM71" s="1">
        <v>0.7</v>
      </c>
      <c r="UN71" s="543">
        <v>-16.766666666666666</v>
      </c>
      <c r="UO71" s="1">
        <v>0.4</v>
      </c>
      <c r="UP71" s="544">
        <v>21.566666666666674</v>
      </c>
      <c r="UQ71" s="1">
        <v>0.69230769230769229</v>
      </c>
      <c r="UR71" s="551">
        <v>-25.166666666666668</v>
      </c>
      <c r="US71" s="1">
        <v>0</v>
      </c>
      <c r="UT71" s="551">
        <v>-54.433333333333344</v>
      </c>
      <c r="UU71" s="1">
        <v>9.0909090909090912E-2</v>
      </c>
      <c r="UV71" s="562">
        <v>41.166666666666671</v>
      </c>
      <c r="UW71" s="1">
        <v>0.75</v>
      </c>
      <c r="UX71" s="566">
        <v>11.933333333333334</v>
      </c>
      <c r="UY71" s="1">
        <v>0.5714285714285714</v>
      </c>
      <c r="UZ71" s="568">
        <v>51.366666666666667</v>
      </c>
      <c r="VA71" s="1">
        <v>0.75</v>
      </c>
      <c r="VB71" s="572">
        <v>-41.533333333333339</v>
      </c>
      <c r="VC71" s="1">
        <v>0</v>
      </c>
      <c r="VD71" s="576">
        <v>-57.000000000000007</v>
      </c>
      <c r="VE71" s="1">
        <v>0.14285714285714285</v>
      </c>
      <c r="VF71" s="580">
        <v>13.800000000000002</v>
      </c>
      <c r="VG71" s="1">
        <v>0.6</v>
      </c>
      <c r="VH71" s="584">
        <v>12.199999999999998</v>
      </c>
      <c r="VI71" s="1">
        <v>0.625</v>
      </c>
      <c r="VJ71" s="589">
        <v>-0.93333333333333346</v>
      </c>
      <c r="VK71" s="1">
        <v>0.5</v>
      </c>
      <c r="VL71" s="593">
        <v>-44.133333333333333</v>
      </c>
      <c r="VM71" s="1">
        <v>0.5</v>
      </c>
      <c r="VN71" s="597">
        <v>-21.633333333333329</v>
      </c>
      <c r="VO71" s="1">
        <v>0.54545454545454541</v>
      </c>
      <c r="VP71" s="601">
        <v>-37.733333333333334</v>
      </c>
      <c r="VQ71" s="1">
        <v>0.33333333333333331</v>
      </c>
      <c r="VR71" s="603">
        <v>-47.63333333333334</v>
      </c>
      <c r="VS71" s="1">
        <v>0.45454545454545453</v>
      </c>
      <c r="VT71" s="607">
        <v>27.466666666666669</v>
      </c>
      <c r="VU71" s="1">
        <v>0.81818181818181823</v>
      </c>
      <c r="VV71" s="609"/>
      <c r="VW71" s="1"/>
      <c r="VX71" s="613">
        <v>-11.366666666666667</v>
      </c>
      <c r="VY71" s="1">
        <v>0</v>
      </c>
      <c r="VZ71" s="617">
        <v>-10.333333333333334</v>
      </c>
      <c r="WA71" s="1">
        <v>0</v>
      </c>
      <c r="WB71" s="619"/>
      <c r="WC71" s="1"/>
      <c r="WD71" s="624">
        <v>4.333333333333333</v>
      </c>
      <c r="WE71" s="1">
        <v>0.63636363636363635</v>
      </c>
      <c r="WF71" s="626">
        <v>7.1</v>
      </c>
      <c r="WG71" s="1">
        <v>1</v>
      </c>
      <c r="WH71" s="630">
        <v>7.0333333333333332</v>
      </c>
      <c r="WI71" s="1">
        <v>1</v>
      </c>
      <c r="WJ71" s="636">
        <v>72.833333333333343</v>
      </c>
      <c r="WK71" s="1">
        <v>1</v>
      </c>
      <c r="WL71" s="638"/>
      <c r="WM71" s="1"/>
      <c r="WN71" s="642"/>
      <c r="WO71" s="1"/>
      <c r="WP71" s="646">
        <v>-11.333333333333332</v>
      </c>
      <c r="WQ71" s="1">
        <v>0.55555555555555558</v>
      </c>
      <c r="WR71" s="652">
        <v>-0.96666666666666667</v>
      </c>
      <c r="WS71" s="1">
        <v>0</v>
      </c>
      <c r="WT71" s="659">
        <v>26.666666666666668</v>
      </c>
      <c r="WU71" s="1">
        <v>0.8571428571428571</v>
      </c>
      <c r="WV71" s="659">
        <v>-35.433333333333337</v>
      </c>
      <c r="WW71" s="1">
        <v>0.4</v>
      </c>
      <c r="WX71" s="672">
        <v>-34.233333333333341</v>
      </c>
      <c r="WY71" s="1">
        <v>0.3</v>
      </c>
      <c r="WZ71" s="677"/>
      <c r="XA71" s="1"/>
      <c r="XB71" s="681">
        <v>-47.366666666666674</v>
      </c>
      <c r="XC71" s="1">
        <v>0.44444444444444442</v>
      </c>
      <c r="XD71" s="683">
        <v>-27.000000000000007</v>
      </c>
      <c r="XE71" s="1">
        <v>0.6</v>
      </c>
      <c r="XF71" s="687">
        <v>63.500000000000007</v>
      </c>
      <c r="XG71" s="1">
        <v>0.91666666666666663</v>
      </c>
      <c r="XH71" s="689">
        <v>-8.6999999999999993</v>
      </c>
      <c r="XI71" s="1">
        <v>0</v>
      </c>
      <c r="XJ71" s="696">
        <v>32.266666666666666</v>
      </c>
      <c r="XK71" s="1">
        <v>0.81818181818181823</v>
      </c>
      <c r="XL71" s="696">
        <v>7.166666666666667</v>
      </c>
      <c r="XM71" s="1">
        <v>1</v>
      </c>
      <c r="XN71" s="696">
        <v>-17.699999999999992</v>
      </c>
      <c r="XO71" s="1">
        <v>0.57894736842105265</v>
      </c>
      <c r="XP71" s="700">
        <v>7.7666666666666675</v>
      </c>
      <c r="XQ71" s="1">
        <v>0.63636363636363635</v>
      </c>
      <c r="XR71" s="705">
        <v>-2.2333333333333334</v>
      </c>
      <c r="XS71" s="1">
        <v>0</v>
      </c>
      <c r="XT71" s="709">
        <v>-8.6666666666666679</v>
      </c>
      <c r="XU71" s="1">
        <v>0</v>
      </c>
      <c r="XV71" s="715"/>
      <c r="XW71" s="1"/>
    </row>
    <row r="72" spans="2:647" x14ac:dyDescent="0.25">
      <c r="B72" s="755"/>
      <c r="C72" s="763"/>
      <c r="D72" s="755" t="s">
        <v>26</v>
      </c>
      <c r="E72" s="755"/>
      <c r="F72" s="482">
        <v>0.4</v>
      </c>
      <c r="G72" s="475" t="s">
        <v>34</v>
      </c>
      <c r="H72" s="6"/>
      <c r="I72" s="6"/>
      <c r="J72" s="6"/>
      <c r="K72" s="6"/>
      <c r="L72" s="6"/>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6"/>
      <c r="BC72" s="6"/>
      <c r="BD72" s="6"/>
      <c r="BE72" s="6"/>
      <c r="BF72" s="6"/>
      <c r="BG72" s="6"/>
      <c r="BH72" s="6"/>
      <c r="BI72" s="6"/>
      <c r="BJ72" s="6"/>
      <c r="BK72" s="6"/>
      <c r="BL72" s="6"/>
      <c r="BM72" s="6"/>
      <c r="BN72" s="6"/>
      <c r="BO72" s="6"/>
      <c r="BP72" s="6"/>
      <c r="BQ72" s="6"/>
      <c r="BR72" s="6"/>
      <c r="BS72" s="6"/>
      <c r="BT72" s="6"/>
      <c r="BU72" s="6"/>
      <c r="BV72" s="6"/>
      <c r="BW72" s="6"/>
      <c r="BX72" s="6"/>
      <c r="BY72" s="95"/>
      <c r="BZ72" s="6"/>
      <c r="CA72" s="95"/>
      <c r="CB72" s="6"/>
      <c r="CC72" s="95"/>
      <c r="CD72" s="6"/>
      <c r="CE72" s="95"/>
      <c r="CF72" s="6"/>
      <c r="CG72" s="95"/>
      <c r="CH72" s="6"/>
      <c r="CI72" s="95"/>
      <c r="CJ72" s="6"/>
      <c r="CK72" s="95"/>
      <c r="CL72" s="6"/>
      <c r="CM72" s="95"/>
      <c r="CN72" s="6"/>
      <c r="CO72" s="95"/>
      <c r="CP72" s="6"/>
      <c r="CQ72" s="95"/>
      <c r="CR72" s="6"/>
      <c r="CS72" s="95"/>
      <c r="CT72" s="6"/>
      <c r="CU72" s="95"/>
      <c r="CV72" s="6"/>
      <c r="CW72" s="95"/>
      <c r="CX72" s="6"/>
      <c r="CY72" s="95"/>
      <c r="CZ72" s="6"/>
      <c r="DA72" s="95"/>
      <c r="DB72" s="6"/>
      <c r="DC72" s="95"/>
      <c r="DD72" s="6"/>
      <c r="DE72" s="95"/>
      <c r="DF72" s="6"/>
      <c r="DG72" s="95"/>
      <c r="DH72" s="6"/>
      <c r="DI72" s="95"/>
      <c r="DJ72" s="6"/>
      <c r="DK72" s="95"/>
      <c r="DL72" s="6"/>
      <c r="DM72" s="95"/>
      <c r="DN72" s="6"/>
      <c r="DO72" s="95"/>
      <c r="DP72" s="6"/>
      <c r="DQ72" s="95"/>
      <c r="DR72" s="6"/>
      <c r="DS72" s="95"/>
      <c r="DT72" s="6"/>
      <c r="DU72" s="95"/>
      <c r="DV72" s="6"/>
      <c r="DW72" s="95"/>
      <c r="DX72" s="6"/>
      <c r="DY72" s="95"/>
      <c r="DZ72" s="6"/>
      <c r="EA72" s="95"/>
      <c r="EB72" s="6"/>
      <c r="EC72" s="95"/>
      <c r="ED72" s="6"/>
      <c r="EE72" s="95"/>
      <c r="EF72" s="6"/>
      <c r="EG72" s="95"/>
      <c r="EH72" s="6"/>
      <c r="EI72" s="95"/>
      <c r="EJ72" s="6"/>
      <c r="EK72" s="95"/>
      <c r="EL72" s="6"/>
      <c r="EM72" s="95"/>
      <c r="EN72" s="6"/>
      <c r="EO72" s="95"/>
      <c r="EP72" s="6"/>
      <c r="EQ72" s="95"/>
      <c r="ER72" s="487"/>
      <c r="ES72" s="1"/>
      <c r="ET72" s="487"/>
      <c r="EU72" s="1"/>
      <c r="EV72" s="487"/>
      <c r="EW72" s="1"/>
      <c r="EX72" s="487"/>
      <c r="EY72" s="1"/>
      <c r="EZ72" s="487"/>
      <c r="FA72" s="1"/>
      <c r="FB72" s="487">
        <v>-19.633333333333336</v>
      </c>
      <c r="FC72" s="1">
        <v>0.5</v>
      </c>
      <c r="FD72" s="487">
        <v>-21.866666666666667</v>
      </c>
      <c r="FE72" s="1">
        <v>0.5</v>
      </c>
      <c r="FF72" s="487">
        <v>-56.5</v>
      </c>
      <c r="FG72" s="1">
        <v>0.4</v>
      </c>
      <c r="FH72" s="487">
        <v>-8</v>
      </c>
      <c r="FI72" s="1">
        <v>0.5</v>
      </c>
      <c r="FJ72" s="487">
        <v>14.266666666666667</v>
      </c>
      <c r="FK72" s="1">
        <v>1</v>
      </c>
      <c r="FL72" s="487"/>
      <c r="FM72" s="1"/>
      <c r="FN72" s="487">
        <v>29.333333333333336</v>
      </c>
      <c r="FO72" s="1">
        <v>1</v>
      </c>
      <c r="FP72" s="487">
        <v>-18.166666666666671</v>
      </c>
      <c r="FQ72" s="1">
        <v>0.66666666666666663</v>
      </c>
      <c r="FR72" s="487">
        <v>36.133333333333333</v>
      </c>
      <c r="FS72" s="1">
        <v>1</v>
      </c>
      <c r="FT72" s="487">
        <v>-6.5333333333333368</v>
      </c>
      <c r="FU72" s="1">
        <v>0.75</v>
      </c>
      <c r="FV72" s="487">
        <v>3.3000000000000003</v>
      </c>
      <c r="FW72" s="1">
        <v>0.4</v>
      </c>
      <c r="FX72" s="487">
        <v>-13.9</v>
      </c>
      <c r="FY72" s="1">
        <v>0.5</v>
      </c>
      <c r="FZ72" s="487">
        <v>22.3</v>
      </c>
      <c r="GA72" s="1">
        <v>1</v>
      </c>
      <c r="GB72" s="487">
        <v>7.2000000000000011</v>
      </c>
      <c r="GC72" s="1">
        <v>1</v>
      </c>
      <c r="GD72" s="487">
        <v>7.4333333333333336</v>
      </c>
      <c r="GE72" s="1">
        <v>0.5</v>
      </c>
      <c r="GF72" s="487">
        <v>5.5000000000000009</v>
      </c>
      <c r="GG72" s="1">
        <v>0.5</v>
      </c>
      <c r="GH72" s="487">
        <v>-38.166666666666671</v>
      </c>
      <c r="GI72" s="1">
        <v>0.375</v>
      </c>
      <c r="GJ72" s="487">
        <v>1.7666666666666668</v>
      </c>
      <c r="GK72" s="1">
        <v>1</v>
      </c>
      <c r="GL72" s="487">
        <v>-1.166666666666667</v>
      </c>
      <c r="GM72" s="1">
        <v>0.33333333333333331</v>
      </c>
      <c r="GN72" s="487">
        <v>28.4</v>
      </c>
      <c r="GO72" s="1">
        <v>1</v>
      </c>
      <c r="GP72" s="487">
        <v>-32.766666666666673</v>
      </c>
      <c r="GQ72" s="1">
        <v>0.42857142857142855</v>
      </c>
      <c r="GR72" s="487">
        <v>3.2666666666666653</v>
      </c>
      <c r="GS72" s="1">
        <v>0.5</v>
      </c>
      <c r="GT72" s="487">
        <v>19.766666666666666</v>
      </c>
      <c r="GU72" s="1">
        <v>0.6</v>
      </c>
      <c r="GV72" s="487">
        <v>-7.1000000000000032</v>
      </c>
      <c r="GW72" s="1">
        <v>0.4</v>
      </c>
      <c r="GX72" s="487">
        <v>21.3</v>
      </c>
      <c r="GY72" s="1">
        <v>1</v>
      </c>
      <c r="GZ72" s="487">
        <v>35</v>
      </c>
      <c r="HA72" s="1">
        <v>1</v>
      </c>
      <c r="HB72" s="487">
        <v>-16.166666666666668</v>
      </c>
      <c r="HC72" s="1">
        <v>0.375</v>
      </c>
      <c r="HD72" s="487">
        <v>-17.566666666666666</v>
      </c>
      <c r="HE72" s="1">
        <v>0.5</v>
      </c>
      <c r="HF72" s="487">
        <v>-8.0333333333333261</v>
      </c>
      <c r="HG72" s="1">
        <v>0.7142857142857143</v>
      </c>
      <c r="HH72" s="487">
        <v>-18.033333333333335</v>
      </c>
      <c r="HI72" s="1">
        <v>0.5</v>
      </c>
      <c r="HJ72" s="487">
        <v>17.666666666666671</v>
      </c>
      <c r="HK72" s="1">
        <v>0.75</v>
      </c>
      <c r="HL72" s="487">
        <v>9.5666666666666682</v>
      </c>
      <c r="HM72" s="1">
        <v>0.75</v>
      </c>
      <c r="HN72" s="487">
        <v>0.46666666666666712</v>
      </c>
      <c r="HO72" s="1">
        <v>0.25</v>
      </c>
      <c r="HP72" s="487">
        <v>14.166666666666668</v>
      </c>
      <c r="HQ72" s="1">
        <v>1</v>
      </c>
      <c r="HR72" s="487">
        <v>-0.33333333333333365</v>
      </c>
      <c r="HS72" s="1">
        <v>0.66666666666666663</v>
      </c>
      <c r="HT72" s="487">
        <v>13.666666666666666</v>
      </c>
      <c r="HU72" s="1">
        <v>0.5714285714285714</v>
      </c>
      <c r="HV72" s="487">
        <v>-10.966666666666667</v>
      </c>
      <c r="HW72" s="1">
        <v>0.66666666666666663</v>
      </c>
      <c r="HX72" s="487">
        <v>7.0666666666666673</v>
      </c>
      <c r="HY72" s="1">
        <v>1</v>
      </c>
      <c r="HZ72" s="487"/>
      <c r="IA72" s="1"/>
      <c r="IB72" s="487">
        <v>29.533333333333331</v>
      </c>
      <c r="IC72" s="1">
        <v>0.8571428571428571</v>
      </c>
      <c r="ID72" s="487">
        <v>-77.366666666666674</v>
      </c>
      <c r="IE72" s="1">
        <v>0.2</v>
      </c>
      <c r="IF72" s="487">
        <v>-44.166666666666664</v>
      </c>
      <c r="IG72" s="1">
        <v>0.16666666666666666</v>
      </c>
      <c r="IH72" s="487">
        <v>2.8999999999999981</v>
      </c>
      <c r="II72" s="1">
        <v>0.5</v>
      </c>
      <c r="IJ72" s="487">
        <v>3.9999999999999991</v>
      </c>
      <c r="IK72" s="1">
        <v>0.83333333333333337</v>
      </c>
      <c r="IL72" s="487"/>
      <c r="IM72" s="1"/>
      <c r="IN72" s="487">
        <v>34.400000000000006</v>
      </c>
      <c r="IO72" s="1">
        <v>1</v>
      </c>
      <c r="IP72" s="487">
        <v>-26.7</v>
      </c>
      <c r="IQ72" s="1">
        <v>0.4</v>
      </c>
      <c r="IR72" s="487">
        <v>4.3</v>
      </c>
      <c r="IS72" s="1">
        <v>0.2</v>
      </c>
      <c r="IT72" s="487">
        <v>7.7749999999999995</v>
      </c>
      <c r="IU72" s="1">
        <v>0.66666666666666663</v>
      </c>
      <c r="IV72" s="487">
        <v>9.8000000000000007</v>
      </c>
      <c r="IW72" s="1">
        <v>0.75</v>
      </c>
      <c r="IX72" s="487">
        <v>-3.3500000000000019</v>
      </c>
      <c r="IY72" s="1">
        <v>0.75</v>
      </c>
      <c r="IZ72" s="487">
        <v>50.949999999999996</v>
      </c>
      <c r="JA72" s="1">
        <v>1</v>
      </c>
      <c r="JB72" s="487">
        <v>-13.875000000000002</v>
      </c>
      <c r="JC72" s="1">
        <v>0.6</v>
      </c>
      <c r="JD72" s="487"/>
      <c r="JE72" s="1"/>
      <c r="JF72" s="487">
        <v>16.224999999999998</v>
      </c>
      <c r="JG72" s="1">
        <v>1</v>
      </c>
      <c r="JH72" s="487">
        <v>-20</v>
      </c>
      <c r="JI72" s="1">
        <v>0</v>
      </c>
      <c r="JJ72" s="487">
        <v>32.92499999999999</v>
      </c>
      <c r="JK72" s="1">
        <v>0.83333333333333337</v>
      </c>
      <c r="JL72" s="487">
        <v>1.5250000000000008</v>
      </c>
      <c r="JM72" s="1">
        <v>0.66666666666666663</v>
      </c>
      <c r="JN72" s="487"/>
      <c r="JO72" s="1"/>
      <c r="JP72" s="487">
        <v>-0.84999999999999964</v>
      </c>
      <c r="JQ72" s="1">
        <v>0.5</v>
      </c>
      <c r="JR72" s="487"/>
      <c r="JS72" s="1"/>
      <c r="JT72" s="487"/>
      <c r="JU72" s="1"/>
      <c r="JV72" s="487">
        <v>-6.05</v>
      </c>
      <c r="JW72" s="1">
        <v>0.66666666666666663</v>
      </c>
      <c r="JX72" s="487">
        <v>7.4249999999999998</v>
      </c>
      <c r="JY72" s="1">
        <v>1</v>
      </c>
      <c r="JZ72" s="487">
        <v>9.5250000000000004</v>
      </c>
      <c r="KA72" s="1">
        <v>0.66666666666666663</v>
      </c>
      <c r="KB72" s="487">
        <v>7.75</v>
      </c>
      <c r="KC72" s="1">
        <v>0.66666666666666663</v>
      </c>
      <c r="KD72" s="487">
        <v>42.999999999999993</v>
      </c>
      <c r="KE72" s="1">
        <v>1</v>
      </c>
      <c r="KF72" s="487">
        <v>3.2999999999999994</v>
      </c>
      <c r="KG72" s="1">
        <v>0.75</v>
      </c>
      <c r="KH72" s="487">
        <v>16.399999999999999</v>
      </c>
      <c r="KI72" s="1">
        <v>0.83333333333333337</v>
      </c>
      <c r="KJ72" s="487">
        <v>20.599999999999998</v>
      </c>
      <c r="KK72" s="1">
        <v>0.6</v>
      </c>
      <c r="KL72" s="487">
        <v>8.0199999999999978</v>
      </c>
      <c r="KM72" s="1">
        <v>0.5</v>
      </c>
      <c r="KN72" s="487">
        <v>1.3750000000000007</v>
      </c>
      <c r="KO72" s="1">
        <v>0.6</v>
      </c>
      <c r="KP72" s="487">
        <v>-0.99999999999999978</v>
      </c>
      <c r="KQ72" s="1">
        <v>0.5714285714285714</v>
      </c>
      <c r="KR72" s="487">
        <v>-17.05</v>
      </c>
      <c r="KS72" s="1">
        <v>0</v>
      </c>
      <c r="KT72" s="487">
        <v>14.299999999999999</v>
      </c>
      <c r="KU72" s="1">
        <v>1</v>
      </c>
      <c r="KV72" s="487">
        <v>-3.5000000000000009</v>
      </c>
      <c r="KW72" s="1">
        <v>0.6</v>
      </c>
      <c r="KX72" s="487">
        <v>-31.449999999999996</v>
      </c>
      <c r="KY72" s="1">
        <v>0</v>
      </c>
      <c r="KZ72" s="487">
        <v>7.0499999999999989</v>
      </c>
      <c r="LA72" s="1">
        <v>1</v>
      </c>
      <c r="LB72" s="487">
        <v>-60.050000000000004</v>
      </c>
      <c r="LC72" s="1">
        <v>0.4</v>
      </c>
      <c r="LD72" s="487">
        <v>21.524999999999999</v>
      </c>
      <c r="LE72" s="1">
        <v>1</v>
      </c>
      <c r="LF72" s="487"/>
      <c r="LG72" s="1"/>
      <c r="LH72" s="487">
        <v>22</v>
      </c>
      <c r="LI72" s="1">
        <v>1</v>
      </c>
      <c r="LJ72" s="487">
        <v>-7.4500000000000011</v>
      </c>
      <c r="LK72" s="1">
        <v>0.7142857142857143</v>
      </c>
      <c r="LL72" s="487"/>
      <c r="LM72" s="1"/>
      <c r="LN72" s="487"/>
      <c r="LO72" s="1"/>
      <c r="LP72" s="487"/>
      <c r="LQ72" s="1"/>
      <c r="LR72" s="487"/>
      <c r="LS72" s="1"/>
      <c r="LT72" s="487"/>
      <c r="LU72" s="1"/>
      <c r="LV72" s="487"/>
      <c r="LW72" s="1"/>
      <c r="LX72" s="487"/>
      <c r="LY72" s="1"/>
      <c r="LZ72" s="487"/>
      <c r="MA72" s="1"/>
      <c r="MB72" s="487"/>
      <c r="MC72" s="1"/>
      <c r="MD72" s="487"/>
      <c r="ME72" s="1"/>
      <c r="MF72" s="487"/>
      <c r="MG72" s="1"/>
      <c r="MH72" s="487"/>
      <c r="MI72" s="1"/>
      <c r="MJ72" s="487"/>
      <c r="MK72" s="1"/>
      <c r="ML72" s="487"/>
      <c r="MM72" s="1"/>
      <c r="MN72" s="487"/>
      <c r="MO72" s="1"/>
      <c r="MP72" s="487"/>
      <c r="MQ72" s="1"/>
      <c r="MR72" s="487"/>
      <c r="MS72" s="1"/>
      <c r="MT72" s="487"/>
      <c r="MU72" s="1"/>
      <c r="MV72" s="487"/>
      <c r="MW72" s="1"/>
      <c r="MX72" s="487"/>
      <c r="MY72" s="1"/>
      <c r="MZ72" s="487"/>
      <c r="NA72" s="1"/>
      <c r="NB72" s="487"/>
      <c r="NC72" s="1"/>
      <c r="ND72" s="487"/>
      <c r="NE72" s="1"/>
      <c r="NF72" s="487"/>
      <c r="NG72" s="1"/>
      <c r="NH72" s="487"/>
      <c r="NI72" s="1"/>
      <c r="NJ72" s="487"/>
      <c r="NK72" s="1"/>
      <c r="NL72" s="487"/>
      <c r="NM72" s="1"/>
      <c r="NN72" s="487"/>
      <c r="NO72" s="1"/>
      <c r="NP72" s="487"/>
      <c r="NQ72" s="1"/>
      <c r="NR72" s="487"/>
      <c r="NS72" s="1"/>
      <c r="NT72" s="487"/>
      <c r="NU72" s="1"/>
      <c r="NV72" s="487"/>
      <c r="NW72" s="1"/>
      <c r="NX72" s="487"/>
      <c r="NY72" s="1"/>
      <c r="NZ72" s="487"/>
      <c r="OA72" s="1"/>
      <c r="OB72" s="487"/>
      <c r="OC72" s="1"/>
      <c r="OD72" s="487"/>
      <c r="OE72" s="1"/>
      <c r="OF72" s="487"/>
      <c r="OG72" s="1"/>
      <c r="OH72" s="487"/>
      <c r="OI72" s="1"/>
      <c r="OJ72" s="487"/>
      <c r="OK72" s="1"/>
      <c r="OL72" s="487"/>
      <c r="OM72" s="1"/>
      <c r="ON72" s="487"/>
      <c r="OO72" s="1"/>
      <c r="OP72" s="487"/>
      <c r="OQ72" s="1"/>
      <c r="OR72" s="487"/>
      <c r="OS72" s="1"/>
      <c r="OT72" s="487"/>
      <c r="OU72" s="1"/>
      <c r="OV72" s="487"/>
      <c r="OW72" s="1"/>
      <c r="OX72" s="487"/>
      <c r="OY72" s="1"/>
      <c r="OZ72" s="487"/>
      <c r="PA72" s="1"/>
      <c r="PB72" s="487">
        <v>-14.749999999999998</v>
      </c>
      <c r="PC72" s="1">
        <v>0.5</v>
      </c>
      <c r="PD72" s="487">
        <v>28.099999999999998</v>
      </c>
      <c r="PE72" s="1">
        <v>1</v>
      </c>
      <c r="PF72" s="487">
        <v>4.375</v>
      </c>
      <c r="PG72" s="1">
        <v>0.75</v>
      </c>
      <c r="PH72" s="487">
        <v>28.649999999999995</v>
      </c>
      <c r="PI72" s="1">
        <v>1</v>
      </c>
      <c r="PJ72" s="487"/>
      <c r="PK72" s="1"/>
      <c r="PL72" s="487"/>
      <c r="PM72" s="1"/>
      <c r="PN72" s="487"/>
      <c r="PO72" s="1"/>
      <c r="PP72" s="487">
        <v>-47.974999999999994</v>
      </c>
      <c r="PQ72" s="1">
        <v>0.5</v>
      </c>
      <c r="PR72" s="487">
        <v>14.325000000000001</v>
      </c>
      <c r="PS72" s="1">
        <v>1</v>
      </c>
      <c r="PT72" s="487">
        <v>7.3999999999999995</v>
      </c>
      <c r="PU72" s="1">
        <v>1</v>
      </c>
      <c r="PV72" s="487">
        <v>-18.25</v>
      </c>
      <c r="PW72" s="1">
        <v>0.5</v>
      </c>
      <c r="PX72" s="487">
        <v>-15.124999999999998</v>
      </c>
      <c r="PY72" s="1">
        <v>0.6</v>
      </c>
      <c r="PZ72" s="487"/>
      <c r="QA72" s="1"/>
      <c r="QB72" s="487">
        <v>-17.749999999999996</v>
      </c>
      <c r="QC72" s="1">
        <v>0.7142857142857143</v>
      </c>
      <c r="QD72" s="487">
        <v>37.524999999999999</v>
      </c>
      <c r="QE72" s="1">
        <v>0.8571428571428571</v>
      </c>
      <c r="QF72" s="487">
        <v>-11.625</v>
      </c>
      <c r="QG72" s="1">
        <v>0.5</v>
      </c>
      <c r="QH72" s="487">
        <v>-30.149999999999995</v>
      </c>
      <c r="QI72" s="1">
        <v>0.5</v>
      </c>
      <c r="QJ72" s="487">
        <v>43.324999999999996</v>
      </c>
      <c r="QK72" s="1">
        <v>0.875</v>
      </c>
      <c r="QL72" s="487">
        <v>-13.249999999999998</v>
      </c>
      <c r="QM72" s="1">
        <v>0.66666666666666663</v>
      </c>
      <c r="QN72" s="487">
        <v>-24.624999999999996</v>
      </c>
      <c r="QO72" s="1">
        <v>0</v>
      </c>
      <c r="QP72" s="487">
        <v>-32.074999999999996</v>
      </c>
      <c r="QQ72" s="1">
        <v>0.25</v>
      </c>
      <c r="QR72" s="487">
        <v>10.874999999999998</v>
      </c>
      <c r="QS72" s="1">
        <v>0.75</v>
      </c>
      <c r="QT72" s="487">
        <v>3.7249999999999988</v>
      </c>
      <c r="QU72" s="1">
        <v>0.5</v>
      </c>
      <c r="QV72" s="487">
        <v>26.849999999999998</v>
      </c>
      <c r="QW72" s="1">
        <v>0.66666666666666663</v>
      </c>
      <c r="QX72" s="487">
        <v>6.0250000000000004</v>
      </c>
      <c r="QY72" s="1">
        <v>0.5</v>
      </c>
      <c r="QZ72" s="487">
        <v>0.62500000000000111</v>
      </c>
      <c r="RA72" s="1">
        <v>0.6</v>
      </c>
      <c r="RB72" s="487">
        <v>-23.725000000000005</v>
      </c>
      <c r="RC72" s="1">
        <v>0.25</v>
      </c>
      <c r="RD72" s="487">
        <v>-100.575</v>
      </c>
      <c r="RE72" s="1">
        <v>0.14285714285714285</v>
      </c>
      <c r="RF72" s="487">
        <v>-2.9749999999999996</v>
      </c>
      <c r="RG72" s="1">
        <v>0.5</v>
      </c>
      <c r="RH72" s="487">
        <v>-10.924999999999999</v>
      </c>
      <c r="RI72" s="1">
        <v>0</v>
      </c>
      <c r="RJ72" s="487">
        <v>37.799999999999997</v>
      </c>
      <c r="RK72" s="1">
        <v>0.875</v>
      </c>
      <c r="RL72" s="487"/>
      <c r="RM72" s="1"/>
      <c r="RN72" s="487">
        <v>-1.5000000000000002</v>
      </c>
      <c r="RO72" s="1">
        <v>0.5</v>
      </c>
      <c r="RP72" s="487">
        <v>-21.1</v>
      </c>
      <c r="RQ72" s="1">
        <v>0.5714285714285714</v>
      </c>
      <c r="RR72" s="487"/>
      <c r="RS72" s="1"/>
      <c r="RT72" s="487">
        <v>4.3999999999999995</v>
      </c>
      <c r="RU72" s="1">
        <v>1</v>
      </c>
      <c r="RV72" s="487">
        <v>2.2750000000000004</v>
      </c>
      <c r="RW72" s="1">
        <v>0.66666666666666663</v>
      </c>
      <c r="RX72" s="487">
        <v>-85.049999999999983</v>
      </c>
      <c r="RY72" s="1">
        <v>0.16666666666666666</v>
      </c>
      <c r="RZ72" s="487">
        <v>-10.1</v>
      </c>
      <c r="SA72" s="1">
        <v>0</v>
      </c>
      <c r="SB72" s="487">
        <v>-56.574999999999996</v>
      </c>
      <c r="SC72" s="1">
        <v>0.25</v>
      </c>
      <c r="SD72" s="487"/>
      <c r="SE72" s="1"/>
      <c r="SF72" s="487">
        <v>-21.024999999999999</v>
      </c>
      <c r="SG72" s="1">
        <v>0.5</v>
      </c>
      <c r="SH72" s="487">
        <v>-10.525000000000002</v>
      </c>
      <c r="SI72" s="1">
        <v>0.66666666666666663</v>
      </c>
      <c r="SJ72" s="487">
        <v>-6.05</v>
      </c>
      <c r="SK72" s="1">
        <v>0.75</v>
      </c>
      <c r="SL72" s="487">
        <v>-33.624999999999993</v>
      </c>
      <c r="SM72" s="1">
        <v>0.3</v>
      </c>
      <c r="SN72" s="487"/>
      <c r="SO72" s="1"/>
      <c r="SP72" s="487"/>
      <c r="SQ72" s="1"/>
      <c r="SR72" s="487">
        <v>7.125</v>
      </c>
      <c r="SS72" s="1">
        <v>1</v>
      </c>
      <c r="ST72" s="487">
        <v>-40</v>
      </c>
      <c r="SU72" s="1">
        <v>0.33333333333333331</v>
      </c>
      <c r="SV72" s="487">
        <v>-18.074999999999996</v>
      </c>
      <c r="SW72" s="1">
        <v>0.5</v>
      </c>
      <c r="SX72" s="487">
        <v>14.6</v>
      </c>
      <c r="SY72" s="1">
        <v>1</v>
      </c>
      <c r="SZ72" s="487">
        <v>-31.749999999999996</v>
      </c>
      <c r="TA72" s="1">
        <v>0.2</v>
      </c>
      <c r="TB72" s="487">
        <v>20.575000000000003</v>
      </c>
      <c r="TC72" s="1">
        <v>0.8</v>
      </c>
      <c r="TD72" s="487">
        <v>-21.425000000000001</v>
      </c>
      <c r="TE72" s="1">
        <v>0</v>
      </c>
      <c r="TF72" s="487">
        <v>-1.2249999999999999</v>
      </c>
      <c r="TG72" s="1">
        <v>0</v>
      </c>
      <c r="TH72" s="488">
        <v>14.35</v>
      </c>
      <c r="TI72" s="1">
        <v>1</v>
      </c>
      <c r="TJ72" s="489">
        <v>-88.975000000000009</v>
      </c>
      <c r="TK72" s="1">
        <v>0</v>
      </c>
      <c r="TL72" s="490">
        <v>-29.975000000000005</v>
      </c>
      <c r="TM72" s="1">
        <v>0.4</v>
      </c>
      <c r="TN72" s="495">
        <v>-23.5</v>
      </c>
      <c r="TO72" s="1">
        <v>0.25</v>
      </c>
      <c r="TP72" s="500"/>
      <c r="TQ72" s="1"/>
      <c r="TR72" s="511">
        <v>6.1</v>
      </c>
      <c r="TS72" s="1">
        <v>0.5</v>
      </c>
      <c r="TT72" s="515">
        <v>15.475</v>
      </c>
      <c r="TU72" s="1">
        <v>0.7142857142857143</v>
      </c>
      <c r="TV72" s="518">
        <v>-59.35</v>
      </c>
      <c r="TW72" s="1">
        <v>0.4</v>
      </c>
      <c r="TX72" s="521"/>
      <c r="TY72" s="1"/>
      <c r="TZ72" s="524">
        <v>8.2999999999999989</v>
      </c>
      <c r="UA72" s="1">
        <v>0.6</v>
      </c>
      <c r="UB72" s="527">
        <v>-64.449999999999989</v>
      </c>
      <c r="UC72" s="1">
        <v>0.2857142857142857</v>
      </c>
      <c r="UD72" s="530">
        <v>-17.924999999999997</v>
      </c>
      <c r="UE72" s="1">
        <v>0.5</v>
      </c>
      <c r="UF72" s="533">
        <v>-14.55</v>
      </c>
      <c r="UG72" s="1">
        <v>0.33333333333333331</v>
      </c>
      <c r="UH72" s="536">
        <v>31.924999999999997</v>
      </c>
      <c r="UI72" s="1">
        <v>0.75</v>
      </c>
      <c r="UJ72" s="539">
        <v>-5.3999999999999968</v>
      </c>
      <c r="UK72" s="1">
        <v>0.625</v>
      </c>
      <c r="UL72" s="540">
        <v>18.875</v>
      </c>
      <c r="UM72" s="1">
        <v>0.8</v>
      </c>
      <c r="UN72" s="543">
        <v>-7.4499999999999993</v>
      </c>
      <c r="UO72" s="1">
        <v>0.4</v>
      </c>
      <c r="UP72" s="544">
        <v>-14.949999999999998</v>
      </c>
      <c r="UQ72" s="1">
        <v>0.6</v>
      </c>
      <c r="UR72" s="551"/>
      <c r="US72" s="1"/>
      <c r="UT72" s="551">
        <v>14.299999999999999</v>
      </c>
      <c r="UU72" s="1">
        <v>1</v>
      </c>
      <c r="UV72" s="562">
        <v>-8.6749999999999972</v>
      </c>
      <c r="UW72" s="1">
        <v>0.6</v>
      </c>
      <c r="UX72" s="566">
        <v>15.124999999999996</v>
      </c>
      <c r="UY72" s="1">
        <v>0.6</v>
      </c>
      <c r="UZ72" s="568">
        <v>-2.1750000000000003</v>
      </c>
      <c r="VA72" s="1">
        <v>0.4</v>
      </c>
      <c r="VB72" s="572">
        <v>-33.6</v>
      </c>
      <c r="VC72" s="1">
        <v>0</v>
      </c>
      <c r="VD72" s="576">
        <v>8.5</v>
      </c>
      <c r="VE72" s="1">
        <v>1</v>
      </c>
      <c r="VF72" s="580">
        <v>7.2750000000000004</v>
      </c>
      <c r="VG72" s="1">
        <v>1</v>
      </c>
      <c r="VH72" s="584">
        <v>-40.024999999999991</v>
      </c>
      <c r="VI72" s="1">
        <v>0.14285714285714285</v>
      </c>
      <c r="VJ72" s="589"/>
      <c r="VK72" s="1"/>
      <c r="VL72" s="593">
        <v>-5.5</v>
      </c>
      <c r="VM72" s="1">
        <v>0</v>
      </c>
      <c r="VN72" s="597">
        <v>-23.3</v>
      </c>
      <c r="VO72" s="1">
        <v>0.5</v>
      </c>
      <c r="VP72" s="601">
        <v>-36.074999999999996</v>
      </c>
      <c r="VQ72" s="1">
        <v>0.2</v>
      </c>
      <c r="VR72" s="603">
        <v>1.3250000000000006</v>
      </c>
      <c r="VS72" s="1">
        <v>0.66666666666666663</v>
      </c>
      <c r="VT72" s="607">
        <v>-99.95</v>
      </c>
      <c r="VU72" s="1">
        <v>0</v>
      </c>
      <c r="VV72" s="609"/>
      <c r="VW72" s="1"/>
      <c r="VX72" s="613"/>
      <c r="VY72" s="1"/>
      <c r="VZ72" s="617"/>
      <c r="WA72" s="1"/>
      <c r="WB72" s="619"/>
      <c r="WC72" s="1"/>
      <c r="WD72" s="624">
        <v>33.249999999999993</v>
      </c>
      <c r="WE72" s="1">
        <v>0.9</v>
      </c>
      <c r="WF72" s="626"/>
      <c r="WG72" s="1"/>
      <c r="WH72" s="630"/>
      <c r="WI72" s="1"/>
      <c r="WJ72" s="636">
        <v>11.999999999999998</v>
      </c>
      <c r="WK72" s="1">
        <v>0.75</v>
      </c>
      <c r="WL72" s="638"/>
      <c r="WM72" s="1"/>
      <c r="WN72" s="642"/>
      <c r="WO72" s="1"/>
      <c r="WP72" s="646">
        <v>22.05</v>
      </c>
      <c r="WQ72" s="1">
        <v>1</v>
      </c>
      <c r="WR72" s="652"/>
      <c r="WS72" s="1"/>
      <c r="WT72" s="659">
        <v>-30.2</v>
      </c>
      <c r="WU72" s="1">
        <v>0.33333333333333331</v>
      </c>
      <c r="WV72" s="659">
        <v>-17.574999999999996</v>
      </c>
      <c r="WW72" s="1">
        <v>0.5</v>
      </c>
      <c r="WX72" s="672">
        <v>17.075000000000003</v>
      </c>
      <c r="WY72" s="1">
        <v>0.7142857142857143</v>
      </c>
      <c r="WZ72" s="677"/>
      <c r="XA72" s="1"/>
      <c r="XB72" s="681">
        <v>-26.04999999999999</v>
      </c>
      <c r="XC72" s="1">
        <v>0.44444444444444442</v>
      </c>
      <c r="XD72" s="683">
        <v>6.1499999999999977</v>
      </c>
      <c r="XE72" s="1">
        <v>0.66666666666666663</v>
      </c>
      <c r="XF72" s="687">
        <v>14.174999999999999</v>
      </c>
      <c r="XG72" s="1">
        <v>1</v>
      </c>
      <c r="XH72" s="689"/>
      <c r="XI72" s="1"/>
      <c r="XJ72" s="696">
        <v>-2.4000000000000008</v>
      </c>
      <c r="XK72" s="1">
        <v>0.66666666666666663</v>
      </c>
      <c r="XL72" s="696"/>
      <c r="XM72" s="1"/>
      <c r="XN72" s="696">
        <v>-17.874999999999996</v>
      </c>
      <c r="XO72" s="1">
        <v>0.53333333333333333</v>
      </c>
      <c r="XP72" s="700">
        <v>-19.024999999999999</v>
      </c>
      <c r="XQ72" s="1">
        <v>0.5</v>
      </c>
      <c r="XR72" s="705"/>
      <c r="XS72" s="1"/>
      <c r="XT72" s="709"/>
      <c r="XU72" s="1"/>
      <c r="XV72" s="715"/>
      <c r="XW72" s="1"/>
    </row>
    <row r="73" spans="2:647" x14ac:dyDescent="0.25">
      <c r="B73" s="755"/>
      <c r="C73" s="763"/>
      <c r="D73" s="755"/>
      <c r="E73" s="755"/>
      <c r="F73" s="306">
        <v>0.5</v>
      </c>
      <c r="G73" s="485" t="s">
        <v>36</v>
      </c>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c r="BB73" s="6"/>
      <c r="BC73" s="6"/>
      <c r="BD73" s="6"/>
      <c r="BE73" s="6"/>
      <c r="BF73" s="6"/>
      <c r="BG73" s="6"/>
      <c r="BH73" s="6"/>
      <c r="BI73" s="6"/>
      <c r="BJ73" s="6"/>
      <c r="BK73" s="6"/>
      <c r="BL73" s="6"/>
      <c r="BM73" s="6"/>
      <c r="BN73" s="6"/>
      <c r="BO73" s="6"/>
      <c r="BP73" s="6"/>
      <c r="BQ73" s="6"/>
      <c r="BR73" s="6"/>
      <c r="BS73" s="6"/>
      <c r="BT73" s="6"/>
      <c r="BU73" s="6"/>
      <c r="BV73" s="6"/>
      <c r="BW73" s="6"/>
      <c r="BX73" s="6"/>
      <c r="BY73" s="95"/>
      <c r="BZ73" s="6"/>
      <c r="CA73" s="95"/>
      <c r="CB73" s="6"/>
      <c r="CC73" s="95"/>
      <c r="CD73" s="6"/>
      <c r="CE73" s="95"/>
      <c r="CF73" s="6"/>
      <c r="CG73" s="95"/>
      <c r="CH73" s="6"/>
      <c r="CI73" s="95"/>
      <c r="CJ73" s="6"/>
      <c r="CK73" s="95"/>
      <c r="CL73" s="6"/>
      <c r="CM73" s="95"/>
      <c r="CN73" s="6"/>
      <c r="CO73" s="95"/>
      <c r="CP73" s="6"/>
      <c r="CQ73" s="95"/>
      <c r="CR73" s="6"/>
      <c r="CS73" s="95"/>
      <c r="CT73" s="6"/>
      <c r="CU73" s="95"/>
      <c r="CV73" s="6"/>
      <c r="CW73" s="95"/>
      <c r="CX73" s="6"/>
      <c r="CY73" s="95"/>
      <c r="CZ73" s="6"/>
      <c r="DA73" s="95"/>
      <c r="DB73" s="6"/>
      <c r="DC73" s="95"/>
      <c r="DD73" s="6"/>
      <c r="DE73" s="95"/>
      <c r="DF73" s="6"/>
      <c r="DG73" s="95"/>
      <c r="DH73" s="6"/>
      <c r="DI73" s="95"/>
      <c r="DJ73" s="6"/>
      <c r="DK73" s="95"/>
      <c r="DL73" s="6"/>
      <c r="DM73" s="95"/>
      <c r="DN73" s="6"/>
      <c r="DO73" s="95"/>
      <c r="DP73" s="6"/>
      <c r="DQ73" s="95"/>
      <c r="DR73" s="6"/>
      <c r="DS73" s="95"/>
      <c r="DT73" s="6"/>
      <c r="DU73" s="95"/>
      <c r="DV73" s="6"/>
      <c r="DW73" s="95"/>
      <c r="DX73" s="6"/>
      <c r="DY73" s="95"/>
      <c r="DZ73" s="6"/>
      <c r="EA73" s="95"/>
      <c r="EB73" s="6"/>
      <c r="EC73" s="95"/>
      <c r="ED73" s="6"/>
      <c r="EE73" s="95"/>
      <c r="EF73" s="6"/>
      <c r="EG73" s="95"/>
      <c r="EH73" s="6"/>
      <c r="EI73" s="95"/>
      <c r="EJ73" s="6"/>
      <c r="EK73" s="95"/>
      <c r="EL73" s="6"/>
      <c r="EM73" s="95"/>
      <c r="EN73" s="6"/>
      <c r="EO73" s="95"/>
      <c r="EP73" s="6"/>
      <c r="EQ73" s="95"/>
      <c r="ER73" s="487"/>
      <c r="ES73" s="1"/>
      <c r="ET73" s="487"/>
      <c r="EU73" s="1"/>
      <c r="EV73" s="487"/>
      <c r="EW73" s="1"/>
      <c r="EX73" s="487"/>
      <c r="EY73" s="1"/>
      <c r="EZ73" s="487"/>
      <c r="FA73" s="1"/>
      <c r="FB73" s="487"/>
      <c r="FC73" s="1"/>
      <c r="FD73" s="487"/>
      <c r="FE73" s="1"/>
      <c r="FF73" s="487"/>
      <c r="FG73" s="1"/>
      <c r="FH73" s="487"/>
      <c r="FI73" s="1"/>
      <c r="FJ73" s="487"/>
      <c r="FK73" s="1"/>
      <c r="FL73" s="487"/>
      <c r="FM73" s="1"/>
      <c r="FN73" s="487"/>
      <c r="FO73" s="1"/>
      <c r="FP73" s="487"/>
      <c r="FQ73" s="1"/>
      <c r="FR73" s="487"/>
      <c r="FS73" s="1"/>
      <c r="FT73" s="487"/>
      <c r="FU73" s="1"/>
      <c r="FV73" s="487"/>
      <c r="FW73" s="1"/>
      <c r="FX73" s="487"/>
      <c r="FY73" s="1"/>
      <c r="FZ73" s="487"/>
      <c r="GA73" s="1"/>
      <c r="GB73" s="487"/>
      <c r="GC73" s="1"/>
      <c r="GD73" s="487"/>
      <c r="GE73" s="1"/>
      <c r="GF73" s="487"/>
      <c r="GG73" s="1"/>
      <c r="GH73" s="487"/>
      <c r="GI73" s="1"/>
      <c r="GJ73" s="487"/>
      <c r="GK73" s="1"/>
      <c r="GL73" s="487"/>
      <c r="GM73" s="1"/>
      <c r="GN73" s="487"/>
      <c r="GO73" s="1"/>
      <c r="GP73" s="487"/>
      <c r="GQ73" s="1"/>
      <c r="GR73" s="487"/>
      <c r="GS73" s="1"/>
      <c r="GT73" s="487"/>
      <c r="GU73" s="1"/>
      <c r="GV73" s="487"/>
      <c r="GW73" s="1"/>
      <c r="GX73" s="487"/>
      <c r="GY73" s="1"/>
      <c r="GZ73" s="487"/>
      <c r="HA73" s="1"/>
      <c r="HB73" s="487"/>
      <c r="HC73" s="1"/>
      <c r="HD73" s="487"/>
      <c r="HE73" s="1"/>
      <c r="HF73" s="487"/>
      <c r="HG73" s="1"/>
      <c r="HH73" s="487"/>
      <c r="HI73" s="1"/>
      <c r="HJ73" s="487"/>
      <c r="HK73" s="1"/>
      <c r="HL73" s="487"/>
      <c r="HM73" s="1"/>
      <c r="HN73" s="487"/>
      <c r="HO73" s="1"/>
      <c r="HP73" s="487"/>
      <c r="HQ73" s="1"/>
      <c r="HR73" s="487"/>
      <c r="HS73" s="1"/>
      <c r="HT73" s="487"/>
      <c r="HU73" s="1"/>
      <c r="HV73" s="487"/>
      <c r="HW73" s="1"/>
      <c r="HX73" s="487"/>
      <c r="HY73" s="1"/>
      <c r="HZ73" s="487"/>
      <c r="IA73" s="1"/>
      <c r="IB73" s="487"/>
      <c r="IC73" s="1"/>
      <c r="ID73" s="487"/>
      <c r="IE73" s="1"/>
      <c r="IF73" s="487"/>
      <c r="IG73" s="1"/>
      <c r="IH73" s="487"/>
      <c r="II73" s="1"/>
      <c r="IJ73" s="487"/>
      <c r="IK73" s="1"/>
      <c r="IL73" s="487"/>
      <c r="IM73" s="1"/>
      <c r="IN73" s="487"/>
      <c r="IO73" s="1"/>
      <c r="IP73" s="487"/>
      <c r="IQ73" s="1"/>
      <c r="IR73" s="487"/>
      <c r="IS73" s="1"/>
      <c r="IT73" s="487"/>
      <c r="IU73" s="1"/>
      <c r="IV73" s="487"/>
      <c r="IW73" s="1"/>
      <c r="IX73" s="487"/>
      <c r="IY73" s="1"/>
      <c r="IZ73" s="487"/>
      <c r="JA73" s="1"/>
      <c r="JB73" s="487"/>
      <c r="JC73" s="1"/>
      <c r="JD73" s="487"/>
      <c r="JE73" s="1"/>
      <c r="JF73" s="487"/>
      <c r="JG73" s="1"/>
      <c r="JH73" s="487"/>
      <c r="JI73" s="1"/>
      <c r="JJ73" s="487"/>
      <c r="JK73" s="1"/>
      <c r="JL73" s="487"/>
      <c r="JM73" s="1"/>
      <c r="JN73" s="487"/>
      <c r="JO73" s="1"/>
      <c r="JP73" s="487"/>
      <c r="JQ73" s="1"/>
      <c r="JR73" s="487"/>
      <c r="JS73" s="1"/>
      <c r="JT73" s="487"/>
      <c r="JU73" s="1"/>
      <c r="JV73" s="487">
        <v>6.5199999999999978</v>
      </c>
      <c r="JW73" s="1">
        <v>0.72727272727272729</v>
      </c>
      <c r="JX73" s="487">
        <v>21.86</v>
      </c>
      <c r="JY73" s="1">
        <v>1</v>
      </c>
      <c r="JZ73" s="487">
        <v>13.119999999999997</v>
      </c>
      <c r="KA73" s="1">
        <v>0.7142857142857143</v>
      </c>
      <c r="KB73" s="487">
        <v>7.8999999999999995</v>
      </c>
      <c r="KC73" s="1">
        <v>0.66666666666666663</v>
      </c>
      <c r="KD73" s="487">
        <v>39.64</v>
      </c>
      <c r="KE73" s="1">
        <v>0.8571428571428571</v>
      </c>
      <c r="KF73" s="487">
        <v>18.46</v>
      </c>
      <c r="KG73" s="1">
        <v>0.83333333333333337</v>
      </c>
      <c r="KH73" s="487">
        <v>7.36</v>
      </c>
      <c r="KI73" s="1">
        <v>1</v>
      </c>
      <c r="KJ73" s="487">
        <v>10.1</v>
      </c>
      <c r="KK73" s="1">
        <v>0.5</v>
      </c>
      <c r="KL73" s="487"/>
      <c r="KM73" s="1"/>
      <c r="KN73" s="487">
        <v>-2.5399999999999991</v>
      </c>
      <c r="KO73" s="1">
        <v>0.5</v>
      </c>
      <c r="KP73" s="487">
        <v>14.2</v>
      </c>
      <c r="KQ73" s="1">
        <v>0.8</v>
      </c>
      <c r="KR73" s="487">
        <v>-16.96</v>
      </c>
      <c r="KS73" s="1">
        <v>0</v>
      </c>
      <c r="KT73" s="487">
        <v>14.719999999999999</v>
      </c>
      <c r="KU73" s="1">
        <v>1</v>
      </c>
      <c r="KV73" s="487">
        <v>9.4400000000000013</v>
      </c>
      <c r="KW73" s="1">
        <v>0.7142857142857143</v>
      </c>
      <c r="KX73" s="487">
        <v>-34.74</v>
      </c>
      <c r="KY73" s="1">
        <v>0.5</v>
      </c>
      <c r="KZ73" s="487">
        <v>7.04</v>
      </c>
      <c r="LA73" s="1">
        <v>1</v>
      </c>
      <c r="LB73" s="487">
        <v>-3.9400000000000004</v>
      </c>
      <c r="LC73" s="1">
        <v>0.75</v>
      </c>
      <c r="LD73" s="487">
        <v>21.16</v>
      </c>
      <c r="LE73" s="1">
        <v>1</v>
      </c>
      <c r="LF73" s="487"/>
      <c r="LG73" s="1"/>
      <c r="LH73" s="487">
        <v>7.3</v>
      </c>
      <c r="LI73" s="1">
        <v>1</v>
      </c>
      <c r="LJ73" s="487">
        <v>-6.7399999999999975</v>
      </c>
      <c r="LK73" s="1">
        <v>0.6</v>
      </c>
      <c r="LL73" s="487"/>
      <c r="LM73" s="1"/>
      <c r="LN73" s="487"/>
      <c r="LO73" s="1"/>
      <c r="LP73" s="487"/>
      <c r="LQ73" s="1"/>
      <c r="LR73" s="487"/>
      <c r="LS73" s="1"/>
      <c r="LT73" s="487"/>
      <c r="LU73" s="1"/>
      <c r="LV73" s="487"/>
      <c r="LW73" s="1"/>
      <c r="LX73" s="487"/>
      <c r="LY73" s="1"/>
      <c r="LZ73" s="487"/>
      <c r="MA73" s="1"/>
      <c r="MB73" s="487"/>
      <c r="MC73" s="1"/>
      <c r="MD73" s="487"/>
      <c r="ME73" s="1"/>
      <c r="MF73" s="487"/>
      <c r="MG73" s="1"/>
      <c r="MH73" s="487"/>
      <c r="MI73" s="1"/>
      <c r="MJ73" s="487"/>
      <c r="MK73" s="1"/>
      <c r="ML73" s="487"/>
      <c r="MM73" s="1"/>
      <c r="MN73" s="487"/>
      <c r="MO73" s="1"/>
      <c r="MP73" s="487"/>
      <c r="MQ73" s="1"/>
      <c r="MR73" s="487"/>
      <c r="MS73" s="1"/>
      <c r="MT73" s="487"/>
      <c r="MU73" s="1"/>
      <c r="MV73" s="487"/>
      <c r="MW73" s="1"/>
      <c r="MX73" s="487"/>
      <c r="MY73" s="1"/>
      <c r="MZ73" s="487"/>
      <c r="NA73" s="1"/>
      <c r="NB73" s="487"/>
      <c r="NC73" s="1"/>
      <c r="ND73" s="487"/>
      <c r="NE73" s="1"/>
      <c r="NF73" s="487"/>
      <c r="NG73" s="1"/>
      <c r="NH73" s="487"/>
      <c r="NI73" s="1"/>
      <c r="NJ73" s="487"/>
      <c r="NK73" s="1"/>
      <c r="NL73" s="487"/>
      <c r="NM73" s="1"/>
      <c r="NN73" s="487"/>
      <c r="NO73" s="1"/>
      <c r="NP73" s="487"/>
      <c r="NQ73" s="1"/>
      <c r="NR73" s="487"/>
      <c r="NS73" s="1"/>
      <c r="NT73" s="487"/>
      <c r="NU73" s="1"/>
      <c r="NV73" s="487"/>
      <c r="NW73" s="1"/>
      <c r="NX73" s="487"/>
      <c r="NY73" s="1"/>
      <c r="NZ73" s="487"/>
      <c r="OA73" s="1"/>
      <c r="OB73" s="487"/>
      <c r="OC73" s="1"/>
      <c r="OD73" s="487"/>
      <c r="OE73" s="1"/>
      <c r="OF73" s="487"/>
      <c r="OG73" s="1"/>
      <c r="OH73" s="487"/>
      <c r="OI73" s="1"/>
      <c r="OJ73" s="487"/>
      <c r="OK73" s="1"/>
      <c r="OL73" s="487"/>
      <c r="OM73" s="1"/>
      <c r="ON73" s="487"/>
      <c r="OO73" s="1"/>
      <c r="OP73" s="487"/>
      <c r="OQ73" s="1"/>
      <c r="OR73" s="487"/>
      <c r="OS73" s="1"/>
      <c r="OT73" s="487"/>
      <c r="OU73" s="1"/>
      <c r="OV73" s="487"/>
      <c r="OW73" s="1"/>
      <c r="OX73" s="487"/>
      <c r="OY73" s="1"/>
      <c r="OZ73" s="487"/>
      <c r="PA73" s="1"/>
      <c r="PB73" s="487">
        <v>18.48</v>
      </c>
      <c r="PC73" s="1">
        <v>0.75</v>
      </c>
      <c r="PD73" s="487">
        <v>28.2</v>
      </c>
      <c r="PE73" s="1">
        <v>1</v>
      </c>
      <c r="PF73" s="487">
        <v>0.98000000000000043</v>
      </c>
      <c r="PG73" s="1">
        <v>0.66666666666666663</v>
      </c>
      <c r="PH73" s="487">
        <v>28.159999999999997</v>
      </c>
      <c r="PI73" s="1">
        <v>1</v>
      </c>
      <c r="PJ73" s="487"/>
      <c r="PK73" s="1"/>
      <c r="PL73" s="487"/>
      <c r="PM73" s="1"/>
      <c r="PN73" s="487"/>
      <c r="PO73" s="1"/>
      <c r="PP73" s="487">
        <v>-41.440000000000012</v>
      </c>
      <c r="PQ73" s="1">
        <v>0.5</v>
      </c>
      <c r="PR73" s="487">
        <v>-24.56</v>
      </c>
      <c r="PS73" s="1">
        <v>0.5</v>
      </c>
      <c r="PT73" s="487">
        <v>21.86</v>
      </c>
      <c r="PU73" s="1">
        <v>1</v>
      </c>
      <c r="PV73" s="487">
        <v>-18.620000000000005</v>
      </c>
      <c r="PW73" s="1">
        <v>0.5</v>
      </c>
      <c r="PX73" s="487">
        <v>-40.480000000000004</v>
      </c>
      <c r="PY73" s="1">
        <v>0.5</v>
      </c>
      <c r="PZ73" s="487"/>
      <c r="QA73" s="1"/>
      <c r="QB73" s="487">
        <v>-22.42</v>
      </c>
      <c r="QC73" s="1">
        <v>0.66666666666666663</v>
      </c>
      <c r="QD73" s="487">
        <v>37.160000000000011</v>
      </c>
      <c r="QE73" s="1">
        <v>0.875</v>
      </c>
      <c r="QF73" s="487">
        <v>-33.08</v>
      </c>
      <c r="QG73" s="1">
        <v>0.2</v>
      </c>
      <c r="QH73" s="487">
        <v>-9.5</v>
      </c>
      <c r="QI73" s="1">
        <v>0.66666666666666663</v>
      </c>
      <c r="QJ73" s="487">
        <v>30.3</v>
      </c>
      <c r="QK73" s="1">
        <v>0.83333333333333337</v>
      </c>
      <c r="QL73" s="487">
        <v>17.18</v>
      </c>
      <c r="QM73" s="1">
        <v>0.75</v>
      </c>
      <c r="QN73" s="487">
        <v>-24.86</v>
      </c>
      <c r="QO73" s="1">
        <v>0</v>
      </c>
      <c r="QP73" s="487">
        <v>-3.7799999999999994</v>
      </c>
      <c r="QQ73" s="1">
        <v>0.5</v>
      </c>
      <c r="QR73" s="487">
        <v>9.379999999999999</v>
      </c>
      <c r="QS73" s="1">
        <v>0.75</v>
      </c>
      <c r="QT73" s="487">
        <v>9.9599999999999991</v>
      </c>
      <c r="QU73" s="1">
        <v>0.6</v>
      </c>
      <c r="QV73" s="487">
        <v>35.700000000000003</v>
      </c>
      <c r="QW73" s="1">
        <v>1</v>
      </c>
      <c r="QX73" s="487">
        <v>6.24</v>
      </c>
      <c r="QY73" s="1">
        <v>0.5</v>
      </c>
      <c r="QZ73" s="487">
        <v>-29.56</v>
      </c>
      <c r="RA73" s="1">
        <v>0.25</v>
      </c>
      <c r="RB73" s="487">
        <v>-2.5399999999999991</v>
      </c>
      <c r="RC73" s="1">
        <v>0.4</v>
      </c>
      <c r="RD73" s="487">
        <v>-100.29999999999998</v>
      </c>
      <c r="RE73" s="1">
        <v>0.14285714285714285</v>
      </c>
      <c r="RF73" s="487">
        <v>-10.94</v>
      </c>
      <c r="RG73" s="1">
        <v>0.5</v>
      </c>
      <c r="RH73" s="487">
        <v>-10.84</v>
      </c>
      <c r="RI73" s="1">
        <v>0</v>
      </c>
      <c r="RJ73" s="487">
        <v>25.400000000000002</v>
      </c>
      <c r="RK73" s="1">
        <v>0.77777777777777779</v>
      </c>
      <c r="RL73" s="487"/>
      <c r="RM73" s="1"/>
      <c r="RN73" s="487">
        <v>-11.52</v>
      </c>
      <c r="RO73" s="1">
        <v>0.33333333333333331</v>
      </c>
      <c r="RP73" s="487">
        <v>-32.72</v>
      </c>
      <c r="RQ73" s="1">
        <v>0.5</v>
      </c>
      <c r="RR73" s="487"/>
      <c r="RS73" s="1"/>
      <c r="RT73" s="487">
        <v>18.68</v>
      </c>
      <c r="RU73" s="1">
        <v>1</v>
      </c>
      <c r="RV73" s="487">
        <v>-6.0000000000002274E-2</v>
      </c>
      <c r="RW73" s="1">
        <v>0.6</v>
      </c>
      <c r="RX73" s="487">
        <v>-78.320000000000007</v>
      </c>
      <c r="RY73" s="1">
        <v>0.2857142857142857</v>
      </c>
      <c r="RZ73" s="487">
        <v>7.04</v>
      </c>
      <c r="SA73" s="1">
        <v>1</v>
      </c>
      <c r="SB73" s="487">
        <v>-84.22</v>
      </c>
      <c r="SC73" s="1">
        <v>0</v>
      </c>
      <c r="SD73" s="487"/>
      <c r="SE73" s="1"/>
      <c r="SF73" s="487">
        <v>-21.240000000000002</v>
      </c>
      <c r="SG73" s="1">
        <v>0.5</v>
      </c>
      <c r="SH73" s="487">
        <v>-24</v>
      </c>
      <c r="SI73" s="1">
        <v>0.4</v>
      </c>
      <c r="SJ73" s="487">
        <v>15.1</v>
      </c>
      <c r="SK73" s="1">
        <v>0.8571428571428571</v>
      </c>
      <c r="SL73" s="487">
        <v>-22.619999999999997</v>
      </c>
      <c r="SM73" s="1">
        <v>0.33333333333333331</v>
      </c>
      <c r="SN73" s="487"/>
      <c r="SO73" s="1"/>
      <c r="SP73" s="487"/>
      <c r="SQ73" s="1"/>
      <c r="SR73" s="487">
        <v>14.42</v>
      </c>
      <c r="SS73" s="1">
        <v>1</v>
      </c>
      <c r="ST73" s="487">
        <v>-62.38</v>
      </c>
      <c r="SU73" s="1">
        <v>0.14285714285714285</v>
      </c>
      <c r="SV73" s="487">
        <v>-19.959999999999994</v>
      </c>
      <c r="SW73" s="1">
        <v>0.42857142857142855</v>
      </c>
      <c r="SX73" s="487">
        <v>4.82</v>
      </c>
      <c r="SY73" s="1">
        <v>0.66666666666666663</v>
      </c>
      <c r="SZ73" s="487">
        <v>-29.560000000000002</v>
      </c>
      <c r="TA73" s="1">
        <v>0.2857142857142857</v>
      </c>
      <c r="TB73" s="487">
        <v>36.520000000000003</v>
      </c>
      <c r="TC73" s="1">
        <v>1</v>
      </c>
      <c r="TD73" s="487">
        <v>-21.44</v>
      </c>
      <c r="TE73" s="1">
        <v>0</v>
      </c>
      <c r="TF73" s="487">
        <v>7.64</v>
      </c>
      <c r="TG73" s="1">
        <v>0.66666666666666663</v>
      </c>
      <c r="TH73" s="488">
        <v>7.26</v>
      </c>
      <c r="TI73" s="1">
        <v>1</v>
      </c>
      <c r="TJ73" s="489">
        <v>-90.02</v>
      </c>
      <c r="TK73" s="1">
        <v>0</v>
      </c>
      <c r="TL73" s="490">
        <v>-40.679999999999993</v>
      </c>
      <c r="TM73" s="1">
        <v>0.33333333333333331</v>
      </c>
      <c r="TN73" s="495">
        <v>-23.82</v>
      </c>
      <c r="TO73" s="1">
        <v>0.2</v>
      </c>
      <c r="TP73" s="500"/>
      <c r="TQ73" s="1"/>
      <c r="TR73" s="511">
        <v>5.66</v>
      </c>
      <c r="TS73" s="1">
        <v>0.5</v>
      </c>
      <c r="TT73" s="515">
        <v>24.78</v>
      </c>
      <c r="TU73" s="1">
        <v>0.83333333333333337</v>
      </c>
      <c r="TV73" s="518">
        <v>-50.319999999999993</v>
      </c>
      <c r="TW73" s="1">
        <v>0</v>
      </c>
      <c r="TX73" s="521"/>
      <c r="TY73" s="1"/>
      <c r="TZ73" s="524">
        <v>12.36</v>
      </c>
      <c r="UA73" s="1">
        <v>0.5714285714285714</v>
      </c>
      <c r="UB73" s="527">
        <v>-26.94</v>
      </c>
      <c r="UC73" s="1">
        <v>0.25</v>
      </c>
      <c r="UD73" s="530">
        <v>-19.159999999999997</v>
      </c>
      <c r="UE73" s="1">
        <v>0.33333333333333331</v>
      </c>
      <c r="UF73" s="533">
        <v>-38.700000000000003</v>
      </c>
      <c r="UG73" s="1">
        <v>0.25</v>
      </c>
      <c r="UH73" s="536">
        <v>22.32</v>
      </c>
      <c r="UI73" s="1">
        <v>0.7142857142857143</v>
      </c>
      <c r="UJ73" s="539">
        <v>1.5400000000000009</v>
      </c>
      <c r="UK73" s="1">
        <v>0.66666666666666663</v>
      </c>
      <c r="UL73" s="540">
        <v>48.120000000000005</v>
      </c>
      <c r="UM73" s="1">
        <v>0.9</v>
      </c>
      <c r="UN73" s="543">
        <v>-20.960000000000004</v>
      </c>
      <c r="UO73" s="1">
        <v>0.4</v>
      </c>
      <c r="UP73" s="544">
        <v>-32.58</v>
      </c>
      <c r="UQ73" s="1">
        <v>0.42857142857142855</v>
      </c>
      <c r="UR73" s="551"/>
      <c r="US73" s="1"/>
      <c r="UT73" s="551">
        <v>14</v>
      </c>
      <c r="UU73" s="1">
        <v>1</v>
      </c>
      <c r="UV73" s="562">
        <v>-18.100000000000005</v>
      </c>
      <c r="UW73" s="1">
        <v>0.5</v>
      </c>
      <c r="UX73" s="566">
        <v>-1.8000000000000007</v>
      </c>
      <c r="UY73" s="1">
        <v>0.66666666666666663</v>
      </c>
      <c r="UZ73" s="568">
        <v>11.06</v>
      </c>
      <c r="VA73" s="1">
        <v>0.55555555555555558</v>
      </c>
      <c r="VB73" s="572">
        <v>-9.6</v>
      </c>
      <c r="VC73" s="1">
        <v>0</v>
      </c>
      <c r="VD73" s="576">
        <v>15.58</v>
      </c>
      <c r="VE73" s="1">
        <v>1</v>
      </c>
      <c r="VF73" s="580">
        <v>14.44</v>
      </c>
      <c r="VG73" s="1">
        <v>1</v>
      </c>
      <c r="VH73" s="584">
        <v>-31.900000000000002</v>
      </c>
      <c r="VI73" s="1">
        <v>0.33333333333333331</v>
      </c>
      <c r="VJ73" s="589">
        <v>-7.4</v>
      </c>
      <c r="VK73" s="1">
        <v>0</v>
      </c>
      <c r="VL73" s="593">
        <v>-17.16</v>
      </c>
      <c r="VM73" s="1">
        <v>0</v>
      </c>
      <c r="VN73" s="597">
        <v>-4.160000000000001</v>
      </c>
      <c r="VO73" s="1">
        <v>0.66666666666666663</v>
      </c>
      <c r="VP73" s="601">
        <v>-28.84</v>
      </c>
      <c r="VQ73" s="1">
        <v>0.2</v>
      </c>
      <c r="VR73" s="603">
        <v>-13.839999999999998</v>
      </c>
      <c r="VS73" s="1">
        <v>0.5</v>
      </c>
      <c r="VT73" s="607">
        <v>-154.76</v>
      </c>
      <c r="VU73" s="1">
        <v>0</v>
      </c>
      <c r="VV73" s="609"/>
      <c r="VW73" s="1"/>
      <c r="VX73" s="613"/>
      <c r="VY73" s="1"/>
      <c r="VZ73" s="617"/>
      <c r="WA73" s="1"/>
      <c r="WB73" s="619"/>
      <c r="WC73" s="1"/>
      <c r="WD73" s="624">
        <v>14.18</v>
      </c>
      <c r="WE73" s="1">
        <v>0.81818181818181823</v>
      </c>
      <c r="WF73" s="626"/>
      <c r="WG73" s="1"/>
      <c r="WH73" s="630"/>
      <c r="WI73" s="1"/>
      <c r="WJ73" s="636">
        <v>14.64</v>
      </c>
      <c r="WK73" s="1">
        <v>1</v>
      </c>
      <c r="WL73" s="638"/>
      <c r="WM73" s="1"/>
      <c r="WN73" s="642"/>
      <c r="WO73" s="1"/>
      <c r="WP73" s="646">
        <v>28.9</v>
      </c>
      <c r="WQ73" s="1">
        <v>1</v>
      </c>
      <c r="WR73" s="652"/>
      <c r="WS73" s="1"/>
      <c r="WT73" s="659">
        <v>-60.220000000000006</v>
      </c>
      <c r="WU73" s="1">
        <v>0.2857142857142857</v>
      </c>
      <c r="WV73" s="659">
        <v>-43.459999999999994</v>
      </c>
      <c r="WW73" s="1">
        <v>0.33333333333333331</v>
      </c>
      <c r="WX73" s="672">
        <v>20.96</v>
      </c>
      <c r="WY73" s="1">
        <v>0.7142857142857143</v>
      </c>
      <c r="WZ73" s="677"/>
      <c r="XA73" s="1"/>
      <c r="XB73" s="681">
        <v>-37.499999999999993</v>
      </c>
      <c r="XC73" s="1">
        <v>0.33333333333333331</v>
      </c>
      <c r="XD73" s="683">
        <v>2.6599999999999984</v>
      </c>
      <c r="XE73" s="1">
        <v>0.5714285714285714</v>
      </c>
      <c r="XF73" s="687">
        <v>21.16</v>
      </c>
      <c r="XG73" s="1">
        <v>1</v>
      </c>
      <c r="XH73" s="689"/>
      <c r="XI73" s="1"/>
      <c r="XJ73" s="696">
        <v>13.96</v>
      </c>
      <c r="XK73" s="1">
        <v>1</v>
      </c>
      <c r="XL73" s="696"/>
      <c r="XM73" s="1"/>
      <c r="XN73" s="696">
        <v>11.579999999999991</v>
      </c>
      <c r="XO73" s="1">
        <v>0.6470588235294118</v>
      </c>
      <c r="XP73" s="700">
        <v>-4.7599999999999989</v>
      </c>
      <c r="XQ73" s="1">
        <v>0.625</v>
      </c>
      <c r="XR73" s="705"/>
      <c r="XS73" s="1"/>
      <c r="XT73" s="709"/>
      <c r="XU73" s="1"/>
      <c r="XV73" s="715"/>
      <c r="XW73" s="1"/>
    </row>
    <row r="74" spans="2:647" x14ac:dyDescent="0.25">
      <c r="B74" s="755"/>
      <c r="C74" s="763"/>
      <c r="D74" s="755" t="s">
        <v>17</v>
      </c>
      <c r="E74" s="755"/>
      <c r="F74" s="482">
        <v>0.6</v>
      </c>
      <c r="G74" s="475" t="s">
        <v>42</v>
      </c>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c r="BU74" s="6"/>
      <c r="BV74" s="6"/>
      <c r="BW74" s="6"/>
      <c r="BX74" s="6"/>
      <c r="BY74" s="95"/>
      <c r="BZ74" s="6"/>
      <c r="CA74" s="95"/>
      <c r="CB74" s="6"/>
      <c r="CC74" s="95"/>
      <c r="CD74" s="6"/>
      <c r="CE74" s="95"/>
      <c r="CF74" s="6"/>
      <c r="CG74" s="95"/>
      <c r="CH74" s="6"/>
      <c r="CI74" s="95"/>
      <c r="CJ74" s="6"/>
      <c r="CK74" s="95"/>
      <c r="CL74" s="6"/>
      <c r="CM74" s="95"/>
      <c r="CN74" s="6"/>
      <c r="CO74" s="95"/>
      <c r="CP74" s="6"/>
      <c r="CQ74" s="95"/>
      <c r="CR74" s="6"/>
      <c r="CS74" s="95"/>
      <c r="CT74" s="6"/>
      <c r="CU74" s="95"/>
      <c r="CV74" s="6"/>
      <c r="CW74" s="95"/>
      <c r="CX74" s="6"/>
      <c r="CY74" s="95"/>
      <c r="CZ74" s="6"/>
      <c r="DA74" s="95"/>
      <c r="DB74" s="6"/>
      <c r="DC74" s="95"/>
      <c r="DD74" s="6"/>
      <c r="DE74" s="95"/>
      <c r="DF74" s="6"/>
      <c r="DG74" s="95"/>
      <c r="DH74" s="6"/>
      <c r="DI74" s="95"/>
      <c r="DJ74" s="6"/>
      <c r="DK74" s="95"/>
      <c r="DL74" s="6"/>
      <c r="DM74" s="95"/>
      <c r="DN74" s="6"/>
      <c r="DO74" s="95"/>
      <c r="DP74" s="6"/>
      <c r="DQ74" s="95"/>
      <c r="DR74" s="6"/>
      <c r="DS74" s="95"/>
      <c r="DT74" s="6"/>
      <c r="DU74" s="95"/>
      <c r="DV74" s="6"/>
      <c r="DW74" s="95"/>
      <c r="DX74" s="6"/>
      <c r="DY74" s="95"/>
      <c r="DZ74" s="6"/>
      <c r="EA74" s="95"/>
      <c r="EB74" s="6"/>
      <c r="EC74" s="95"/>
      <c r="ED74" s="6"/>
      <c r="EE74" s="95"/>
      <c r="EF74" s="6"/>
      <c r="EG74" s="95"/>
      <c r="EH74" s="6"/>
      <c r="EI74" s="95"/>
      <c r="EJ74" s="6"/>
      <c r="EK74" s="95"/>
      <c r="EL74" s="6"/>
      <c r="EM74" s="95"/>
      <c r="EN74" s="6"/>
      <c r="EO74" s="95"/>
      <c r="EP74" s="6"/>
      <c r="EQ74" s="95"/>
      <c r="ER74" s="487"/>
      <c r="ES74" s="1"/>
      <c r="ET74" s="487"/>
      <c r="EU74" s="1"/>
      <c r="EV74" s="487"/>
      <c r="EW74" s="1"/>
      <c r="EX74" s="487"/>
      <c r="EY74" s="1"/>
      <c r="EZ74" s="487"/>
      <c r="FA74" s="1"/>
      <c r="FB74" s="487"/>
      <c r="FC74" s="1"/>
      <c r="FD74" s="487"/>
      <c r="FE74" s="1"/>
      <c r="FF74" s="487"/>
      <c r="FG74" s="1"/>
      <c r="FH74" s="487"/>
      <c r="FI74" s="1"/>
      <c r="FJ74" s="487"/>
      <c r="FK74" s="1"/>
      <c r="FL74" s="487"/>
      <c r="FM74" s="1"/>
      <c r="FN74" s="487"/>
      <c r="FO74" s="1"/>
      <c r="FP74" s="487"/>
      <c r="FQ74" s="1"/>
      <c r="FR74" s="487"/>
      <c r="FS74" s="1"/>
      <c r="FT74" s="487"/>
      <c r="FU74" s="1"/>
      <c r="FV74" s="487"/>
      <c r="FW74" s="1"/>
      <c r="FX74" s="487"/>
      <c r="FY74" s="1"/>
      <c r="FZ74" s="487"/>
      <c r="GA74" s="1"/>
      <c r="GB74" s="487"/>
      <c r="GC74" s="1"/>
      <c r="GD74" s="487"/>
      <c r="GE74" s="1"/>
      <c r="GF74" s="487"/>
      <c r="GG74" s="1"/>
      <c r="GH74" s="487"/>
      <c r="GI74" s="1"/>
      <c r="GJ74" s="487"/>
      <c r="GK74" s="1"/>
      <c r="GL74" s="487"/>
      <c r="GM74" s="1"/>
      <c r="GN74" s="487"/>
      <c r="GO74" s="1"/>
      <c r="GP74" s="487"/>
      <c r="GQ74" s="1"/>
      <c r="GR74" s="487"/>
      <c r="GS74" s="1"/>
      <c r="GT74" s="487"/>
      <c r="GU74" s="1"/>
      <c r="GV74" s="487"/>
      <c r="GW74" s="1"/>
      <c r="GX74" s="487"/>
      <c r="GY74" s="1"/>
      <c r="GZ74" s="487"/>
      <c r="HA74" s="1"/>
      <c r="HB74" s="487"/>
      <c r="HC74" s="1"/>
      <c r="HD74" s="487"/>
      <c r="HE74" s="1"/>
      <c r="HF74" s="487"/>
      <c r="HG74" s="1"/>
      <c r="HH74" s="487"/>
      <c r="HI74" s="1"/>
      <c r="HJ74" s="487"/>
      <c r="HK74" s="1"/>
      <c r="HL74" s="487"/>
      <c r="HM74" s="1"/>
      <c r="HN74" s="487"/>
      <c r="HO74" s="1"/>
      <c r="HP74" s="487"/>
      <c r="HQ74" s="1"/>
      <c r="HR74" s="487"/>
      <c r="HS74" s="1"/>
      <c r="HT74" s="487"/>
      <c r="HU74" s="1"/>
      <c r="HV74" s="487"/>
      <c r="HW74" s="1"/>
      <c r="HX74" s="487"/>
      <c r="HY74" s="1"/>
      <c r="HZ74" s="487"/>
      <c r="IA74" s="1"/>
      <c r="IB74" s="487"/>
      <c r="IC74" s="1"/>
      <c r="ID74" s="487"/>
      <c r="IE74" s="1"/>
      <c r="IF74" s="487"/>
      <c r="IG74" s="1"/>
      <c r="IH74" s="487"/>
      <c r="II74" s="1"/>
      <c r="IJ74" s="487"/>
      <c r="IK74" s="1"/>
      <c r="IL74" s="487"/>
      <c r="IM74" s="1"/>
      <c r="IN74" s="487"/>
      <c r="IO74" s="1"/>
      <c r="IP74" s="487"/>
      <c r="IQ74" s="1"/>
      <c r="IR74" s="487"/>
      <c r="IS74" s="1"/>
      <c r="IT74" s="487"/>
      <c r="IU74" s="1"/>
      <c r="IV74" s="487"/>
      <c r="IW74" s="1"/>
      <c r="IX74" s="487"/>
      <c r="IY74" s="1"/>
      <c r="IZ74" s="487"/>
      <c r="JA74" s="1"/>
      <c r="JB74" s="487"/>
      <c r="JC74" s="1"/>
      <c r="JD74" s="487"/>
      <c r="JE74" s="1"/>
      <c r="JF74" s="487"/>
      <c r="JG74" s="1"/>
      <c r="JH74" s="487"/>
      <c r="JI74" s="1"/>
      <c r="JJ74" s="487"/>
      <c r="JK74" s="1"/>
      <c r="JL74" s="487"/>
      <c r="JM74" s="1"/>
      <c r="JN74" s="487"/>
      <c r="JO74" s="1"/>
      <c r="JP74" s="487"/>
      <c r="JQ74" s="1"/>
      <c r="JR74" s="487"/>
      <c r="JS74" s="1"/>
      <c r="JT74" s="487"/>
      <c r="JU74" s="1"/>
      <c r="JV74" s="487"/>
      <c r="JW74" s="1"/>
      <c r="JX74" s="487"/>
      <c r="JY74" s="1"/>
      <c r="JZ74" s="487"/>
      <c r="KA74" s="1"/>
      <c r="KB74" s="487"/>
      <c r="KC74" s="1"/>
      <c r="KD74" s="487"/>
      <c r="KE74" s="1"/>
      <c r="KF74" s="487"/>
      <c r="KG74" s="1"/>
      <c r="KH74" s="487"/>
      <c r="KI74" s="1"/>
      <c r="KJ74" s="487"/>
      <c r="KK74" s="1"/>
      <c r="KL74" s="487"/>
      <c r="KM74" s="1"/>
      <c r="KN74" s="487"/>
      <c r="KO74" s="1"/>
      <c r="KP74" s="487"/>
      <c r="KQ74" s="1"/>
      <c r="KR74" s="487"/>
      <c r="KS74" s="1"/>
      <c r="KT74" s="487"/>
      <c r="KU74" s="1"/>
      <c r="KV74" s="487"/>
      <c r="KW74" s="1"/>
      <c r="KX74" s="487"/>
      <c r="KY74" s="1"/>
      <c r="KZ74" s="487"/>
      <c r="LA74" s="1"/>
      <c r="LB74" s="487"/>
      <c r="LC74" s="1"/>
      <c r="LD74" s="487"/>
      <c r="LE74" s="1"/>
      <c r="LF74" s="487"/>
      <c r="LG74" s="1"/>
      <c r="LH74" s="487"/>
      <c r="LI74" s="1"/>
      <c r="LJ74" s="487"/>
      <c r="LK74" s="1"/>
      <c r="LL74" s="487"/>
      <c r="LM74" s="1"/>
      <c r="LN74" s="487">
        <v>4.8500000000000005</v>
      </c>
      <c r="LO74" s="1">
        <v>1</v>
      </c>
      <c r="LP74" s="487">
        <v>7.5500000000000007</v>
      </c>
      <c r="LQ74" s="1">
        <v>1</v>
      </c>
      <c r="LR74" s="487">
        <v>6.0333333333333341</v>
      </c>
      <c r="LS74" s="1">
        <v>1</v>
      </c>
      <c r="LT74" s="487"/>
      <c r="LU74" s="1"/>
      <c r="LV74" s="487"/>
      <c r="LW74" s="1"/>
      <c r="LX74" s="487"/>
      <c r="LY74" s="1"/>
      <c r="LZ74" s="487"/>
      <c r="MA74" s="1"/>
      <c r="MB74" s="487">
        <v>-11.616666666666667</v>
      </c>
      <c r="MC74" s="1">
        <v>0</v>
      </c>
      <c r="MD74" s="487"/>
      <c r="ME74" s="1"/>
      <c r="MF74" s="487">
        <v>8.1833333333333336</v>
      </c>
      <c r="MG74" s="1">
        <v>1</v>
      </c>
      <c r="MH74" s="487">
        <v>7.0000000000000009</v>
      </c>
      <c r="MI74" s="1">
        <v>1</v>
      </c>
      <c r="MJ74" s="487"/>
      <c r="MK74" s="1"/>
      <c r="ML74" s="487"/>
      <c r="MM74" s="1"/>
      <c r="MN74" s="487">
        <v>7.3333333333333339</v>
      </c>
      <c r="MO74" s="1">
        <v>1</v>
      </c>
      <c r="MP74" s="487">
        <v>-12.15</v>
      </c>
      <c r="MQ74" s="1">
        <v>0</v>
      </c>
      <c r="MR74" s="487">
        <v>7.1333333333333337</v>
      </c>
      <c r="MS74" s="1">
        <v>1</v>
      </c>
      <c r="MT74" s="487">
        <v>-15.049999999999999</v>
      </c>
      <c r="MU74" s="1">
        <v>0</v>
      </c>
      <c r="MV74" s="487">
        <v>2.7833333333333332</v>
      </c>
      <c r="MW74" s="1">
        <v>1</v>
      </c>
      <c r="MX74" s="487">
        <v>-15.283333333333333</v>
      </c>
      <c r="MY74" s="1">
        <v>0</v>
      </c>
      <c r="MZ74" s="487"/>
      <c r="NA74" s="1"/>
      <c r="NB74" s="487"/>
      <c r="NC74" s="1"/>
      <c r="ND74" s="487"/>
      <c r="NE74" s="1"/>
      <c r="NF74" s="487">
        <v>-15.066666666666666</v>
      </c>
      <c r="NG74" s="1">
        <v>0</v>
      </c>
      <c r="NH74" s="487">
        <v>-15.066666666666666</v>
      </c>
      <c r="NI74" s="1">
        <v>0</v>
      </c>
      <c r="NJ74" s="487"/>
      <c r="NK74" s="1"/>
      <c r="NL74" s="487"/>
      <c r="NM74" s="1"/>
      <c r="NN74" s="487">
        <v>-1.0166666666666666</v>
      </c>
      <c r="NO74" s="1">
        <v>0</v>
      </c>
      <c r="NP74" s="487"/>
      <c r="NQ74" s="1"/>
      <c r="NR74" s="487">
        <v>-10.85</v>
      </c>
      <c r="NS74" s="1">
        <v>0</v>
      </c>
      <c r="NT74" s="487">
        <v>-15</v>
      </c>
      <c r="NU74" s="1">
        <v>0</v>
      </c>
      <c r="NV74" s="487">
        <v>-15.049999999999999</v>
      </c>
      <c r="NW74" s="1">
        <v>0</v>
      </c>
      <c r="NX74" s="487"/>
      <c r="NY74" s="1"/>
      <c r="NZ74" s="487">
        <v>7.0666666666666673</v>
      </c>
      <c r="OA74" s="1">
        <v>1</v>
      </c>
      <c r="OB74" s="487">
        <v>-1.8666666666666669</v>
      </c>
      <c r="OC74" s="1">
        <v>0</v>
      </c>
      <c r="OD74" s="487">
        <v>-2.1500000000000004</v>
      </c>
      <c r="OE74" s="1">
        <v>0</v>
      </c>
      <c r="OF74" s="487"/>
      <c r="OG74" s="1"/>
      <c r="OH74" s="487"/>
      <c r="OI74" s="1"/>
      <c r="OJ74" s="487"/>
      <c r="OK74" s="1"/>
      <c r="OL74" s="487"/>
      <c r="OM74" s="1"/>
      <c r="ON74" s="487"/>
      <c r="OO74" s="1"/>
      <c r="OP74" s="487"/>
      <c r="OQ74" s="1"/>
      <c r="OR74" s="487">
        <v>-15.066666666666666</v>
      </c>
      <c r="OS74" s="1">
        <v>0</v>
      </c>
      <c r="OT74" s="487">
        <v>7.1833333333333327</v>
      </c>
      <c r="OU74" s="1">
        <v>1</v>
      </c>
      <c r="OV74" s="487"/>
      <c r="OW74" s="1"/>
      <c r="OX74" s="487">
        <v>7.0500000000000007</v>
      </c>
      <c r="OY74" s="1">
        <v>1</v>
      </c>
      <c r="OZ74" s="487">
        <v>-2.2499999999999996</v>
      </c>
      <c r="PA74" s="1">
        <v>0.66666666666666663</v>
      </c>
      <c r="PB74" s="487">
        <v>-29.93333333333333</v>
      </c>
      <c r="PC74" s="1">
        <v>0.5</v>
      </c>
      <c r="PD74" s="487">
        <v>22.266666666666666</v>
      </c>
      <c r="PE74" s="1">
        <v>0.8</v>
      </c>
      <c r="PF74" s="487">
        <v>19.916666666666668</v>
      </c>
      <c r="PG74" s="1">
        <v>0.75</v>
      </c>
      <c r="PH74" s="487">
        <v>3.3333333333336324E-2</v>
      </c>
      <c r="PI74" s="1">
        <v>0.5714285714285714</v>
      </c>
      <c r="PJ74" s="487">
        <v>20.233333333333334</v>
      </c>
      <c r="PK74" s="1">
        <v>0.75</v>
      </c>
      <c r="PL74" s="487"/>
      <c r="PM74" s="1"/>
      <c r="PN74" s="487"/>
      <c r="PO74" s="1"/>
      <c r="PP74" s="487">
        <v>-4.1999999999999993</v>
      </c>
      <c r="PQ74" s="1">
        <v>0.5</v>
      </c>
      <c r="PR74" s="487">
        <v>-60.25</v>
      </c>
      <c r="PS74" s="1">
        <v>0.2857142857142857</v>
      </c>
      <c r="PT74" s="487">
        <v>-32.233333333333348</v>
      </c>
      <c r="PU74" s="1">
        <v>0.375</v>
      </c>
      <c r="PV74" s="487">
        <v>-15.799999999999999</v>
      </c>
      <c r="PW74" s="1">
        <v>0.5</v>
      </c>
      <c r="PX74" s="487">
        <v>-13.533333333333335</v>
      </c>
      <c r="PY74" s="1">
        <v>0.5</v>
      </c>
      <c r="PZ74" s="487"/>
      <c r="QA74" s="1"/>
      <c r="QB74" s="487">
        <v>-15.100000000000001</v>
      </c>
      <c r="QC74" s="1">
        <v>0</v>
      </c>
      <c r="QD74" s="487">
        <v>5.9666666666666659</v>
      </c>
      <c r="QE74" s="1">
        <v>0.5714285714285714</v>
      </c>
      <c r="QF74" s="487">
        <v>15.533333333333331</v>
      </c>
      <c r="QG74" s="1">
        <v>0.83333333333333337</v>
      </c>
      <c r="QH74" s="487">
        <v>-53.983333333333334</v>
      </c>
      <c r="QI74" s="1">
        <v>0.25</v>
      </c>
      <c r="QJ74" s="487">
        <v>-18.650000000000002</v>
      </c>
      <c r="QK74" s="1">
        <v>0.42857142857142855</v>
      </c>
      <c r="QL74" s="487">
        <v>8.6499999999999986</v>
      </c>
      <c r="QM74" s="1">
        <v>0.45454545454545453</v>
      </c>
      <c r="QN74" s="487">
        <v>8.2333333333333343</v>
      </c>
      <c r="QO74" s="1">
        <v>0.66666666666666663</v>
      </c>
      <c r="QP74" s="487">
        <v>7.3999999999999995</v>
      </c>
      <c r="QQ74" s="1">
        <v>0.5714285714285714</v>
      </c>
      <c r="QR74" s="487">
        <v>-20.866666666666667</v>
      </c>
      <c r="QS74" s="1">
        <v>0.4</v>
      </c>
      <c r="QT74" s="487">
        <v>-6.7666666666666675</v>
      </c>
      <c r="QU74" s="1">
        <v>0.6</v>
      </c>
      <c r="QV74" s="487">
        <v>2.5</v>
      </c>
      <c r="QW74" s="1">
        <v>0.6</v>
      </c>
      <c r="QX74" s="487">
        <v>-6.2166666666666668</v>
      </c>
      <c r="QY74" s="1">
        <v>0.6</v>
      </c>
      <c r="QZ74" s="487">
        <v>-11.966666666666663</v>
      </c>
      <c r="RA74" s="1">
        <v>0.375</v>
      </c>
      <c r="RB74" s="487">
        <v>-8.1666666666666679</v>
      </c>
      <c r="RC74" s="1">
        <v>0.4</v>
      </c>
      <c r="RD74" s="487">
        <v>-30.700000000000003</v>
      </c>
      <c r="RE74" s="1">
        <v>0.2857142857142857</v>
      </c>
      <c r="RF74" s="487">
        <v>-11.916666666666668</v>
      </c>
      <c r="RG74" s="1">
        <v>0.33333333333333331</v>
      </c>
      <c r="RH74" s="487">
        <v>-0.85000000000000009</v>
      </c>
      <c r="RI74" s="1">
        <v>0</v>
      </c>
      <c r="RJ74" s="487">
        <v>-4.866666666666668</v>
      </c>
      <c r="RK74" s="1">
        <v>0.625</v>
      </c>
      <c r="RL74" s="487"/>
      <c r="RM74" s="1"/>
      <c r="RN74" s="487">
        <v>-2.4166666666666652</v>
      </c>
      <c r="RO74" s="1">
        <v>0.45454545454545453</v>
      </c>
      <c r="RP74" s="487">
        <v>-14.266666666666667</v>
      </c>
      <c r="RQ74" s="1">
        <v>0.25</v>
      </c>
      <c r="RR74" s="487"/>
      <c r="RS74" s="1"/>
      <c r="RT74" s="487">
        <v>21.666666666666668</v>
      </c>
      <c r="RU74" s="1">
        <v>0.875</v>
      </c>
      <c r="RV74" s="487">
        <v>5.2499999999999991</v>
      </c>
      <c r="RW74" s="1">
        <v>0.5</v>
      </c>
      <c r="RX74" s="487">
        <v>7.8333333333333339</v>
      </c>
      <c r="RY74" s="1">
        <v>0.6</v>
      </c>
      <c r="RZ74" s="487">
        <v>0.55000000000000016</v>
      </c>
      <c r="SA74" s="1">
        <v>0.625</v>
      </c>
      <c r="SB74" s="487">
        <v>29.316666666666674</v>
      </c>
      <c r="SC74" s="1">
        <v>1</v>
      </c>
      <c r="SD74" s="487"/>
      <c r="SE74" s="1"/>
      <c r="SF74" s="487">
        <v>7.3000000000000016</v>
      </c>
      <c r="SG74" s="1">
        <v>0.5</v>
      </c>
      <c r="SH74" s="487">
        <v>-32.800000000000004</v>
      </c>
      <c r="SI74" s="1">
        <v>0.2</v>
      </c>
      <c r="SJ74" s="487">
        <v>-18.216666666666669</v>
      </c>
      <c r="SK74" s="1">
        <v>0</v>
      </c>
      <c r="SL74" s="487">
        <v>18.933333333333334</v>
      </c>
      <c r="SM74" s="1">
        <v>0.7142857142857143</v>
      </c>
      <c r="SN74" s="487">
        <v>8.2500000000000036</v>
      </c>
      <c r="SO74" s="1">
        <v>0.6</v>
      </c>
      <c r="SP74" s="487">
        <v>2.6166666666666667</v>
      </c>
      <c r="SQ74" s="1">
        <v>1</v>
      </c>
      <c r="SR74" s="487">
        <v>-27.4</v>
      </c>
      <c r="SS74" s="1">
        <v>0.4</v>
      </c>
      <c r="ST74" s="487">
        <v>-4.9833333333333343</v>
      </c>
      <c r="SU74" s="1">
        <v>0.5</v>
      </c>
      <c r="SV74" s="487">
        <v>-7.166666666666667</v>
      </c>
      <c r="SW74" s="1">
        <v>0.2857142857142857</v>
      </c>
      <c r="SX74" s="487">
        <v>-17.05</v>
      </c>
      <c r="SY74" s="1">
        <v>0.33333333333333331</v>
      </c>
      <c r="SZ74" s="487">
        <v>11.400000000000002</v>
      </c>
      <c r="TA74" s="1">
        <v>0.83333333333333337</v>
      </c>
      <c r="TB74" s="487">
        <v>-0.19999999999999724</v>
      </c>
      <c r="TC74" s="1">
        <v>0.5714285714285714</v>
      </c>
      <c r="TD74" s="487">
        <v>-5</v>
      </c>
      <c r="TE74" s="1">
        <v>0.5</v>
      </c>
      <c r="TF74" s="487">
        <v>-30</v>
      </c>
      <c r="TG74" s="1">
        <v>0</v>
      </c>
      <c r="TH74" s="488">
        <v>-2.5500000000000007</v>
      </c>
      <c r="TI74" s="1">
        <v>0.5</v>
      </c>
      <c r="TJ74" s="489">
        <v>-35.833333333333336</v>
      </c>
      <c r="TK74" s="1">
        <v>0</v>
      </c>
      <c r="TL74" s="490">
        <v>-6.6</v>
      </c>
      <c r="TM74" s="1">
        <v>0.5</v>
      </c>
      <c r="TN74" s="495">
        <v>13.433333333333335</v>
      </c>
      <c r="TO74" s="1">
        <v>0.66666666666666663</v>
      </c>
      <c r="TP74" s="500">
        <v>3.6833333333333336</v>
      </c>
      <c r="TQ74" s="1">
        <v>1</v>
      </c>
      <c r="TR74" s="511">
        <v>-1.9000000000000004</v>
      </c>
      <c r="TS74" s="1">
        <v>0.5</v>
      </c>
      <c r="TT74" s="515">
        <v>-46.433333333333337</v>
      </c>
      <c r="TU74" s="1">
        <v>0.14285714285714285</v>
      </c>
      <c r="TV74" s="518">
        <v>-5.35</v>
      </c>
      <c r="TW74" s="1">
        <v>0.6</v>
      </c>
      <c r="TX74" s="521"/>
      <c r="TY74" s="1"/>
      <c r="TZ74" s="524">
        <v>5.9333333333333345</v>
      </c>
      <c r="UA74" s="1">
        <v>0.5714285714285714</v>
      </c>
      <c r="UB74" s="527">
        <v>-7.2333333333333352</v>
      </c>
      <c r="UC74" s="1">
        <v>0.4</v>
      </c>
      <c r="UD74" s="530">
        <v>-43.766666666666673</v>
      </c>
      <c r="UE74" s="1">
        <v>0.2</v>
      </c>
      <c r="UF74" s="533">
        <v>7.45</v>
      </c>
      <c r="UG74" s="1">
        <v>0.5</v>
      </c>
      <c r="UH74" s="536">
        <v>-24.933333333333337</v>
      </c>
      <c r="UI74" s="1">
        <v>0.33333333333333331</v>
      </c>
      <c r="UJ74" s="539">
        <v>-36.466666666666661</v>
      </c>
      <c r="UK74" s="1">
        <v>0.2</v>
      </c>
      <c r="UL74" s="540">
        <v>9.4500000000000011</v>
      </c>
      <c r="UM74" s="1">
        <v>0.5</v>
      </c>
      <c r="UN74" s="543">
        <v>-10.966666666666667</v>
      </c>
      <c r="UO74" s="1">
        <v>0.42857142857142855</v>
      </c>
      <c r="UP74" s="544">
        <v>-26.5</v>
      </c>
      <c r="UQ74" s="1">
        <v>0.2</v>
      </c>
      <c r="UR74" s="551"/>
      <c r="US74" s="1"/>
      <c r="UT74" s="551">
        <v>1.5000000000000007</v>
      </c>
      <c r="UU74" s="1">
        <v>0.4</v>
      </c>
      <c r="UV74" s="562">
        <v>-8.0666666666666647</v>
      </c>
      <c r="UW74" s="1">
        <v>0.5</v>
      </c>
      <c r="UX74" s="566">
        <v>-26.150000000000002</v>
      </c>
      <c r="UY74" s="1">
        <v>0.33333333333333331</v>
      </c>
      <c r="UZ74" s="568">
        <v>16.7</v>
      </c>
      <c r="VA74" s="1">
        <v>0.5714285714285714</v>
      </c>
      <c r="VB74" s="572">
        <v>15.500000000000002</v>
      </c>
      <c r="VC74" s="1">
        <v>1</v>
      </c>
      <c r="VD74" s="576">
        <v>17.55</v>
      </c>
      <c r="VE74" s="1">
        <v>0.55555555555555558</v>
      </c>
      <c r="VF74" s="580">
        <v>5.4833333333333334</v>
      </c>
      <c r="VG74" s="1">
        <v>0.6</v>
      </c>
      <c r="VH74" s="584">
        <v>10.050000000000001</v>
      </c>
      <c r="VI74" s="1">
        <v>0.8</v>
      </c>
      <c r="VJ74" s="589">
        <v>7.8666666666666663</v>
      </c>
      <c r="VK74" s="1">
        <v>1</v>
      </c>
      <c r="VL74" s="593">
        <v>-42.06666666666667</v>
      </c>
      <c r="VM74" s="1">
        <v>0.2</v>
      </c>
      <c r="VN74" s="597">
        <v>8.0833333333333321</v>
      </c>
      <c r="VO74" s="1">
        <v>0.66666666666666663</v>
      </c>
      <c r="VP74" s="601">
        <v>-43.150000000000006</v>
      </c>
      <c r="VQ74" s="1">
        <v>0.14285714285714285</v>
      </c>
      <c r="VR74" s="603">
        <v>8.7999999999999989</v>
      </c>
      <c r="VS74" s="1">
        <v>0.6</v>
      </c>
      <c r="VT74" s="607">
        <v>-16.183333333333337</v>
      </c>
      <c r="VU74" s="1">
        <v>0.2</v>
      </c>
      <c r="VV74" s="609"/>
      <c r="VW74" s="1"/>
      <c r="VX74" s="613"/>
      <c r="VY74" s="1"/>
      <c r="VZ74" s="617">
        <v>1.8000000000000003</v>
      </c>
      <c r="WA74" s="1">
        <v>1</v>
      </c>
      <c r="WB74" s="619"/>
      <c r="WC74" s="1"/>
      <c r="WD74" s="624">
        <v>-2.5999999999999992</v>
      </c>
      <c r="WE74" s="1">
        <v>0.625</v>
      </c>
      <c r="WF74" s="626"/>
      <c r="WG74" s="1"/>
      <c r="WH74" s="630">
        <v>7.7166666666666668</v>
      </c>
      <c r="WI74" s="1">
        <v>1</v>
      </c>
      <c r="WJ74" s="636">
        <v>0.28333333333333177</v>
      </c>
      <c r="WK74" s="1">
        <v>0.4</v>
      </c>
      <c r="WL74" s="638"/>
      <c r="WM74" s="1"/>
      <c r="WN74" s="642">
        <v>-0.46666666666666673</v>
      </c>
      <c r="WO74" s="1">
        <v>0</v>
      </c>
      <c r="WP74" s="646">
        <v>-7.866666666666668</v>
      </c>
      <c r="WQ74" s="1">
        <v>0.5</v>
      </c>
      <c r="WR74" s="652">
        <v>-3.8166666666666669</v>
      </c>
      <c r="WS74" s="1">
        <v>0</v>
      </c>
      <c r="WT74" s="659">
        <v>13.766666666666667</v>
      </c>
      <c r="WU74" s="1">
        <v>0.8</v>
      </c>
      <c r="WV74" s="659">
        <v>-8.1833333333333336</v>
      </c>
      <c r="WW74" s="1">
        <v>0.2</v>
      </c>
      <c r="WX74" s="672">
        <v>2.5999999999999979</v>
      </c>
      <c r="WY74" s="1">
        <v>0.44444444444444442</v>
      </c>
      <c r="WZ74" s="677"/>
      <c r="XA74" s="1"/>
      <c r="XB74" s="681">
        <v>-27.866666666666667</v>
      </c>
      <c r="XC74" s="1">
        <v>0.33333333333333331</v>
      </c>
      <c r="XD74" s="683">
        <v>-13</v>
      </c>
      <c r="XE74" s="1">
        <v>0.4</v>
      </c>
      <c r="XF74" s="687">
        <v>-2.1166666666666671</v>
      </c>
      <c r="XG74" s="1">
        <v>0.5</v>
      </c>
      <c r="XH74" s="689"/>
      <c r="XI74" s="1"/>
      <c r="XJ74" s="696">
        <v>-43.666666666666664</v>
      </c>
      <c r="XK74" s="1">
        <v>0.22222222222222221</v>
      </c>
      <c r="XL74" s="696">
        <v>-6.1000000000000005</v>
      </c>
      <c r="XM74" s="1">
        <v>0</v>
      </c>
      <c r="XN74" s="696">
        <v>-3.9666666666666681</v>
      </c>
      <c r="XO74" s="1">
        <v>0.5714285714285714</v>
      </c>
      <c r="XP74" s="700">
        <v>9.0500000000000007</v>
      </c>
      <c r="XQ74" s="1">
        <v>0.75</v>
      </c>
      <c r="XR74" s="705">
        <v>-4.4333333333333336</v>
      </c>
      <c r="XS74" s="1">
        <v>0</v>
      </c>
      <c r="XT74" s="709">
        <v>2.7833333333333332</v>
      </c>
      <c r="XU74" s="1">
        <v>1</v>
      </c>
      <c r="XV74" s="715"/>
      <c r="XW74" s="1"/>
    </row>
    <row r="75" spans="2:647" x14ac:dyDescent="0.25">
      <c r="B75" s="755"/>
      <c r="C75" s="763"/>
      <c r="D75" s="755"/>
      <c r="E75" s="755"/>
      <c r="F75" s="482">
        <v>0.7</v>
      </c>
      <c r="G75" s="475" t="s">
        <v>49</v>
      </c>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c r="BU75" s="6"/>
      <c r="BV75" s="6"/>
      <c r="BW75" s="6"/>
      <c r="BX75" s="6"/>
      <c r="BY75" s="95"/>
      <c r="BZ75" s="6"/>
      <c r="CA75" s="95"/>
      <c r="CB75" s="6"/>
      <c r="CC75" s="95"/>
      <c r="CD75" s="6"/>
      <c r="CE75" s="95"/>
      <c r="CF75" s="6"/>
      <c r="CG75" s="95"/>
      <c r="CH75" s="6"/>
      <c r="CI75" s="95"/>
      <c r="CJ75" s="6"/>
      <c r="CK75" s="95"/>
      <c r="CL75" s="6"/>
      <c r="CM75" s="95"/>
      <c r="CN75" s="6"/>
      <c r="CO75" s="95"/>
      <c r="CP75" s="6"/>
      <c r="CQ75" s="95"/>
      <c r="CR75" s="6"/>
      <c r="CS75" s="95"/>
      <c r="CT75" s="6"/>
      <c r="CU75" s="95"/>
      <c r="CV75" s="6"/>
      <c r="CW75" s="95"/>
      <c r="CX75" s="6"/>
      <c r="CY75" s="95"/>
      <c r="CZ75" s="6"/>
      <c r="DA75" s="95"/>
      <c r="DB75" s="6"/>
      <c r="DC75" s="95"/>
      <c r="DD75" s="6"/>
      <c r="DE75" s="95"/>
      <c r="DF75" s="6"/>
      <c r="DG75" s="95"/>
      <c r="DH75" s="6"/>
      <c r="DI75" s="95"/>
      <c r="DJ75" s="6"/>
      <c r="DK75" s="95"/>
      <c r="DL75" s="6"/>
      <c r="DM75" s="95"/>
      <c r="DN75" s="6"/>
      <c r="DO75" s="95"/>
      <c r="DP75" s="6"/>
      <c r="DQ75" s="95"/>
      <c r="DR75" s="6"/>
      <c r="DS75" s="95"/>
      <c r="DT75" s="6"/>
      <c r="DU75" s="95"/>
      <c r="DV75" s="6"/>
      <c r="DW75" s="95"/>
      <c r="DX75" s="6"/>
      <c r="DY75" s="95"/>
      <c r="DZ75" s="6"/>
      <c r="EA75" s="95"/>
      <c r="EB75" s="6"/>
      <c r="EC75" s="95"/>
      <c r="ED75" s="6"/>
      <c r="EE75" s="95"/>
      <c r="EF75" s="6"/>
      <c r="EG75" s="95"/>
      <c r="EH75" s="6"/>
      <c r="EI75" s="95"/>
      <c r="EJ75" s="6"/>
      <c r="EK75" s="95"/>
      <c r="EL75" s="6"/>
      <c r="EM75" s="95"/>
      <c r="EN75" s="6"/>
      <c r="EO75" s="95"/>
      <c r="EP75" s="6"/>
      <c r="EQ75" s="95"/>
      <c r="ER75" s="487"/>
      <c r="ES75" s="1"/>
      <c r="ET75" s="487"/>
      <c r="EU75" s="1"/>
      <c r="EV75" s="487"/>
      <c r="EW75" s="1"/>
      <c r="EX75" s="487"/>
      <c r="EY75" s="1"/>
      <c r="EZ75" s="487"/>
      <c r="FA75" s="1"/>
      <c r="FB75" s="487"/>
      <c r="FC75" s="1"/>
      <c r="FD75" s="487"/>
      <c r="FE75" s="1"/>
      <c r="FF75" s="487"/>
      <c r="FG75" s="1"/>
      <c r="FH75" s="487"/>
      <c r="FI75" s="1"/>
      <c r="FJ75" s="487"/>
      <c r="FK75" s="1"/>
      <c r="FL75" s="487"/>
      <c r="FM75" s="1"/>
      <c r="FN75" s="487"/>
      <c r="FO75" s="1"/>
      <c r="FP75" s="487"/>
      <c r="FQ75" s="1"/>
      <c r="FR75" s="487"/>
      <c r="FS75" s="1"/>
      <c r="FT75" s="487"/>
      <c r="FU75" s="1"/>
      <c r="FV75" s="487"/>
      <c r="FW75" s="1"/>
      <c r="FX75" s="487"/>
      <c r="FY75" s="1"/>
      <c r="FZ75" s="487"/>
      <c r="GA75" s="1"/>
      <c r="GB75" s="487"/>
      <c r="GC75" s="1"/>
      <c r="GD75" s="487"/>
      <c r="GE75" s="1"/>
      <c r="GF75" s="487"/>
      <c r="GG75" s="1"/>
      <c r="GH75" s="487"/>
      <c r="GI75" s="1"/>
      <c r="GJ75" s="487"/>
      <c r="GK75" s="1"/>
      <c r="GL75" s="487"/>
      <c r="GM75" s="1"/>
      <c r="GN75" s="487"/>
      <c r="GO75" s="1"/>
      <c r="GP75" s="487"/>
      <c r="GQ75" s="1"/>
      <c r="GR75" s="487"/>
      <c r="GS75" s="1"/>
      <c r="GT75" s="487"/>
      <c r="GU75" s="1"/>
      <c r="GV75" s="487"/>
      <c r="GW75" s="1"/>
      <c r="GX75" s="487"/>
      <c r="GY75" s="1"/>
      <c r="GZ75" s="487"/>
      <c r="HA75" s="1"/>
      <c r="HB75" s="487"/>
      <c r="HC75" s="1"/>
      <c r="HD75" s="487"/>
      <c r="HE75" s="1"/>
      <c r="HF75" s="487"/>
      <c r="HG75" s="1"/>
      <c r="HH75" s="487"/>
      <c r="HI75" s="1"/>
      <c r="HJ75" s="487"/>
      <c r="HK75" s="1"/>
      <c r="HL75" s="487"/>
      <c r="HM75" s="1"/>
      <c r="HN75" s="487"/>
      <c r="HO75" s="1"/>
      <c r="HP75" s="487"/>
      <c r="HQ75" s="1"/>
      <c r="HR75" s="487"/>
      <c r="HS75" s="1"/>
      <c r="HT75" s="487"/>
      <c r="HU75" s="1"/>
      <c r="HV75" s="487"/>
      <c r="HW75" s="1"/>
      <c r="HX75" s="487"/>
      <c r="HY75" s="1"/>
      <c r="HZ75" s="487"/>
      <c r="IA75" s="1"/>
      <c r="IB75" s="487"/>
      <c r="IC75" s="1"/>
      <c r="ID75" s="487"/>
      <c r="IE75" s="1"/>
      <c r="IF75" s="487"/>
      <c r="IG75" s="1"/>
      <c r="IH75" s="487"/>
      <c r="II75" s="1"/>
      <c r="IJ75" s="487"/>
      <c r="IK75" s="1"/>
      <c r="IL75" s="487"/>
      <c r="IM75" s="1"/>
      <c r="IN75" s="487"/>
      <c r="IO75" s="1"/>
      <c r="IP75" s="487"/>
      <c r="IQ75" s="1"/>
      <c r="IR75" s="487"/>
      <c r="IS75" s="1"/>
      <c r="IT75" s="487"/>
      <c r="IU75" s="1"/>
      <c r="IV75" s="487"/>
      <c r="IW75" s="1"/>
      <c r="IX75" s="487"/>
      <c r="IY75" s="1"/>
      <c r="IZ75" s="487"/>
      <c r="JA75" s="1"/>
      <c r="JB75" s="487"/>
      <c r="JC75" s="1"/>
      <c r="JD75" s="487"/>
      <c r="JE75" s="1"/>
      <c r="JF75" s="487"/>
      <c r="JG75" s="1"/>
      <c r="JH75" s="487"/>
      <c r="JI75" s="1"/>
      <c r="JJ75" s="487"/>
      <c r="JK75" s="1"/>
      <c r="JL75" s="487"/>
      <c r="JM75" s="1"/>
      <c r="JN75" s="487"/>
      <c r="JO75" s="1"/>
      <c r="JP75" s="487"/>
      <c r="JQ75" s="1"/>
      <c r="JR75" s="487"/>
      <c r="JS75" s="1"/>
      <c r="JT75" s="487"/>
      <c r="JU75" s="1"/>
      <c r="JV75" s="487"/>
      <c r="JW75" s="1"/>
      <c r="JX75" s="487"/>
      <c r="JY75" s="1"/>
      <c r="JZ75" s="487"/>
      <c r="KA75" s="1"/>
      <c r="KB75" s="487"/>
      <c r="KC75" s="1"/>
      <c r="KD75" s="487"/>
      <c r="KE75" s="1"/>
      <c r="KF75" s="487"/>
      <c r="KG75" s="1"/>
      <c r="KH75" s="487"/>
      <c r="KI75" s="1"/>
      <c r="KJ75" s="487"/>
      <c r="KK75" s="1"/>
      <c r="KL75" s="487"/>
      <c r="KM75" s="1"/>
      <c r="KN75" s="487"/>
      <c r="KO75" s="1"/>
      <c r="KP75" s="487"/>
      <c r="KQ75" s="1"/>
      <c r="KR75" s="487"/>
      <c r="KS75" s="1"/>
      <c r="KT75" s="487"/>
      <c r="KU75" s="1"/>
      <c r="KV75" s="487"/>
      <c r="KW75" s="1"/>
      <c r="KX75" s="487"/>
      <c r="KY75" s="1"/>
      <c r="KZ75" s="487"/>
      <c r="LA75" s="1"/>
      <c r="LB75" s="487"/>
      <c r="LC75" s="1"/>
      <c r="LD75" s="487"/>
      <c r="LE75" s="1"/>
      <c r="LF75" s="487"/>
      <c r="LG75" s="1"/>
      <c r="LH75" s="487"/>
      <c r="LI75" s="1"/>
      <c r="LJ75" s="487"/>
      <c r="LK75" s="1"/>
      <c r="LL75" s="487"/>
      <c r="LM75" s="1"/>
      <c r="LN75" s="487">
        <v>4.7428571428571429</v>
      </c>
      <c r="LO75" s="1">
        <v>1</v>
      </c>
      <c r="LP75" s="487">
        <v>6.9857142857142858</v>
      </c>
      <c r="LQ75" s="1">
        <v>1</v>
      </c>
      <c r="LR75" s="487">
        <v>5.8428571428571434</v>
      </c>
      <c r="LS75" s="1">
        <v>1</v>
      </c>
      <c r="LT75" s="487"/>
      <c r="LU75" s="1"/>
      <c r="LV75" s="487"/>
      <c r="LW75" s="1"/>
      <c r="LX75" s="487"/>
      <c r="LY75" s="1"/>
      <c r="LZ75" s="487"/>
      <c r="MA75" s="1"/>
      <c r="MB75" s="487">
        <v>-11.614285714285716</v>
      </c>
      <c r="MC75" s="1">
        <v>0</v>
      </c>
      <c r="MD75" s="487"/>
      <c r="ME75" s="1"/>
      <c r="MF75" s="487">
        <v>8.3714285714285719</v>
      </c>
      <c r="MG75" s="1">
        <v>1</v>
      </c>
      <c r="MH75" s="487">
        <v>7.1714285714285717</v>
      </c>
      <c r="MI75" s="1">
        <v>1</v>
      </c>
      <c r="MJ75" s="487"/>
      <c r="MK75" s="1"/>
      <c r="ML75" s="487"/>
      <c r="MM75" s="1"/>
      <c r="MN75" s="487">
        <v>7.9571428571428582</v>
      </c>
      <c r="MO75" s="1">
        <v>1</v>
      </c>
      <c r="MP75" s="487">
        <v>-12.157142857142858</v>
      </c>
      <c r="MQ75" s="1">
        <v>0</v>
      </c>
      <c r="MR75" s="487">
        <v>6.8571428571428577</v>
      </c>
      <c r="MS75" s="1">
        <v>1</v>
      </c>
      <c r="MT75" s="487">
        <v>-15.242857142857144</v>
      </c>
      <c r="MU75" s="1">
        <v>0</v>
      </c>
      <c r="MV75" s="487">
        <v>2.8000000000000003</v>
      </c>
      <c r="MW75" s="1">
        <v>1</v>
      </c>
      <c r="MX75" s="487">
        <v>-15.285714285714286</v>
      </c>
      <c r="MY75" s="1">
        <v>0</v>
      </c>
      <c r="MZ75" s="487"/>
      <c r="NA75" s="1"/>
      <c r="NB75" s="487"/>
      <c r="NC75" s="1"/>
      <c r="ND75" s="487"/>
      <c r="NE75" s="1"/>
      <c r="NF75" s="487">
        <v>-15.057142857142857</v>
      </c>
      <c r="NG75" s="1">
        <v>0</v>
      </c>
      <c r="NH75" s="487">
        <v>-15.057142857142857</v>
      </c>
      <c r="NI75" s="1">
        <v>0</v>
      </c>
      <c r="NJ75" s="487"/>
      <c r="NK75" s="1"/>
      <c r="NL75" s="487"/>
      <c r="NM75" s="1"/>
      <c r="NN75" s="487">
        <v>-1.0142857142857142</v>
      </c>
      <c r="NO75" s="1">
        <v>0</v>
      </c>
      <c r="NP75" s="487"/>
      <c r="NQ75" s="1"/>
      <c r="NR75" s="487">
        <v>-10.757142857142858</v>
      </c>
      <c r="NS75" s="1">
        <v>0</v>
      </c>
      <c r="NT75" s="487">
        <v>-15.271428571428572</v>
      </c>
      <c r="NU75" s="1">
        <v>0</v>
      </c>
      <c r="NV75" s="487">
        <v>-14.971428571428573</v>
      </c>
      <c r="NW75" s="1">
        <v>0</v>
      </c>
      <c r="NX75" s="487"/>
      <c r="NY75" s="1"/>
      <c r="NZ75" s="487">
        <v>7.0571428571428578</v>
      </c>
      <c r="OA75" s="1">
        <v>1</v>
      </c>
      <c r="OB75" s="487">
        <v>-1.8714285714285717</v>
      </c>
      <c r="OC75" s="1">
        <v>0</v>
      </c>
      <c r="OD75" s="487">
        <v>-2.4285714285714288</v>
      </c>
      <c r="OE75" s="1">
        <v>0</v>
      </c>
      <c r="OF75" s="487"/>
      <c r="OG75" s="1"/>
      <c r="OH75" s="487"/>
      <c r="OI75" s="1"/>
      <c r="OJ75" s="487"/>
      <c r="OK75" s="1"/>
      <c r="OL75" s="487"/>
      <c r="OM75" s="1"/>
      <c r="ON75" s="487"/>
      <c r="OO75" s="1"/>
      <c r="OP75" s="487"/>
      <c r="OQ75" s="1"/>
      <c r="OR75" s="487">
        <v>-15.057142857142857</v>
      </c>
      <c r="OS75" s="1">
        <v>0</v>
      </c>
      <c r="OT75" s="487">
        <v>7.0000000000000009</v>
      </c>
      <c r="OU75" s="1">
        <v>1</v>
      </c>
      <c r="OV75" s="487"/>
      <c r="OW75" s="1"/>
      <c r="OX75" s="487">
        <v>7.0571428571428578</v>
      </c>
      <c r="OY75" s="1">
        <v>1</v>
      </c>
      <c r="OZ75" s="487">
        <v>-1.3857142857142855</v>
      </c>
      <c r="PA75" s="1">
        <v>0.66666666666666663</v>
      </c>
      <c r="PB75" s="487">
        <v>-7.4285714285714279</v>
      </c>
      <c r="PC75" s="1">
        <v>0.625</v>
      </c>
      <c r="PD75" s="487">
        <v>22.1</v>
      </c>
      <c r="PE75" s="1">
        <v>0.8</v>
      </c>
      <c r="PF75" s="487">
        <v>19.828571428571429</v>
      </c>
      <c r="PG75" s="1">
        <v>0.75</v>
      </c>
      <c r="PH75" s="487">
        <v>-1.4428571428571408</v>
      </c>
      <c r="PI75" s="1">
        <v>0.5714285714285714</v>
      </c>
      <c r="PJ75" s="487">
        <v>20.228571428571431</v>
      </c>
      <c r="PK75" s="1">
        <v>0.75</v>
      </c>
      <c r="PL75" s="487"/>
      <c r="PM75" s="1"/>
      <c r="PN75" s="487"/>
      <c r="PO75" s="1"/>
      <c r="PP75" s="487">
        <v>-4.2999999999999989</v>
      </c>
      <c r="PQ75" s="1">
        <v>0.5</v>
      </c>
      <c r="PR75" s="487">
        <v>-61.157142857142851</v>
      </c>
      <c r="PS75" s="1">
        <v>0.2857142857142857</v>
      </c>
      <c r="PT75" s="487">
        <v>-33.242857142857147</v>
      </c>
      <c r="PU75" s="1">
        <v>0.375</v>
      </c>
      <c r="PV75" s="487">
        <v>-15.857142857142859</v>
      </c>
      <c r="PW75" s="1">
        <v>0.5</v>
      </c>
      <c r="PX75" s="487">
        <v>-12.185714285714289</v>
      </c>
      <c r="PY75" s="1">
        <v>0.5</v>
      </c>
      <c r="PZ75" s="487"/>
      <c r="QA75" s="1"/>
      <c r="QB75" s="487">
        <v>-14.828571428571431</v>
      </c>
      <c r="QC75" s="1">
        <v>0</v>
      </c>
      <c r="QD75" s="487">
        <v>6.4714285714285724</v>
      </c>
      <c r="QE75" s="1">
        <v>0.5714285714285714</v>
      </c>
      <c r="QF75" s="487">
        <v>15.700000000000001</v>
      </c>
      <c r="QG75" s="1">
        <v>0.83333333333333337</v>
      </c>
      <c r="QH75" s="487">
        <v>-50.128571428571433</v>
      </c>
      <c r="QI75" s="1">
        <v>0.25</v>
      </c>
      <c r="QJ75" s="487">
        <v>-19.042857142857148</v>
      </c>
      <c r="QK75" s="1">
        <v>0.5714285714285714</v>
      </c>
      <c r="QL75" s="487">
        <v>9.5142857142857178</v>
      </c>
      <c r="QM75" s="1">
        <v>0.45454545454545453</v>
      </c>
      <c r="QN75" s="487">
        <v>8.8714285714285701</v>
      </c>
      <c r="QO75" s="1">
        <v>0.66666666666666663</v>
      </c>
      <c r="QP75" s="487">
        <v>5.5714285714285721</v>
      </c>
      <c r="QQ75" s="1">
        <v>0.5714285714285714</v>
      </c>
      <c r="QR75" s="487">
        <v>-20.314285714285717</v>
      </c>
      <c r="QS75" s="1">
        <v>0.4</v>
      </c>
      <c r="QT75" s="487">
        <v>-7.7857142857142856</v>
      </c>
      <c r="QU75" s="1">
        <v>0.6</v>
      </c>
      <c r="QV75" s="487">
        <v>1.3857142857142841</v>
      </c>
      <c r="QW75" s="1">
        <v>0.6</v>
      </c>
      <c r="QX75" s="487">
        <v>-6.0571428571428578</v>
      </c>
      <c r="QY75" s="1">
        <v>0.6</v>
      </c>
      <c r="QZ75" s="487">
        <v>-11.814285714285717</v>
      </c>
      <c r="RA75" s="1">
        <v>0.375</v>
      </c>
      <c r="RB75" s="487">
        <v>-8.3571428571428577</v>
      </c>
      <c r="RC75" s="1">
        <v>0.5</v>
      </c>
      <c r="RD75" s="487">
        <v>-30.400000000000009</v>
      </c>
      <c r="RE75" s="1">
        <v>0.2857142857142857</v>
      </c>
      <c r="RF75" s="487">
        <v>-11.442857142857147</v>
      </c>
      <c r="RG75" s="1">
        <v>0.33333333333333331</v>
      </c>
      <c r="RH75" s="487">
        <v>-0.75714285714285723</v>
      </c>
      <c r="RI75" s="1">
        <v>0</v>
      </c>
      <c r="RJ75" s="487">
        <v>-4.4000000000000004</v>
      </c>
      <c r="RK75" s="1">
        <v>0.625</v>
      </c>
      <c r="RL75" s="487"/>
      <c r="RM75" s="1"/>
      <c r="RN75" s="487">
        <v>-1.7999999999999992</v>
      </c>
      <c r="RO75" s="1">
        <v>0.54545454545454541</v>
      </c>
      <c r="RP75" s="487">
        <v>-14.442857142857143</v>
      </c>
      <c r="RQ75" s="1">
        <v>0.25</v>
      </c>
      <c r="RR75" s="487"/>
      <c r="RS75" s="1"/>
      <c r="RT75" s="487">
        <v>21.485714285714288</v>
      </c>
      <c r="RU75" s="1">
        <v>0.875</v>
      </c>
      <c r="RV75" s="487">
        <v>7.1142857142857157</v>
      </c>
      <c r="RW75" s="1">
        <v>0.5</v>
      </c>
      <c r="RX75" s="487">
        <v>8.2000000000000028</v>
      </c>
      <c r="RY75" s="1">
        <v>0.6</v>
      </c>
      <c r="RZ75" s="487">
        <v>-0.11428571428571185</v>
      </c>
      <c r="SA75" s="1">
        <v>0.625</v>
      </c>
      <c r="SB75" s="487">
        <v>29.528571428571432</v>
      </c>
      <c r="SC75" s="1">
        <v>1</v>
      </c>
      <c r="SD75" s="487"/>
      <c r="SE75" s="1"/>
      <c r="SF75" s="487">
        <v>8.014285714285716</v>
      </c>
      <c r="SG75" s="1">
        <v>0.5</v>
      </c>
      <c r="SH75" s="487">
        <v>-32.985714285714288</v>
      </c>
      <c r="SI75" s="1">
        <v>0.2</v>
      </c>
      <c r="SJ75" s="487">
        <v>-18.485714285714288</v>
      </c>
      <c r="SK75" s="1">
        <v>0</v>
      </c>
      <c r="SL75" s="487">
        <v>19.457142857142859</v>
      </c>
      <c r="SM75" s="1">
        <v>0.7142857142857143</v>
      </c>
      <c r="SN75" s="487">
        <v>8.5571428571428569</v>
      </c>
      <c r="SO75" s="1">
        <v>0.6</v>
      </c>
      <c r="SP75" s="487">
        <v>2.7142857142857144</v>
      </c>
      <c r="SQ75" s="1">
        <v>1</v>
      </c>
      <c r="SR75" s="487">
        <v>-27.485714285714284</v>
      </c>
      <c r="SS75" s="1">
        <v>0.4</v>
      </c>
      <c r="ST75" s="487">
        <v>-5.0857142857142872</v>
      </c>
      <c r="SU75" s="1">
        <v>0.5</v>
      </c>
      <c r="SV75" s="487">
        <v>-6.5000000000000018</v>
      </c>
      <c r="SW75" s="1">
        <v>0.2857142857142857</v>
      </c>
      <c r="SX75" s="487">
        <v>-17.728571428571431</v>
      </c>
      <c r="SY75" s="1">
        <v>0.33333333333333331</v>
      </c>
      <c r="SZ75" s="487">
        <v>11.642857142857144</v>
      </c>
      <c r="TA75" s="1">
        <v>0.83333333333333337</v>
      </c>
      <c r="TB75" s="487">
        <v>5.7285714285714313</v>
      </c>
      <c r="TC75" s="1">
        <v>0.5714285714285714</v>
      </c>
      <c r="TD75" s="487">
        <v>-5.1857142857142859</v>
      </c>
      <c r="TE75" s="1">
        <v>0.5</v>
      </c>
      <c r="TF75" s="487">
        <v>-30.400000000000002</v>
      </c>
      <c r="TG75" s="1">
        <v>0</v>
      </c>
      <c r="TH75" s="488">
        <v>-2.471428571428572</v>
      </c>
      <c r="TI75" s="1">
        <v>0.5</v>
      </c>
      <c r="TJ75" s="489">
        <v>-35.614285714285714</v>
      </c>
      <c r="TK75" s="1">
        <v>0</v>
      </c>
      <c r="TL75" s="490">
        <v>-6.5857142857142863</v>
      </c>
      <c r="TM75" s="1">
        <v>0.5</v>
      </c>
      <c r="TN75" s="495">
        <v>12.742857142857144</v>
      </c>
      <c r="TO75" s="1">
        <v>0.66666666666666663</v>
      </c>
      <c r="TP75" s="500">
        <v>3.6857142857142859</v>
      </c>
      <c r="TQ75" s="1">
        <v>1</v>
      </c>
      <c r="TR75" s="511">
        <v>-1.9714285714285713</v>
      </c>
      <c r="TS75" s="1">
        <v>0.5</v>
      </c>
      <c r="TT75" s="515">
        <v>-47.285714285714278</v>
      </c>
      <c r="TU75" s="1">
        <v>0.14285714285714285</v>
      </c>
      <c r="TV75" s="518">
        <v>-4.9000000000000004</v>
      </c>
      <c r="TW75" s="1">
        <v>0.6</v>
      </c>
      <c r="TX75" s="521"/>
      <c r="TY75" s="1"/>
      <c r="TZ75" s="524">
        <v>6.5857142857142854</v>
      </c>
      <c r="UA75" s="1">
        <v>0.5714285714285714</v>
      </c>
      <c r="UB75" s="527">
        <v>-7.6428571428571441</v>
      </c>
      <c r="UC75" s="1">
        <v>0.4</v>
      </c>
      <c r="UD75" s="530">
        <v>-43.414285714285711</v>
      </c>
      <c r="UE75" s="1">
        <v>0.2</v>
      </c>
      <c r="UF75" s="533">
        <v>6.4000000000000012</v>
      </c>
      <c r="UG75" s="1">
        <v>0.5</v>
      </c>
      <c r="UH75" s="536">
        <v>-24.842857142857145</v>
      </c>
      <c r="UI75" s="1">
        <v>0.33333333333333331</v>
      </c>
      <c r="UJ75" s="539">
        <v>-35.971428571428575</v>
      </c>
      <c r="UK75" s="1">
        <v>0.2</v>
      </c>
      <c r="UL75" s="540">
        <v>8.7857142857142865</v>
      </c>
      <c r="UM75" s="1">
        <v>0.5</v>
      </c>
      <c r="UN75" s="543">
        <v>-11.328571428571427</v>
      </c>
      <c r="UO75" s="1">
        <v>0.42857142857142855</v>
      </c>
      <c r="UP75" s="544">
        <v>-26.428571428571423</v>
      </c>
      <c r="UQ75" s="1">
        <v>0.2</v>
      </c>
      <c r="UR75" s="551"/>
      <c r="US75" s="1"/>
      <c r="UT75" s="551">
        <v>1.1285714285714288</v>
      </c>
      <c r="UU75" s="1">
        <v>0.4</v>
      </c>
      <c r="UV75" s="562">
        <v>-8.4571428571428591</v>
      </c>
      <c r="UW75" s="1">
        <v>0.5</v>
      </c>
      <c r="UX75" s="566">
        <v>-26.971428571428568</v>
      </c>
      <c r="UY75" s="1">
        <v>0.33333333333333331</v>
      </c>
      <c r="UZ75" s="568">
        <v>17.071428571428573</v>
      </c>
      <c r="VA75" s="1">
        <v>0.5714285714285714</v>
      </c>
      <c r="VB75" s="572">
        <v>14.55714285714286</v>
      </c>
      <c r="VC75" s="1">
        <v>1</v>
      </c>
      <c r="VD75" s="576">
        <v>17.542857142857144</v>
      </c>
      <c r="VE75" s="1">
        <v>0.55555555555555558</v>
      </c>
      <c r="VF75" s="580">
        <v>4.6142857142857139</v>
      </c>
      <c r="VG75" s="1">
        <v>0.6</v>
      </c>
      <c r="VH75" s="584">
        <v>9.6714285714285708</v>
      </c>
      <c r="VI75" s="1">
        <v>0.8</v>
      </c>
      <c r="VJ75" s="589">
        <v>7.4857142857142867</v>
      </c>
      <c r="VK75" s="1">
        <v>1</v>
      </c>
      <c r="VL75" s="593">
        <v>-42.1</v>
      </c>
      <c r="VM75" s="1">
        <v>0.2</v>
      </c>
      <c r="VN75" s="597">
        <v>7.9571428571428564</v>
      </c>
      <c r="VO75" s="1">
        <v>0.66666666666666663</v>
      </c>
      <c r="VP75" s="601">
        <v>-43.157142857142858</v>
      </c>
      <c r="VQ75" s="1">
        <v>0.14285714285714285</v>
      </c>
      <c r="VR75" s="603">
        <v>9.1857142857142851</v>
      </c>
      <c r="VS75" s="1">
        <v>0.6</v>
      </c>
      <c r="VT75" s="607">
        <v>-15.685714285714285</v>
      </c>
      <c r="VU75" s="1">
        <v>0.2</v>
      </c>
      <c r="VV75" s="609"/>
      <c r="VW75" s="1"/>
      <c r="VX75" s="613"/>
      <c r="VY75" s="1"/>
      <c r="VZ75" s="617">
        <v>1.9142857142857146</v>
      </c>
      <c r="WA75" s="1">
        <v>1</v>
      </c>
      <c r="WB75" s="619"/>
      <c r="WC75" s="1"/>
      <c r="WD75" s="624">
        <v>-4.2285714285714278</v>
      </c>
      <c r="WE75" s="1">
        <v>0.625</v>
      </c>
      <c r="WF75" s="626"/>
      <c r="WG75" s="1"/>
      <c r="WH75" s="630">
        <v>7.1428571428571432</v>
      </c>
      <c r="WI75" s="1">
        <v>1</v>
      </c>
      <c r="WJ75" s="636">
        <v>0.30000000000000121</v>
      </c>
      <c r="WK75" s="1">
        <v>0.4</v>
      </c>
      <c r="WL75" s="638"/>
      <c r="WM75" s="1"/>
      <c r="WN75" s="642">
        <v>-0.3</v>
      </c>
      <c r="WO75" s="1">
        <v>0</v>
      </c>
      <c r="WP75" s="646">
        <v>-7.4714285714285724</v>
      </c>
      <c r="WQ75" s="1">
        <v>0.5</v>
      </c>
      <c r="WR75" s="652">
        <v>-3.5428571428571431</v>
      </c>
      <c r="WS75" s="1">
        <v>0</v>
      </c>
      <c r="WT75" s="659">
        <v>13.671428571428573</v>
      </c>
      <c r="WU75" s="1">
        <v>0.8</v>
      </c>
      <c r="WV75" s="659">
        <v>-9.0571428571428569</v>
      </c>
      <c r="WW75" s="1">
        <v>0.2</v>
      </c>
      <c r="WX75" s="672">
        <v>2.3142857142857198</v>
      </c>
      <c r="WY75" s="1">
        <v>0.44444444444444442</v>
      </c>
      <c r="WZ75" s="677"/>
      <c r="XA75" s="1"/>
      <c r="XB75" s="681">
        <v>-18.457142857142852</v>
      </c>
      <c r="XC75" s="1">
        <v>0.44444444444444442</v>
      </c>
      <c r="XD75" s="683">
        <v>-11.742857142857144</v>
      </c>
      <c r="XE75" s="1">
        <v>0.4</v>
      </c>
      <c r="XF75" s="687">
        <v>-2.3142857142857141</v>
      </c>
      <c r="XG75" s="1">
        <v>0.5</v>
      </c>
      <c r="XH75" s="689"/>
      <c r="XI75" s="1"/>
      <c r="XJ75" s="696">
        <v>-44.171428571428571</v>
      </c>
      <c r="XK75" s="1">
        <v>0.22222222222222221</v>
      </c>
      <c r="XL75" s="696">
        <v>-6.6857142857142859</v>
      </c>
      <c r="XM75" s="1">
        <v>0</v>
      </c>
      <c r="XN75" s="696">
        <v>-4.4142857142857128</v>
      </c>
      <c r="XO75" s="1">
        <v>0.5714285714285714</v>
      </c>
      <c r="XP75" s="700">
        <v>9.3142857142857149</v>
      </c>
      <c r="XQ75" s="1">
        <v>0.75</v>
      </c>
      <c r="XR75" s="705">
        <v>-4.2285714285714286</v>
      </c>
      <c r="XS75" s="1">
        <v>0</v>
      </c>
      <c r="XT75" s="709">
        <v>2.785714285714286</v>
      </c>
      <c r="XU75" s="1">
        <v>1</v>
      </c>
      <c r="XV75" s="715"/>
      <c r="XW75" s="1"/>
    </row>
    <row r="76" spans="2:647" x14ac:dyDescent="0.25">
      <c r="B76" s="755"/>
      <c r="C76" s="763"/>
      <c r="D76" s="755" t="s">
        <v>47</v>
      </c>
      <c r="E76" s="755"/>
      <c r="F76" s="482">
        <v>0.8</v>
      </c>
      <c r="G76" s="475" t="s">
        <v>42</v>
      </c>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6"/>
      <c r="BX76" s="6"/>
      <c r="BY76" s="95"/>
      <c r="BZ76" s="6"/>
      <c r="CA76" s="95"/>
      <c r="CB76" s="6"/>
      <c r="CC76" s="95"/>
      <c r="CD76" s="6"/>
      <c r="CE76" s="95"/>
      <c r="CF76" s="6"/>
      <c r="CG76" s="95"/>
      <c r="CH76" s="6"/>
      <c r="CI76" s="95"/>
      <c r="CJ76" s="6"/>
      <c r="CK76" s="95"/>
      <c r="CL76" s="6"/>
      <c r="CM76" s="95"/>
      <c r="CN76" s="6"/>
      <c r="CO76" s="95"/>
      <c r="CP76" s="6"/>
      <c r="CQ76" s="95"/>
      <c r="CR76" s="6"/>
      <c r="CS76" s="95"/>
      <c r="CT76" s="6"/>
      <c r="CU76" s="95"/>
      <c r="CV76" s="6"/>
      <c r="CW76" s="95"/>
      <c r="CX76" s="6"/>
      <c r="CY76" s="95"/>
      <c r="CZ76" s="6"/>
      <c r="DA76" s="95"/>
      <c r="DB76" s="6"/>
      <c r="DC76" s="95"/>
      <c r="DD76" s="6"/>
      <c r="DE76" s="95"/>
      <c r="DF76" s="6"/>
      <c r="DG76" s="95"/>
      <c r="DH76" s="6"/>
      <c r="DI76" s="95"/>
      <c r="DJ76" s="6"/>
      <c r="DK76" s="95"/>
      <c r="DL76" s="6"/>
      <c r="DM76" s="95"/>
      <c r="DN76" s="6"/>
      <c r="DO76" s="95"/>
      <c r="DP76" s="6"/>
      <c r="DQ76" s="95"/>
      <c r="DR76" s="6"/>
      <c r="DS76" s="95"/>
      <c r="DT76" s="6"/>
      <c r="DU76" s="95"/>
      <c r="DV76" s="6"/>
      <c r="DW76" s="95"/>
      <c r="DX76" s="6"/>
      <c r="DY76" s="95"/>
      <c r="DZ76" s="6"/>
      <c r="EA76" s="95"/>
      <c r="EB76" s="6"/>
      <c r="EC76" s="95"/>
      <c r="ED76" s="6"/>
      <c r="EE76" s="95"/>
      <c r="EF76" s="6"/>
      <c r="EG76" s="95"/>
      <c r="EH76" s="6"/>
      <c r="EI76" s="95"/>
      <c r="EJ76" s="6"/>
      <c r="EK76" s="95"/>
      <c r="EL76" s="6"/>
      <c r="EM76" s="95"/>
      <c r="EN76" s="6"/>
      <c r="EO76" s="95"/>
      <c r="EP76" s="6"/>
      <c r="EQ76" s="95"/>
      <c r="ER76" s="487"/>
      <c r="ES76" s="1"/>
      <c r="ET76" s="487"/>
      <c r="EU76" s="1"/>
      <c r="EV76" s="487"/>
      <c r="EW76" s="1"/>
      <c r="EX76" s="487"/>
      <c r="EY76" s="1"/>
      <c r="EZ76" s="487"/>
      <c r="FA76" s="1"/>
      <c r="FB76" s="487"/>
      <c r="FC76" s="1"/>
      <c r="FD76" s="487"/>
      <c r="FE76" s="1"/>
      <c r="FF76" s="487"/>
      <c r="FG76" s="1"/>
      <c r="FH76" s="487"/>
      <c r="FI76" s="1"/>
      <c r="FJ76" s="487"/>
      <c r="FK76" s="1"/>
      <c r="FL76" s="487"/>
      <c r="FM76" s="1"/>
      <c r="FN76" s="487"/>
      <c r="FO76" s="1"/>
      <c r="FP76" s="487"/>
      <c r="FQ76" s="1"/>
      <c r="FR76" s="487"/>
      <c r="FS76" s="1"/>
      <c r="FT76" s="487"/>
      <c r="FU76" s="1"/>
      <c r="FV76" s="487"/>
      <c r="FW76" s="1"/>
      <c r="FX76" s="487"/>
      <c r="FY76" s="1"/>
      <c r="FZ76" s="487"/>
      <c r="GA76" s="1"/>
      <c r="GB76" s="487"/>
      <c r="GC76" s="1"/>
      <c r="GD76" s="487"/>
      <c r="GE76" s="1"/>
      <c r="GF76" s="487"/>
      <c r="GG76" s="1"/>
      <c r="GH76" s="487"/>
      <c r="GI76" s="1"/>
      <c r="GJ76" s="487"/>
      <c r="GK76" s="1"/>
      <c r="GL76" s="487"/>
      <c r="GM76" s="1"/>
      <c r="GN76" s="487"/>
      <c r="GO76" s="1"/>
      <c r="GP76" s="487"/>
      <c r="GQ76" s="1"/>
      <c r="GR76" s="487"/>
      <c r="GS76" s="1"/>
      <c r="GT76" s="487"/>
      <c r="GU76" s="1"/>
      <c r="GV76" s="487"/>
      <c r="GW76" s="1"/>
      <c r="GX76" s="487"/>
      <c r="GY76" s="1"/>
      <c r="GZ76" s="487"/>
      <c r="HA76" s="1"/>
      <c r="HB76" s="487"/>
      <c r="HC76" s="1"/>
      <c r="HD76" s="487"/>
      <c r="HE76" s="1"/>
      <c r="HF76" s="487"/>
      <c r="HG76" s="1"/>
      <c r="HH76" s="487"/>
      <c r="HI76" s="1"/>
      <c r="HJ76" s="487"/>
      <c r="HK76" s="1"/>
      <c r="HL76" s="487"/>
      <c r="HM76" s="1"/>
      <c r="HN76" s="487"/>
      <c r="HO76" s="1"/>
      <c r="HP76" s="487"/>
      <c r="HQ76" s="1"/>
      <c r="HR76" s="487"/>
      <c r="HS76" s="1"/>
      <c r="HT76" s="487"/>
      <c r="HU76" s="1"/>
      <c r="HV76" s="487"/>
      <c r="HW76" s="1"/>
      <c r="HX76" s="487"/>
      <c r="HY76" s="1"/>
      <c r="HZ76" s="487"/>
      <c r="IA76" s="1"/>
      <c r="IB76" s="487"/>
      <c r="IC76" s="1"/>
      <c r="ID76" s="487"/>
      <c r="IE76" s="1"/>
      <c r="IF76" s="487"/>
      <c r="IG76" s="1"/>
      <c r="IH76" s="487"/>
      <c r="II76" s="1"/>
      <c r="IJ76" s="487"/>
      <c r="IK76" s="1"/>
      <c r="IL76" s="487"/>
      <c r="IM76" s="1"/>
      <c r="IN76" s="487"/>
      <c r="IO76" s="1"/>
      <c r="IP76" s="487"/>
      <c r="IQ76" s="1"/>
      <c r="IR76" s="487"/>
      <c r="IS76" s="1"/>
      <c r="IT76" s="487"/>
      <c r="IU76" s="1"/>
      <c r="IV76" s="487"/>
      <c r="IW76" s="1"/>
      <c r="IX76" s="487"/>
      <c r="IY76" s="1"/>
      <c r="IZ76" s="487"/>
      <c r="JA76" s="1"/>
      <c r="JB76" s="487"/>
      <c r="JC76" s="1"/>
      <c r="JD76" s="487"/>
      <c r="JE76" s="1"/>
      <c r="JF76" s="487"/>
      <c r="JG76" s="1"/>
      <c r="JH76" s="487"/>
      <c r="JI76" s="1"/>
      <c r="JJ76" s="487"/>
      <c r="JK76" s="1"/>
      <c r="JL76" s="487"/>
      <c r="JM76" s="1"/>
      <c r="JN76" s="487"/>
      <c r="JO76" s="1"/>
      <c r="JP76" s="487"/>
      <c r="JQ76" s="1"/>
      <c r="JR76" s="487"/>
      <c r="JS76" s="1"/>
      <c r="JT76" s="487"/>
      <c r="JU76" s="1"/>
      <c r="JV76" s="487"/>
      <c r="JW76" s="1"/>
      <c r="JX76" s="487"/>
      <c r="JY76" s="1"/>
      <c r="JZ76" s="487"/>
      <c r="KA76" s="1"/>
      <c r="KB76" s="487"/>
      <c r="KC76" s="1"/>
      <c r="KD76" s="487"/>
      <c r="KE76" s="1"/>
      <c r="KF76" s="487"/>
      <c r="KG76" s="1"/>
      <c r="KH76" s="487"/>
      <c r="KI76" s="1"/>
      <c r="KJ76" s="487"/>
      <c r="KK76" s="1"/>
      <c r="KL76" s="487"/>
      <c r="KM76" s="1"/>
      <c r="KN76" s="487"/>
      <c r="KO76" s="1"/>
      <c r="KP76" s="487"/>
      <c r="KQ76" s="1"/>
      <c r="KR76" s="487"/>
      <c r="KS76" s="1"/>
      <c r="KT76" s="487"/>
      <c r="KU76" s="1"/>
      <c r="KV76" s="487"/>
      <c r="KW76" s="1"/>
      <c r="KX76" s="487"/>
      <c r="KY76" s="1"/>
      <c r="KZ76" s="487"/>
      <c r="LA76" s="1"/>
      <c r="LB76" s="487"/>
      <c r="LC76" s="1"/>
      <c r="LD76" s="487"/>
      <c r="LE76" s="1"/>
      <c r="LF76" s="487"/>
      <c r="LG76" s="1"/>
      <c r="LH76" s="487"/>
      <c r="LI76" s="1"/>
      <c r="LJ76" s="487"/>
      <c r="LK76" s="1"/>
      <c r="LL76" s="487"/>
      <c r="LM76" s="1"/>
      <c r="LN76" s="487"/>
      <c r="LO76" s="1"/>
      <c r="LP76" s="487"/>
      <c r="LQ76" s="1"/>
      <c r="LR76" s="487"/>
      <c r="LS76" s="1"/>
      <c r="LT76" s="487"/>
      <c r="LU76" s="1"/>
      <c r="LV76" s="487"/>
      <c r="LW76" s="1"/>
      <c r="LX76" s="487"/>
      <c r="LY76" s="1"/>
      <c r="LZ76" s="487"/>
      <c r="MA76" s="1"/>
      <c r="MB76" s="487"/>
      <c r="MC76" s="1"/>
      <c r="MD76" s="487"/>
      <c r="ME76" s="1"/>
      <c r="MF76" s="487"/>
      <c r="MG76" s="1"/>
      <c r="MH76" s="487"/>
      <c r="MI76" s="1"/>
      <c r="MJ76" s="487"/>
      <c r="MK76" s="1"/>
      <c r="ML76" s="487"/>
      <c r="MM76" s="1"/>
      <c r="MN76" s="487"/>
      <c r="MO76" s="1"/>
      <c r="MP76" s="487"/>
      <c r="MQ76" s="1"/>
      <c r="MR76" s="487"/>
      <c r="MS76" s="1"/>
      <c r="MT76" s="487"/>
      <c r="MU76" s="1"/>
      <c r="MV76" s="487"/>
      <c r="MW76" s="1"/>
      <c r="MX76" s="487"/>
      <c r="MY76" s="1"/>
      <c r="MZ76" s="487"/>
      <c r="NA76" s="1"/>
      <c r="NB76" s="487"/>
      <c r="NC76" s="1"/>
      <c r="ND76" s="487"/>
      <c r="NE76" s="1"/>
      <c r="NF76" s="487"/>
      <c r="NG76" s="1"/>
      <c r="NH76" s="487"/>
      <c r="NI76" s="1"/>
      <c r="NJ76" s="487"/>
      <c r="NK76" s="1"/>
      <c r="NL76" s="487"/>
      <c r="NM76" s="1"/>
      <c r="NN76" s="487"/>
      <c r="NO76" s="1"/>
      <c r="NP76" s="487"/>
      <c r="NQ76" s="1"/>
      <c r="NR76" s="487"/>
      <c r="NS76" s="1"/>
      <c r="NT76" s="487"/>
      <c r="NU76" s="1"/>
      <c r="NV76" s="487"/>
      <c r="NW76" s="1"/>
      <c r="NX76" s="487"/>
      <c r="NY76" s="1"/>
      <c r="NZ76" s="487"/>
      <c r="OA76" s="1"/>
      <c r="OB76" s="487"/>
      <c r="OC76" s="1"/>
      <c r="OD76" s="487"/>
      <c r="OE76" s="1"/>
      <c r="OF76" s="487"/>
      <c r="OG76" s="1"/>
      <c r="OH76" s="487"/>
      <c r="OI76" s="1"/>
      <c r="OJ76" s="487"/>
      <c r="OK76" s="1"/>
      <c r="OL76" s="487"/>
      <c r="OM76" s="1"/>
      <c r="ON76" s="487"/>
      <c r="OO76" s="1"/>
      <c r="OP76" s="487"/>
      <c r="OQ76" s="1"/>
      <c r="OR76" s="487"/>
      <c r="OS76" s="1"/>
      <c r="OT76" s="487"/>
      <c r="OU76" s="1"/>
      <c r="OV76" s="487"/>
      <c r="OW76" s="1"/>
      <c r="OX76" s="487"/>
      <c r="OY76" s="1"/>
      <c r="OZ76" s="487">
        <v>21.262499999999996</v>
      </c>
      <c r="PA76" s="1">
        <v>1</v>
      </c>
      <c r="PB76" s="487">
        <v>36.6</v>
      </c>
      <c r="PC76" s="1">
        <v>0.88888888888888884</v>
      </c>
      <c r="PD76" s="487">
        <v>9.625</v>
      </c>
      <c r="PE76" s="1">
        <v>0.77777777777777779</v>
      </c>
      <c r="PF76" s="487">
        <v>17.662500000000001</v>
      </c>
      <c r="PG76" s="1">
        <v>0.8</v>
      </c>
      <c r="PH76" s="487">
        <v>0.48750000000000071</v>
      </c>
      <c r="PI76" s="1">
        <v>0.72727272727272729</v>
      </c>
      <c r="PJ76" s="487">
        <v>18.912500000000001</v>
      </c>
      <c r="PK76" s="1">
        <v>0.76923076923076927</v>
      </c>
      <c r="PL76" s="487"/>
      <c r="PM76" s="1"/>
      <c r="PN76" s="487"/>
      <c r="PO76" s="1"/>
      <c r="PP76" s="487">
        <v>-112.69999999999997</v>
      </c>
      <c r="PQ76" s="1">
        <v>0.36363636363636365</v>
      </c>
      <c r="PR76" s="487">
        <v>-55.762499999999996</v>
      </c>
      <c r="PS76" s="1">
        <v>0.42857142857142855</v>
      </c>
      <c r="PT76" s="487">
        <v>-21.6</v>
      </c>
      <c r="PU76" s="1">
        <v>0.5714285714285714</v>
      </c>
      <c r="PV76" s="487">
        <v>-51.474999999999994</v>
      </c>
      <c r="PW76" s="1">
        <v>0.5</v>
      </c>
      <c r="PX76" s="487">
        <v>-18.987500000000001</v>
      </c>
      <c r="PY76" s="1">
        <v>0.6</v>
      </c>
      <c r="PZ76" s="487"/>
      <c r="QA76" s="1"/>
      <c r="QB76" s="487">
        <v>52.612500000000004</v>
      </c>
      <c r="QC76" s="1">
        <v>0.90909090909090906</v>
      </c>
      <c r="QD76" s="487">
        <v>10.562499999999998</v>
      </c>
      <c r="QE76" s="1">
        <v>0.75</v>
      </c>
      <c r="QF76" s="487">
        <v>16.362499999999997</v>
      </c>
      <c r="QG76" s="1">
        <v>0.8</v>
      </c>
      <c r="QH76" s="487">
        <v>-99.699999999999989</v>
      </c>
      <c r="QI76" s="1">
        <v>0.33333333333333331</v>
      </c>
      <c r="QJ76" s="487">
        <v>61.349999999999987</v>
      </c>
      <c r="QK76" s="1">
        <v>0.90909090909090906</v>
      </c>
      <c r="QL76" s="487">
        <v>2.1000000000000005</v>
      </c>
      <c r="QM76" s="1">
        <v>0.69230769230769229</v>
      </c>
      <c r="QN76" s="487">
        <v>-58.66249999999998</v>
      </c>
      <c r="QO76" s="1">
        <v>0.54545454545454541</v>
      </c>
      <c r="QP76" s="487">
        <v>-4.350000000000005</v>
      </c>
      <c r="QQ76" s="1">
        <v>0.72727272727272729</v>
      </c>
      <c r="QR76" s="487">
        <v>35.5625</v>
      </c>
      <c r="QS76" s="1">
        <v>1</v>
      </c>
      <c r="QT76" s="487">
        <v>-37.25</v>
      </c>
      <c r="QU76" s="1">
        <v>0.5</v>
      </c>
      <c r="QV76" s="487">
        <v>4.1125000000000052</v>
      </c>
      <c r="QW76" s="1">
        <v>0.75</v>
      </c>
      <c r="QX76" s="487">
        <v>-4.7500000000000009</v>
      </c>
      <c r="QY76" s="1">
        <v>0.7</v>
      </c>
      <c r="QZ76" s="487">
        <v>-53.637499999999996</v>
      </c>
      <c r="RA76" s="1">
        <v>0.45454545454545453</v>
      </c>
      <c r="RB76" s="487">
        <v>32.087499999999999</v>
      </c>
      <c r="RC76" s="1">
        <v>0.75</v>
      </c>
      <c r="RD76" s="487">
        <v>-99.91249999999998</v>
      </c>
      <c r="RE76" s="1">
        <v>0.3</v>
      </c>
      <c r="RF76" s="487">
        <v>22.375</v>
      </c>
      <c r="RG76" s="1">
        <v>0.8571428571428571</v>
      </c>
      <c r="RH76" s="487"/>
      <c r="RI76" s="1"/>
      <c r="RJ76" s="487">
        <v>26.812499999999993</v>
      </c>
      <c r="RK76" s="1">
        <v>0.7</v>
      </c>
      <c r="RL76" s="487"/>
      <c r="RM76" s="1"/>
      <c r="RN76" s="487">
        <v>-3.9875000000000003</v>
      </c>
      <c r="RO76" s="1">
        <v>0.66666666666666663</v>
      </c>
      <c r="RP76" s="487">
        <v>23.725000000000005</v>
      </c>
      <c r="RQ76" s="1">
        <v>0.81818181818181823</v>
      </c>
      <c r="RR76" s="487"/>
      <c r="RS76" s="1"/>
      <c r="RT76" s="487">
        <v>-19.649999999999999</v>
      </c>
      <c r="RU76" s="1">
        <v>0.55555555555555558</v>
      </c>
      <c r="RV76" s="487">
        <v>-58.099999999999994</v>
      </c>
      <c r="RW76" s="1">
        <v>0.54545454545454541</v>
      </c>
      <c r="RX76" s="487">
        <v>-105.5625</v>
      </c>
      <c r="RY76" s="1">
        <v>0.25</v>
      </c>
      <c r="RZ76" s="487">
        <v>-30.825000000000003</v>
      </c>
      <c r="SA76" s="1">
        <v>0.63636363636363635</v>
      </c>
      <c r="SB76" s="487">
        <v>-16.1875</v>
      </c>
      <c r="SC76" s="1">
        <v>0.55555555555555558</v>
      </c>
      <c r="SD76" s="487"/>
      <c r="SE76" s="1"/>
      <c r="SF76" s="487">
        <v>-3.8624999999999976</v>
      </c>
      <c r="SG76" s="1">
        <v>0.72727272727272729</v>
      </c>
      <c r="SH76" s="487">
        <v>-41.025000000000006</v>
      </c>
      <c r="SI76" s="1">
        <v>0.6</v>
      </c>
      <c r="SJ76" s="487">
        <v>-130.13749999999996</v>
      </c>
      <c r="SK76" s="1">
        <v>0.27272727272727271</v>
      </c>
      <c r="SL76" s="487">
        <v>16.975000000000005</v>
      </c>
      <c r="SM76" s="1">
        <v>0.875</v>
      </c>
      <c r="SN76" s="487">
        <v>-10.899999999999999</v>
      </c>
      <c r="SO76" s="1">
        <v>0.7</v>
      </c>
      <c r="SP76" s="487">
        <v>-32.949999999999996</v>
      </c>
      <c r="SQ76" s="1">
        <v>0.33333333333333331</v>
      </c>
      <c r="SR76" s="487">
        <v>52.1875</v>
      </c>
      <c r="SS76" s="1">
        <v>0.8</v>
      </c>
      <c r="ST76" s="487">
        <v>-104.51249999999999</v>
      </c>
      <c r="SU76" s="1">
        <v>0.33333333333333331</v>
      </c>
      <c r="SV76" s="487">
        <v>-138.58749999999995</v>
      </c>
      <c r="SW76" s="1">
        <v>0</v>
      </c>
      <c r="SX76" s="487">
        <v>3.7749999999999981</v>
      </c>
      <c r="SY76" s="1">
        <v>0.75</v>
      </c>
      <c r="SZ76" s="487">
        <v>-21.150000000000006</v>
      </c>
      <c r="TA76" s="1">
        <v>0.58333333333333337</v>
      </c>
      <c r="TB76" s="487">
        <v>-10.175000000000004</v>
      </c>
      <c r="TC76" s="1">
        <v>0.7</v>
      </c>
      <c r="TD76" s="487">
        <v>-40.050000000000004</v>
      </c>
      <c r="TE76" s="1">
        <v>0</v>
      </c>
      <c r="TF76" s="487">
        <v>15.850000000000001</v>
      </c>
      <c r="TG76" s="1">
        <v>0.77777777777777779</v>
      </c>
      <c r="TH76" s="488">
        <v>-12.712499999999997</v>
      </c>
      <c r="TI76" s="1">
        <v>0.5</v>
      </c>
      <c r="TJ76" s="489">
        <v>-95.112499999999997</v>
      </c>
      <c r="TK76" s="1">
        <v>0</v>
      </c>
      <c r="TL76" s="490">
        <v>14.062499999999996</v>
      </c>
      <c r="TM76" s="1">
        <v>0.75</v>
      </c>
      <c r="TN76" s="495">
        <v>-63.812499999999993</v>
      </c>
      <c r="TO76" s="1">
        <v>0.5</v>
      </c>
      <c r="TP76" s="500">
        <v>13.85</v>
      </c>
      <c r="TQ76" s="1">
        <v>1</v>
      </c>
      <c r="TR76" s="511">
        <v>7.1499999999999995</v>
      </c>
      <c r="TS76" s="1">
        <v>1</v>
      </c>
      <c r="TT76" s="515">
        <v>17.6875</v>
      </c>
      <c r="TU76" s="1">
        <v>0.8</v>
      </c>
      <c r="TV76" s="518">
        <v>-154.38749999999999</v>
      </c>
      <c r="TW76" s="1">
        <v>0.25</v>
      </c>
      <c r="TX76" s="521"/>
      <c r="TY76" s="1"/>
      <c r="TZ76" s="524">
        <v>-50.912499999999994</v>
      </c>
      <c r="UA76" s="1">
        <v>0.5</v>
      </c>
      <c r="UB76" s="527">
        <v>-59.362499999999976</v>
      </c>
      <c r="UC76" s="1">
        <v>0.41666666666666669</v>
      </c>
      <c r="UD76" s="530">
        <v>-34.125</v>
      </c>
      <c r="UE76" s="1">
        <v>0.44444444444444442</v>
      </c>
      <c r="UF76" s="533">
        <v>-26.899999999999995</v>
      </c>
      <c r="UG76" s="1">
        <v>0.53846153846153844</v>
      </c>
      <c r="UH76" s="536">
        <v>9.7374999999999989</v>
      </c>
      <c r="UI76" s="1">
        <v>0.77777777777777779</v>
      </c>
      <c r="UJ76" s="539">
        <v>41.374999999999993</v>
      </c>
      <c r="UK76" s="1">
        <v>0.88888888888888884</v>
      </c>
      <c r="UL76" s="540">
        <v>23.112499999999997</v>
      </c>
      <c r="UM76" s="1">
        <v>0.83333333333333337</v>
      </c>
      <c r="UN76" s="543">
        <v>20.037499999999994</v>
      </c>
      <c r="UO76" s="1">
        <v>0.72727272727272729</v>
      </c>
      <c r="UP76" s="544">
        <v>-42.975000000000001</v>
      </c>
      <c r="UQ76" s="1">
        <v>0.54545454545454541</v>
      </c>
      <c r="UR76" s="551">
        <v>7.0125000000000002</v>
      </c>
      <c r="US76" s="1">
        <v>1</v>
      </c>
      <c r="UT76" s="551">
        <v>42.124999999999993</v>
      </c>
      <c r="UU76" s="1">
        <v>0.76923076923076927</v>
      </c>
      <c r="UV76" s="562">
        <v>35.512499999999996</v>
      </c>
      <c r="UW76" s="1">
        <v>1</v>
      </c>
      <c r="UX76" s="566">
        <v>34</v>
      </c>
      <c r="UY76" s="1">
        <v>0.77777777777777779</v>
      </c>
      <c r="UZ76" s="568">
        <v>-98.787499999999994</v>
      </c>
      <c r="VA76" s="1">
        <v>0.44444444444444442</v>
      </c>
      <c r="VB76" s="572">
        <v>-4.4374999999999991</v>
      </c>
      <c r="VC76" s="1">
        <v>0.66666666666666663</v>
      </c>
      <c r="VD76" s="576">
        <v>43.962499999999999</v>
      </c>
      <c r="VE76" s="1">
        <v>0.9</v>
      </c>
      <c r="VF76" s="580">
        <v>10.662499999999998</v>
      </c>
      <c r="VG76" s="1">
        <v>0.72727272727272729</v>
      </c>
      <c r="VH76" s="584">
        <v>-0.30000000000000193</v>
      </c>
      <c r="VI76" s="1">
        <v>0.58333333333333337</v>
      </c>
      <c r="VJ76" s="589">
        <v>-12.849999999999998</v>
      </c>
      <c r="VK76" s="1">
        <v>0.5</v>
      </c>
      <c r="VL76" s="593">
        <v>31.712499999999999</v>
      </c>
      <c r="VM76" s="1">
        <v>0.83333333333333337</v>
      </c>
      <c r="VN76" s="597">
        <v>22.474999999999998</v>
      </c>
      <c r="VO76" s="1">
        <v>0.72727272727272729</v>
      </c>
      <c r="VP76" s="601">
        <v>-58.312499999999993</v>
      </c>
      <c r="VQ76" s="1">
        <v>0.54545454545454541</v>
      </c>
      <c r="VR76" s="603">
        <v>-31.55</v>
      </c>
      <c r="VS76" s="1">
        <v>0.54545454545454541</v>
      </c>
      <c r="VT76" s="607">
        <v>-89.3125</v>
      </c>
      <c r="VU76" s="1">
        <v>0.14285714285714285</v>
      </c>
      <c r="VV76" s="609">
        <v>7.0750000000000002</v>
      </c>
      <c r="VW76" s="1">
        <v>1</v>
      </c>
      <c r="VX76" s="613">
        <v>-20.162499999999998</v>
      </c>
      <c r="VY76" s="1">
        <v>0</v>
      </c>
      <c r="VZ76" s="617">
        <v>7.0750000000000002</v>
      </c>
      <c r="WA76" s="1">
        <v>1</v>
      </c>
      <c r="WB76" s="619"/>
      <c r="WC76" s="1"/>
      <c r="WD76" s="624">
        <v>51.462499999999999</v>
      </c>
      <c r="WE76" s="1">
        <v>0.90909090909090906</v>
      </c>
      <c r="WF76" s="626"/>
      <c r="WG76" s="1"/>
      <c r="WH76" s="630">
        <v>-19.887499999999999</v>
      </c>
      <c r="WI76" s="1">
        <v>0</v>
      </c>
      <c r="WJ76" s="636">
        <v>60.512500000000003</v>
      </c>
      <c r="WK76" s="1">
        <v>0.91666666666666663</v>
      </c>
      <c r="WL76" s="638">
        <v>7.125</v>
      </c>
      <c r="WM76" s="1">
        <v>1</v>
      </c>
      <c r="WN76" s="642">
        <v>7.0249999999999995</v>
      </c>
      <c r="WO76" s="1">
        <v>1</v>
      </c>
      <c r="WP76" s="646">
        <v>64.575000000000003</v>
      </c>
      <c r="WQ76" s="1">
        <v>1</v>
      </c>
      <c r="WR76" s="652"/>
      <c r="WS76" s="1"/>
      <c r="WT76" s="659">
        <v>-126.53749999999999</v>
      </c>
      <c r="WU76" s="1">
        <v>0.22222222222222221</v>
      </c>
      <c r="WV76" s="659">
        <v>-76.487500000000011</v>
      </c>
      <c r="WW76" s="1">
        <v>0.5</v>
      </c>
      <c r="WX76" s="672">
        <v>-39.162499999999994</v>
      </c>
      <c r="WY76" s="1">
        <v>0.5</v>
      </c>
      <c r="WZ76" s="677"/>
      <c r="XA76" s="1"/>
      <c r="XB76" s="681">
        <v>-63.637499999999996</v>
      </c>
      <c r="XC76" s="1">
        <v>0.375</v>
      </c>
      <c r="XD76" s="683">
        <v>-56.025000000000006</v>
      </c>
      <c r="XE76" s="1">
        <v>0.5</v>
      </c>
      <c r="XF76" s="687">
        <v>22.212499999999999</v>
      </c>
      <c r="XG76" s="1">
        <v>0.75</v>
      </c>
      <c r="XH76" s="689">
        <v>6.9625000000000004</v>
      </c>
      <c r="XI76" s="1">
        <v>1</v>
      </c>
      <c r="XJ76" s="696">
        <v>-17.349999999999998</v>
      </c>
      <c r="XK76" s="1">
        <v>0.66666666666666663</v>
      </c>
      <c r="XL76" s="696">
        <v>-20.0625</v>
      </c>
      <c r="XM76" s="1">
        <v>0</v>
      </c>
      <c r="XN76" s="696">
        <v>-104.33750000000003</v>
      </c>
      <c r="XO76" s="1">
        <v>0.38095238095238093</v>
      </c>
      <c r="XP76" s="700">
        <v>49.787500000000001</v>
      </c>
      <c r="XQ76" s="1">
        <v>0.90909090909090906</v>
      </c>
      <c r="XR76" s="705"/>
      <c r="XS76" s="1"/>
      <c r="XT76" s="709"/>
      <c r="XU76" s="1"/>
      <c r="XV76" s="715"/>
      <c r="XW76" s="1"/>
    </row>
    <row r="77" spans="2:647" x14ac:dyDescent="0.25">
      <c r="B77" s="755"/>
      <c r="C77" s="763"/>
      <c r="D77" s="755"/>
      <c r="E77" s="755"/>
      <c r="F77" s="482">
        <v>0.9</v>
      </c>
      <c r="G77" s="475" t="s">
        <v>49</v>
      </c>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c r="BU77" s="6"/>
      <c r="BV77" s="6"/>
      <c r="BW77" s="6"/>
      <c r="BX77" s="6"/>
      <c r="BY77" s="95"/>
      <c r="BZ77" s="6"/>
      <c r="CA77" s="95"/>
      <c r="CB77" s="6"/>
      <c r="CC77" s="95"/>
      <c r="CD77" s="6"/>
      <c r="CE77" s="95"/>
      <c r="CF77" s="6"/>
      <c r="CG77" s="95"/>
      <c r="CH77" s="6"/>
      <c r="CI77" s="95"/>
      <c r="CJ77" s="6"/>
      <c r="CK77" s="95"/>
      <c r="CL77" s="6"/>
      <c r="CM77" s="95"/>
      <c r="CN77" s="6"/>
      <c r="CO77" s="95"/>
      <c r="CP77" s="6"/>
      <c r="CQ77" s="95"/>
      <c r="CR77" s="6"/>
      <c r="CS77" s="95"/>
      <c r="CT77" s="6"/>
      <c r="CU77" s="95"/>
      <c r="CV77" s="6"/>
      <c r="CW77" s="95"/>
      <c r="CX77" s="6"/>
      <c r="CY77" s="95"/>
      <c r="CZ77" s="6"/>
      <c r="DA77" s="95"/>
      <c r="DB77" s="6"/>
      <c r="DC77" s="95"/>
      <c r="DD77" s="6"/>
      <c r="DE77" s="95"/>
      <c r="DF77" s="6"/>
      <c r="DG77" s="95"/>
      <c r="DH77" s="6"/>
      <c r="DI77" s="95"/>
      <c r="DJ77" s="6"/>
      <c r="DK77" s="95"/>
      <c r="DL77" s="6"/>
      <c r="DM77" s="95"/>
      <c r="DN77" s="6"/>
      <c r="DO77" s="95"/>
      <c r="DP77" s="6"/>
      <c r="DQ77" s="95"/>
      <c r="DR77" s="6"/>
      <c r="DS77" s="95"/>
      <c r="DT77" s="6"/>
      <c r="DU77" s="95"/>
      <c r="DV77" s="6"/>
      <c r="DW77" s="95"/>
      <c r="DX77" s="6"/>
      <c r="DY77" s="95"/>
      <c r="DZ77" s="6"/>
      <c r="EA77" s="95"/>
      <c r="EB77" s="6"/>
      <c r="EC77" s="95"/>
      <c r="ED77" s="6"/>
      <c r="EE77" s="95"/>
      <c r="EF77" s="6"/>
      <c r="EG77" s="95"/>
      <c r="EH77" s="6"/>
      <c r="EI77" s="95"/>
      <c r="EJ77" s="6"/>
      <c r="EK77" s="95"/>
      <c r="EL77" s="6"/>
      <c r="EM77" s="95"/>
      <c r="EN77" s="6"/>
      <c r="EO77" s="95"/>
      <c r="EP77" s="6"/>
      <c r="EQ77" s="95"/>
      <c r="ER77" s="487"/>
      <c r="ES77" s="1"/>
      <c r="ET77" s="487"/>
      <c r="EU77" s="1"/>
      <c r="EV77" s="487"/>
      <c r="EW77" s="1"/>
      <c r="EX77" s="487"/>
      <c r="EY77" s="1"/>
      <c r="EZ77" s="487"/>
      <c r="FA77" s="1"/>
      <c r="FB77" s="487"/>
      <c r="FC77" s="1"/>
      <c r="FD77" s="487"/>
      <c r="FE77" s="1"/>
      <c r="FF77" s="487"/>
      <c r="FG77" s="1"/>
      <c r="FH77" s="487"/>
      <c r="FI77" s="1"/>
      <c r="FJ77" s="487"/>
      <c r="FK77" s="1"/>
      <c r="FL77" s="487"/>
      <c r="FM77" s="1"/>
      <c r="FN77" s="487"/>
      <c r="FO77" s="1"/>
      <c r="FP77" s="487"/>
      <c r="FQ77" s="1"/>
      <c r="FR77" s="487"/>
      <c r="FS77" s="1"/>
      <c r="FT77" s="487"/>
      <c r="FU77" s="1"/>
      <c r="FV77" s="487"/>
      <c r="FW77" s="1"/>
      <c r="FX77" s="487"/>
      <c r="FY77" s="1"/>
      <c r="FZ77" s="487"/>
      <c r="GA77" s="1"/>
      <c r="GB77" s="487"/>
      <c r="GC77" s="1"/>
      <c r="GD77" s="487"/>
      <c r="GE77" s="1"/>
      <c r="GF77" s="487"/>
      <c r="GG77" s="1"/>
      <c r="GH77" s="487"/>
      <c r="GI77" s="1"/>
      <c r="GJ77" s="487"/>
      <c r="GK77" s="1"/>
      <c r="GL77" s="487"/>
      <c r="GM77" s="1"/>
      <c r="GN77" s="487"/>
      <c r="GO77" s="1"/>
      <c r="GP77" s="487"/>
      <c r="GQ77" s="1"/>
      <c r="GR77" s="487"/>
      <c r="GS77" s="1"/>
      <c r="GT77" s="487"/>
      <c r="GU77" s="1"/>
      <c r="GV77" s="487"/>
      <c r="GW77" s="1"/>
      <c r="GX77" s="487"/>
      <c r="GY77" s="1"/>
      <c r="GZ77" s="487"/>
      <c r="HA77" s="1"/>
      <c r="HB77" s="487"/>
      <c r="HC77" s="1"/>
      <c r="HD77" s="487"/>
      <c r="HE77" s="1"/>
      <c r="HF77" s="487"/>
      <c r="HG77" s="1"/>
      <c r="HH77" s="487"/>
      <c r="HI77" s="1"/>
      <c r="HJ77" s="487"/>
      <c r="HK77" s="1"/>
      <c r="HL77" s="487"/>
      <c r="HM77" s="1"/>
      <c r="HN77" s="487"/>
      <c r="HO77" s="1"/>
      <c r="HP77" s="487"/>
      <c r="HQ77" s="1"/>
      <c r="HR77" s="487"/>
      <c r="HS77" s="1"/>
      <c r="HT77" s="487"/>
      <c r="HU77" s="1"/>
      <c r="HV77" s="487"/>
      <c r="HW77" s="1"/>
      <c r="HX77" s="487"/>
      <c r="HY77" s="1"/>
      <c r="HZ77" s="487"/>
      <c r="IA77" s="1"/>
      <c r="IB77" s="487"/>
      <c r="IC77" s="1"/>
      <c r="ID77" s="487"/>
      <c r="IE77" s="1"/>
      <c r="IF77" s="487"/>
      <c r="IG77" s="1"/>
      <c r="IH77" s="487"/>
      <c r="II77" s="1"/>
      <c r="IJ77" s="487"/>
      <c r="IK77" s="1"/>
      <c r="IL77" s="487"/>
      <c r="IM77" s="1"/>
      <c r="IN77" s="487"/>
      <c r="IO77" s="1"/>
      <c r="IP77" s="487"/>
      <c r="IQ77" s="1"/>
      <c r="IR77" s="487"/>
      <c r="IS77" s="1"/>
      <c r="IT77" s="487"/>
      <c r="IU77" s="1"/>
      <c r="IV77" s="487"/>
      <c r="IW77" s="1"/>
      <c r="IX77" s="487"/>
      <c r="IY77" s="1"/>
      <c r="IZ77" s="487"/>
      <c r="JA77" s="1"/>
      <c r="JB77" s="487"/>
      <c r="JC77" s="1"/>
      <c r="JD77" s="487"/>
      <c r="JE77" s="1"/>
      <c r="JF77" s="487"/>
      <c r="JG77" s="1"/>
      <c r="JH77" s="487"/>
      <c r="JI77" s="1"/>
      <c r="JJ77" s="487"/>
      <c r="JK77" s="1"/>
      <c r="JL77" s="487"/>
      <c r="JM77" s="1"/>
      <c r="JN77" s="487"/>
      <c r="JO77" s="1"/>
      <c r="JP77" s="487"/>
      <c r="JQ77" s="1"/>
      <c r="JR77" s="487"/>
      <c r="JS77" s="1"/>
      <c r="JT77" s="487"/>
      <c r="JU77" s="1"/>
      <c r="JV77" s="487"/>
      <c r="JW77" s="1"/>
      <c r="JX77" s="487"/>
      <c r="JY77" s="1"/>
      <c r="JZ77" s="487"/>
      <c r="KA77" s="1"/>
      <c r="KB77" s="487"/>
      <c r="KC77" s="1"/>
      <c r="KD77" s="487"/>
      <c r="KE77" s="1"/>
      <c r="KF77" s="487"/>
      <c r="KG77" s="1"/>
      <c r="KH77" s="487"/>
      <c r="KI77" s="1"/>
      <c r="KJ77" s="487"/>
      <c r="KK77" s="1"/>
      <c r="KL77" s="487"/>
      <c r="KM77" s="1"/>
      <c r="KN77" s="487"/>
      <c r="KO77" s="1"/>
      <c r="KP77" s="487"/>
      <c r="KQ77" s="1"/>
      <c r="KR77" s="487"/>
      <c r="KS77" s="1"/>
      <c r="KT77" s="487"/>
      <c r="KU77" s="1"/>
      <c r="KV77" s="487"/>
      <c r="KW77" s="1"/>
      <c r="KX77" s="487"/>
      <c r="KY77" s="1"/>
      <c r="KZ77" s="487"/>
      <c r="LA77" s="1"/>
      <c r="LB77" s="487"/>
      <c r="LC77" s="1"/>
      <c r="LD77" s="487"/>
      <c r="LE77" s="1"/>
      <c r="LF77" s="487"/>
      <c r="LG77" s="1"/>
      <c r="LH77" s="487"/>
      <c r="LI77" s="1"/>
      <c r="LJ77" s="487"/>
      <c r="LK77" s="1"/>
      <c r="LL77" s="487"/>
      <c r="LM77" s="1"/>
      <c r="LN77" s="487"/>
      <c r="LO77" s="1"/>
      <c r="LP77" s="487"/>
      <c r="LQ77" s="1"/>
      <c r="LR77" s="487"/>
      <c r="LS77" s="1"/>
      <c r="LT77" s="487"/>
      <c r="LU77" s="1"/>
      <c r="LV77" s="487"/>
      <c r="LW77" s="1"/>
      <c r="LX77" s="487"/>
      <c r="LY77" s="1"/>
      <c r="LZ77" s="487"/>
      <c r="MA77" s="1"/>
      <c r="MB77" s="487"/>
      <c r="MC77" s="1"/>
      <c r="MD77" s="487"/>
      <c r="ME77" s="1"/>
      <c r="MF77" s="487"/>
      <c r="MG77" s="1"/>
      <c r="MH77" s="487"/>
      <c r="MI77" s="1"/>
      <c r="MJ77" s="487"/>
      <c r="MK77" s="1"/>
      <c r="ML77" s="487"/>
      <c r="MM77" s="1"/>
      <c r="MN77" s="487"/>
      <c r="MO77" s="1"/>
      <c r="MP77" s="487"/>
      <c r="MQ77" s="1"/>
      <c r="MR77" s="487"/>
      <c r="MS77" s="1"/>
      <c r="MT77" s="487"/>
      <c r="MU77" s="1"/>
      <c r="MV77" s="487"/>
      <c r="MW77" s="1"/>
      <c r="MX77" s="487"/>
      <c r="MY77" s="1"/>
      <c r="MZ77" s="487"/>
      <c r="NA77" s="1"/>
      <c r="NB77" s="487"/>
      <c r="NC77" s="1"/>
      <c r="ND77" s="487"/>
      <c r="NE77" s="1"/>
      <c r="NF77" s="487"/>
      <c r="NG77" s="1"/>
      <c r="NH77" s="487"/>
      <c r="NI77" s="1"/>
      <c r="NJ77" s="487"/>
      <c r="NK77" s="1"/>
      <c r="NL77" s="487"/>
      <c r="NM77" s="1"/>
      <c r="NN77" s="487"/>
      <c r="NO77" s="1"/>
      <c r="NP77" s="487"/>
      <c r="NQ77" s="1"/>
      <c r="NR77" s="487"/>
      <c r="NS77" s="1"/>
      <c r="NT77" s="487"/>
      <c r="NU77" s="1"/>
      <c r="NV77" s="487"/>
      <c r="NW77" s="1"/>
      <c r="NX77" s="487"/>
      <c r="NY77" s="1"/>
      <c r="NZ77" s="487"/>
      <c r="OA77" s="1"/>
      <c r="OB77" s="487"/>
      <c r="OC77" s="1"/>
      <c r="OD77" s="487"/>
      <c r="OE77" s="1"/>
      <c r="OF77" s="487"/>
      <c r="OG77" s="1"/>
      <c r="OH77" s="487"/>
      <c r="OI77" s="1"/>
      <c r="OJ77" s="487"/>
      <c r="OK77" s="1"/>
      <c r="OL77" s="487"/>
      <c r="OM77" s="1"/>
      <c r="ON77" s="487"/>
      <c r="OO77" s="1"/>
      <c r="OP77" s="487"/>
      <c r="OQ77" s="1"/>
      <c r="OR77" s="487"/>
      <c r="OS77" s="1"/>
      <c r="OT77" s="487"/>
      <c r="OU77" s="1"/>
      <c r="OV77" s="487"/>
      <c r="OW77" s="1"/>
      <c r="OX77" s="487"/>
      <c r="OY77" s="1"/>
      <c r="OZ77" s="487">
        <v>28.488888888888887</v>
      </c>
      <c r="PA77" s="1">
        <v>1</v>
      </c>
      <c r="PB77" s="487">
        <v>24.377777777777773</v>
      </c>
      <c r="PC77" s="1">
        <v>0.81818181818181823</v>
      </c>
      <c r="PD77" s="487">
        <v>23.933333333333334</v>
      </c>
      <c r="PE77" s="1">
        <v>0.81818181818181823</v>
      </c>
      <c r="PF77" s="487">
        <v>32.544444444444444</v>
      </c>
      <c r="PG77" s="1">
        <v>0.83333333333333337</v>
      </c>
      <c r="PH77" s="487">
        <v>-6.0111111111111111</v>
      </c>
      <c r="PI77" s="1">
        <v>0.7</v>
      </c>
      <c r="PJ77" s="487">
        <v>38.188888888888883</v>
      </c>
      <c r="PK77" s="1">
        <v>0.83333333333333337</v>
      </c>
      <c r="PL77" s="487"/>
      <c r="PM77" s="1"/>
      <c r="PN77" s="487"/>
      <c r="PO77" s="1"/>
      <c r="PP77" s="487">
        <v>-112.86666666666665</v>
      </c>
      <c r="PQ77" s="1">
        <v>0.36363636363636365</v>
      </c>
      <c r="PR77" s="487">
        <v>-20.166666666666664</v>
      </c>
      <c r="PS77" s="1">
        <v>0.66666666666666663</v>
      </c>
      <c r="PT77" s="487">
        <v>-41.7</v>
      </c>
      <c r="PU77" s="1">
        <v>0.5</v>
      </c>
      <c r="PV77" s="487">
        <v>-89.86666666666666</v>
      </c>
      <c r="PW77" s="1">
        <v>0.4</v>
      </c>
      <c r="PX77" s="487">
        <v>-64.311111111111103</v>
      </c>
      <c r="PY77" s="1">
        <v>0.5</v>
      </c>
      <c r="PZ77" s="487"/>
      <c r="QA77" s="1"/>
      <c r="QB77" s="487">
        <v>51.677777777777777</v>
      </c>
      <c r="QC77" s="1">
        <v>0.90909090909090906</v>
      </c>
      <c r="QD77" s="487">
        <v>11.899999999999999</v>
      </c>
      <c r="QE77" s="1">
        <v>0.75</v>
      </c>
      <c r="QF77" s="487">
        <v>16.177777777777774</v>
      </c>
      <c r="QG77" s="1">
        <v>0.8</v>
      </c>
      <c r="QH77" s="487">
        <v>-100.46666666666665</v>
      </c>
      <c r="QI77" s="1">
        <v>0.36363636363636365</v>
      </c>
      <c r="QJ77" s="487">
        <v>54.666666666666671</v>
      </c>
      <c r="QK77" s="1">
        <v>0.9</v>
      </c>
      <c r="QL77" s="487">
        <v>-4.7222222222222232</v>
      </c>
      <c r="QM77" s="1">
        <v>0.66666666666666663</v>
      </c>
      <c r="QN77" s="487">
        <v>-79.600000000000009</v>
      </c>
      <c r="QO77" s="1">
        <v>0.5</v>
      </c>
      <c r="QP77" s="487">
        <v>-4.3555555555555552</v>
      </c>
      <c r="QQ77" s="1">
        <v>0.72727272727272729</v>
      </c>
      <c r="QR77" s="487">
        <v>15.311111111111112</v>
      </c>
      <c r="QS77" s="1">
        <v>0.83333333333333337</v>
      </c>
      <c r="QT77" s="487">
        <v>-30.166666666666668</v>
      </c>
      <c r="QU77" s="1">
        <v>0.54545454545454541</v>
      </c>
      <c r="QV77" s="487">
        <v>-50.466666666666661</v>
      </c>
      <c r="QW77" s="1">
        <v>0.5</v>
      </c>
      <c r="QX77" s="487">
        <v>6.5222222222222239</v>
      </c>
      <c r="QY77" s="1">
        <v>0.75</v>
      </c>
      <c r="QZ77" s="487">
        <v>-45.733333333333334</v>
      </c>
      <c r="RA77" s="1">
        <v>0.5</v>
      </c>
      <c r="RB77" s="487">
        <v>31.8</v>
      </c>
      <c r="RC77" s="1">
        <v>0.75</v>
      </c>
      <c r="RD77" s="487">
        <v>-92.133333333333354</v>
      </c>
      <c r="RE77" s="1">
        <v>0.36363636363636365</v>
      </c>
      <c r="RF77" s="487">
        <v>36.677777777777784</v>
      </c>
      <c r="RG77" s="1">
        <v>0.88888888888888884</v>
      </c>
      <c r="RH77" s="487">
        <v>7.1888888888888882</v>
      </c>
      <c r="RI77" s="1">
        <v>1</v>
      </c>
      <c r="RJ77" s="487">
        <v>32.144444444444446</v>
      </c>
      <c r="RK77" s="1">
        <v>0.72727272727272729</v>
      </c>
      <c r="RL77" s="487"/>
      <c r="RM77" s="1"/>
      <c r="RN77" s="487">
        <v>-4.5888888888888877</v>
      </c>
      <c r="RO77" s="1">
        <v>0.66666666666666663</v>
      </c>
      <c r="RP77" s="487">
        <v>21.122222222222216</v>
      </c>
      <c r="RQ77" s="1">
        <v>0.75</v>
      </c>
      <c r="RR77" s="487"/>
      <c r="RS77" s="1"/>
      <c r="RT77" s="487">
        <v>-21.622222222222224</v>
      </c>
      <c r="RU77" s="1">
        <v>0.54545454545454541</v>
      </c>
      <c r="RV77" s="487">
        <v>-58.044444444444451</v>
      </c>
      <c r="RW77" s="1">
        <v>0.54545454545454541</v>
      </c>
      <c r="RX77" s="487">
        <v>-91.811111111111089</v>
      </c>
      <c r="RY77" s="1">
        <v>0.4</v>
      </c>
      <c r="RZ77" s="487">
        <v>-37.533333333333331</v>
      </c>
      <c r="SA77" s="1">
        <v>0.6</v>
      </c>
      <c r="SB77" s="487">
        <v>-29.422222222222221</v>
      </c>
      <c r="SC77" s="1">
        <v>0.54545454545454541</v>
      </c>
      <c r="SD77" s="487"/>
      <c r="SE77" s="1"/>
      <c r="SF77" s="487">
        <v>-3.2999999999999976</v>
      </c>
      <c r="SG77" s="1">
        <v>0.72727272727272729</v>
      </c>
      <c r="SH77" s="487">
        <v>-26.766666666666673</v>
      </c>
      <c r="SI77" s="1">
        <v>0.66666666666666663</v>
      </c>
      <c r="SJ77" s="487">
        <v>-119.46666666666665</v>
      </c>
      <c r="SK77" s="1">
        <v>0.3</v>
      </c>
      <c r="SL77" s="487">
        <v>31.4</v>
      </c>
      <c r="SM77" s="1">
        <v>0.9</v>
      </c>
      <c r="SN77" s="487">
        <v>3.1777777777777851</v>
      </c>
      <c r="SO77" s="1">
        <v>0.75</v>
      </c>
      <c r="SP77" s="487">
        <v>-32.944444444444443</v>
      </c>
      <c r="SQ77" s="1">
        <v>0.33333333333333331</v>
      </c>
      <c r="SR77" s="487">
        <v>16.577777777777779</v>
      </c>
      <c r="SS77" s="1">
        <v>0.6</v>
      </c>
      <c r="ST77" s="487">
        <v>-115.42222222222222</v>
      </c>
      <c r="SU77" s="1">
        <v>0.25</v>
      </c>
      <c r="SV77" s="487">
        <v>-143.36666666666667</v>
      </c>
      <c r="SW77" s="1">
        <v>0</v>
      </c>
      <c r="SX77" s="487">
        <v>4.5888888888888912</v>
      </c>
      <c r="SY77" s="1">
        <v>0.75</v>
      </c>
      <c r="SZ77" s="487">
        <v>-21.744444444444436</v>
      </c>
      <c r="TA77" s="1">
        <v>0.58333333333333337</v>
      </c>
      <c r="TB77" s="487">
        <v>-10.266666666666664</v>
      </c>
      <c r="TC77" s="1">
        <v>0.7</v>
      </c>
      <c r="TD77" s="487">
        <v>-32.988888888888887</v>
      </c>
      <c r="TE77" s="1">
        <v>0.33333333333333331</v>
      </c>
      <c r="TF77" s="487">
        <v>2.3666666666666654</v>
      </c>
      <c r="TG77" s="1">
        <v>0.72727272727272729</v>
      </c>
      <c r="TH77" s="488">
        <v>-12.988888888888885</v>
      </c>
      <c r="TI77" s="1">
        <v>0.5</v>
      </c>
      <c r="TJ77" s="489">
        <v>-95.6</v>
      </c>
      <c r="TK77" s="1">
        <v>0</v>
      </c>
      <c r="TL77" s="490">
        <v>-38.777777777777764</v>
      </c>
      <c r="TM77" s="1">
        <v>0.58333333333333337</v>
      </c>
      <c r="TN77" s="495">
        <v>-57.455555555555563</v>
      </c>
      <c r="TO77" s="1">
        <v>0.54545454545454541</v>
      </c>
      <c r="TP77" s="500">
        <v>14.233333333333334</v>
      </c>
      <c r="TQ77" s="1">
        <v>1</v>
      </c>
      <c r="TR77" s="511">
        <v>-12.822222222222221</v>
      </c>
      <c r="TS77" s="1">
        <v>0.5</v>
      </c>
      <c r="TT77" s="515">
        <v>16.544444444444444</v>
      </c>
      <c r="TU77" s="1">
        <v>0.8</v>
      </c>
      <c r="TV77" s="518">
        <v>-155.24444444444444</v>
      </c>
      <c r="TW77" s="1">
        <v>0.25</v>
      </c>
      <c r="TX77" s="521"/>
      <c r="TY77" s="1"/>
      <c r="TZ77" s="524">
        <v>-57.98888888888888</v>
      </c>
      <c r="UA77" s="1">
        <v>0.45454545454545453</v>
      </c>
      <c r="UB77" s="527">
        <v>-53.611111111111093</v>
      </c>
      <c r="UC77" s="1">
        <v>0.46153846153846156</v>
      </c>
      <c r="UD77" s="530">
        <v>-53.766666666666666</v>
      </c>
      <c r="UE77" s="1">
        <v>0.4</v>
      </c>
      <c r="UF77" s="533">
        <v>-27.677777777777774</v>
      </c>
      <c r="UG77" s="1">
        <v>0.53846153846153844</v>
      </c>
      <c r="UH77" s="536">
        <v>7.0777777777777811</v>
      </c>
      <c r="UI77" s="1">
        <v>0.72727272727272729</v>
      </c>
      <c r="UJ77" s="539">
        <v>41.955555555555556</v>
      </c>
      <c r="UK77" s="1">
        <v>0.88888888888888884</v>
      </c>
      <c r="UL77" s="540">
        <v>25.62222222222222</v>
      </c>
      <c r="UM77" s="1">
        <v>0.81818181818181823</v>
      </c>
      <c r="UN77" s="543">
        <v>40.688888888888883</v>
      </c>
      <c r="UO77" s="1">
        <v>0.81818181818181823</v>
      </c>
      <c r="UP77" s="544">
        <v>-29.966666666666665</v>
      </c>
      <c r="UQ77" s="1">
        <v>0.61538461538461542</v>
      </c>
      <c r="UR77" s="551">
        <v>7.5777777777777775</v>
      </c>
      <c r="US77" s="1">
        <v>1</v>
      </c>
      <c r="UT77" s="551">
        <v>20.466666666666669</v>
      </c>
      <c r="UU77" s="1">
        <v>0.66666666666666663</v>
      </c>
      <c r="UV77" s="562">
        <v>39.211111111111109</v>
      </c>
      <c r="UW77" s="1">
        <v>0.81818181818181823</v>
      </c>
      <c r="UX77" s="566">
        <v>46.422222222222217</v>
      </c>
      <c r="UY77" s="1">
        <v>0.81818181818181823</v>
      </c>
      <c r="UZ77" s="568">
        <v>-88.144444444444446</v>
      </c>
      <c r="VA77" s="1">
        <v>0.53846153846153844</v>
      </c>
      <c r="VB77" s="572">
        <v>1.1333333333333349</v>
      </c>
      <c r="VC77" s="1">
        <v>0.75</v>
      </c>
      <c r="VD77" s="576">
        <v>44.62222222222222</v>
      </c>
      <c r="VE77" s="1">
        <v>0.9</v>
      </c>
      <c r="VF77" s="580">
        <v>6.2222222222222188</v>
      </c>
      <c r="VG77" s="1">
        <v>0.66666666666666663</v>
      </c>
      <c r="VH77" s="584">
        <v>-0.68888888888889788</v>
      </c>
      <c r="VI77" s="1">
        <v>0.58333333333333337</v>
      </c>
      <c r="VJ77" s="589">
        <v>-12.933333333333332</v>
      </c>
      <c r="VK77" s="1">
        <v>0.5</v>
      </c>
      <c r="VL77" s="593">
        <v>51.888888888888893</v>
      </c>
      <c r="VM77" s="1">
        <v>0.90909090909090906</v>
      </c>
      <c r="VN77" s="597">
        <v>3.788888888888887</v>
      </c>
      <c r="VO77" s="1">
        <v>0.66666666666666663</v>
      </c>
      <c r="VP77" s="601">
        <v>-78.455555555555549</v>
      </c>
      <c r="VQ77" s="1">
        <v>0.5</v>
      </c>
      <c r="VR77" s="603">
        <v>-24.177777777777774</v>
      </c>
      <c r="VS77" s="1">
        <v>0.58333333333333337</v>
      </c>
      <c r="VT77" s="607">
        <v>-54.31111111111111</v>
      </c>
      <c r="VU77" s="1">
        <v>0.375</v>
      </c>
      <c r="VV77" s="609">
        <v>7.0777777777777775</v>
      </c>
      <c r="VW77" s="1">
        <v>1</v>
      </c>
      <c r="VX77" s="613">
        <v>-20.355555555555554</v>
      </c>
      <c r="VY77" s="1">
        <v>0</v>
      </c>
      <c r="VZ77" s="617">
        <v>7.0666666666666664</v>
      </c>
      <c r="WA77" s="1">
        <v>1</v>
      </c>
      <c r="WB77" s="619"/>
      <c r="WC77" s="1"/>
      <c r="WD77" s="624">
        <v>52.511111111111106</v>
      </c>
      <c r="WE77" s="1">
        <v>0.90909090909090906</v>
      </c>
      <c r="WF77" s="626"/>
      <c r="WG77" s="1"/>
      <c r="WH77" s="630">
        <v>-20.277777777777779</v>
      </c>
      <c r="WI77" s="1">
        <v>0</v>
      </c>
      <c r="WJ77" s="636">
        <v>58.333333333333321</v>
      </c>
      <c r="WK77" s="1">
        <v>0.91666666666666663</v>
      </c>
      <c r="WL77" s="638">
        <v>7.2111111111111112</v>
      </c>
      <c r="WM77" s="1">
        <v>1</v>
      </c>
      <c r="WN77" s="642">
        <v>7.1222222222222218</v>
      </c>
      <c r="WO77" s="1">
        <v>1</v>
      </c>
      <c r="WP77" s="646">
        <v>72.588888888888889</v>
      </c>
      <c r="WQ77" s="1">
        <v>1</v>
      </c>
      <c r="WR77" s="652">
        <v>7</v>
      </c>
      <c r="WS77" s="1">
        <v>1</v>
      </c>
      <c r="WT77" s="659">
        <v>-84.255555555555532</v>
      </c>
      <c r="WU77" s="1">
        <v>0.45454545454545453</v>
      </c>
      <c r="WV77" s="659">
        <v>-56.655555555555551</v>
      </c>
      <c r="WW77" s="1">
        <v>0.54545454545454541</v>
      </c>
      <c r="WX77" s="672">
        <v>-32.455555555555556</v>
      </c>
      <c r="WY77" s="1">
        <v>0.54545454545454541</v>
      </c>
      <c r="WZ77" s="677"/>
      <c r="XA77" s="1"/>
      <c r="XB77" s="681">
        <v>-45.966666666666661</v>
      </c>
      <c r="XC77" s="1">
        <v>0.44444444444444442</v>
      </c>
      <c r="XD77" s="683">
        <v>-70.711111111111109</v>
      </c>
      <c r="XE77" s="1">
        <v>0.5</v>
      </c>
      <c r="XF77" s="687">
        <v>23.844444444444445</v>
      </c>
      <c r="XG77" s="1">
        <v>0.75</v>
      </c>
      <c r="XH77" s="689">
        <v>7.2555555555555555</v>
      </c>
      <c r="XI77" s="1">
        <v>1</v>
      </c>
      <c r="XJ77" s="696">
        <v>-30.244444444444444</v>
      </c>
      <c r="XK77" s="1">
        <v>0.63636363636363635</v>
      </c>
      <c r="XL77" s="696">
        <v>-20.055555555555557</v>
      </c>
      <c r="XM77" s="1">
        <v>0</v>
      </c>
      <c r="XN77" s="696">
        <v>-129.74444444444444</v>
      </c>
      <c r="XO77" s="1">
        <v>0.375</v>
      </c>
      <c r="XP77" s="700">
        <v>54.499999999999993</v>
      </c>
      <c r="XQ77" s="1">
        <v>0.84615384615384615</v>
      </c>
      <c r="XR77" s="705">
        <v>7.2111111111111112</v>
      </c>
      <c r="XS77" s="1">
        <v>1</v>
      </c>
      <c r="XT77" s="709">
        <v>-20</v>
      </c>
      <c r="XU77" s="1">
        <v>0</v>
      </c>
      <c r="XV77" s="715"/>
      <c r="XW77" s="1"/>
    </row>
    <row r="78" spans="2:647" x14ac:dyDescent="0.25">
      <c r="B78" s="755"/>
      <c r="C78" s="763"/>
      <c r="D78" s="773" t="s">
        <v>68</v>
      </c>
      <c r="E78" s="773"/>
      <c r="F78" s="482">
        <v>1</v>
      </c>
      <c r="G78" s="475" t="s">
        <v>73</v>
      </c>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c r="BU78" s="6"/>
      <c r="BV78" s="6"/>
      <c r="BW78" s="6"/>
      <c r="BX78" s="6"/>
      <c r="BY78" s="95"/>
      <c r="BZ78" s="6"/>
      <c r="CA78" s="95"/>
      <c r="CB78" s="6"/>
      <c r="CC78" s="95"/>
      <c r="CD78" s="6"/>
      <c r="CE78" s="95"/>
      <c r="CF78" s="6"/>
      <c r="CG78" s="95"/>
      <c r="CH78" s="6"/>
      <c r="CI78" s="95"/>
      <c r="CJ78" s="6"/>
      <c r="CK78" s="95"/>
      <c r="CL78" s="6"/>
      <c r="CM78" s="95"/>
      <c r="CN78" s="6"/>
      <c r="CO78" s="95"/>
      <c r="CP78" s="6"/>
      <c r="CQ78" s="95"/>
      <c r="CR78" s="6"/>
      <c r="CS78" s="95"/>
      <c r="CT78" s="6"/>
      <c r="CU78" s="95"/>
      <c r="CV78" s="6"/>
      <c r="CW78" s="95"/>
      <c r="CX78" s="6"/>
      <c r="CY78" s="95"/>
      <c r="CZ78" s="6"/>
      <c r="DA78" s="95"/>
      <c r="DB78" s="6"/>
      <c r="DC78" s="95"/>
      <c r="DD78" s="6"/>
      <c r="DE78" s="95"/>
      <c r="DF78" s="6"/>
      <c r="DG78" s="95"/>
      <c r="DH78" s="6"/>
      <c r="DI78" s="95"/>
      <c r="DJ78" s="6"/>
      <c r="DK78" s="95"/>
      <c r="DL78" s="6"/>
      <c r="DM78" s="95"/>
      <c r="DN78" s="6"/>
      <c r="DO78" s="95"/>
      <c r="DP78" s="6"/>
      <c r="DQ78" s="95"/>
      <c r="DR78" s="6"/>
      <c r="DS78" s="95"/>
      <c r="DT78" s="6"/>
      <c r="DU78" s="95"/>
      <c r="DV78" s="6"/>
      <c r="DW78" s="95"/>
      <c r="DX78" s="6"/>
      <c r="DY78" s="95"/>
      <c r="DZ78" s="6"/>
      <c r="EA78" s="95"/>
      <c r="EB78" s="6"/>
      <c r="EC78" s="95"/>
      <c r="ED78" s="6"/>
      <c r="EE78" s="95"/>
      <c r="EF78" s="6"/>
      <c r="EG78" s="95"/>
      <c r="EH78" s="6"/>
      <c r="EI78" s="95"/>
      <c r="EJ78" s="6"/>
      <c r="EK78" s="95"/>
      <c r="EL78" s="6"/>
      <c r="EM78" s="95"/>
      <c r="EN78" s="6"/>
      <c r="EO78" s="95"/>
      <c r="EP78" s="6"/>
      <c r="EQ78" s="95"/>
      <c r="ER78" s="487"/>
      <c r="ES78" s="1"/>
      <c r="ET78" s="487"/>
      <c r="EU78" s="1"/>
      <c r="EV78" s="487"/>
      <c r="EW78" s="1"/>
      <c r="EX78" s="487"/>
      <c r="EY78" s="1"/>
      <c r="EZ78" s="487"/>
      <c r="FA78" s="1"/>
      <c r="FB78" s="487"/>
      <c r="FC78" s="1"/>
      <c r="FD78" s="487"/>
      <c r="FE78" s="1"/>
      <c r="FF78" s="487"/>
      <c r="FG78" s="1"/>
      <c r="FH78" s="487"/>
      <c r="FI78" s="1"/>
      <c r="FJ78" s="487"/>
      <c r="FK78" s="1"/>
      <c r="FL78" s="487"/>
      <c r="FM78" s="1"/>
      <c r="FN78" s="487"/>
      <c r="FO78" s="1"/>
      <c r="FP78" s="487"/>
      <c r="FQ78" s="1"/>
      <c r="FR78" s="487"/>
      <c r="FS78" s="1"/>
      <c r="FT78" s="487"/>
      <c r="FU78" s="1"/>
      <c r="FV78" s="487"/>
      <c r="FW78" s="1"/>
      <c r="FX78" s="487"/>
      <c r="FY78" s="1"/>
      <c r="FZ78" s="487"/>
      <c r="GA78" s="1"/>
      <c r="GB78" s="487"/>
      <c r="GC78" s="1"/>
      <c r="GD78" s="487"/>
      <c r="GE78" s="1"/>
      <c r="GF78" s="487"/>
      <c r="GG78" s="1"/>
      <c r="GH78" s="487"/>
      <c r="GI78" s="1"/>
      <c r="GJ78" s="487"/>
      <c r="GK78" s="1"/>
      <c r="GL78" s="487"/>
      <c r="GM78" s="1"/>
      <c r="GN78" s="487"/>
      <c r="GO78" s="1"/>
      <c r="GP78" s="487"/>
      <c r="GQ78" s="1"/>
      <c r="GR78" s="487"/>
      <c r="GS78" s="1"/>
      <c r="GT78" s="487"/>
      <c r="GU78" s="1"/>
      <c r="GV78" s="487"/>
      <c r="GW78" s="1"/>
      <c r="GX78" s="487"/>
      <c r="GY78" s="1"/>
      <c r="GZ78" s="487"/>
      <c r="HA78" s="1"/>
      <c r="HB78" s="487"/>
      <c r="HC78" s="1"/>
      <c r="HD78" s="487"/>
      <c r="HE78" s="1"/>
      <c r="HF78" s="487"/>
      <c r="HG78" s="1"/>
      <c r="HH78" s="487"/>
      <c r="HI78" s="1"/>
      <c r="HJ78" s="487"/>
      <c r="HK78" s="1"/>
      <c r="HL78" s="487"/>
      <c r="HM78" s="1"/>
      <c r="HN78" s="487"/>
      <c r="HO78" s="1"/>
      <c r="HP78" s="487"/>
      <c r="HQ78" s="1"/>
      <c r="HR78" s="487"/>
      <c r="HS78" s="1"/>
      <c r="HT78" s="487"/>
      <c r="HU78" s="1"/>
      <c r="HV78" s="487"/>
      <c r="HW78" s="1"/>
      <c r="HX78" s="487"/>
      <c r="HY78" s="1"/>
      <c r="HZ78" s="487"/>
      <c r="IA78" s="1"/>
      <c r="IB78" s="487"/>
      <c r="IC78" s="1"/>
      <c r="ID78" s="487"/>
      <c r="IE78" s="1"/>
      <c r="IF78" s="487"/>
      <c r="IG78" s="1"/>
      <c r="IH78" s="487"/>
      <c r="II78" s="1"/>
      <c r="IJ78" s="487"/>
      <c r="IK78" s="1"/>
      <c r="IL78" s="487"/>
      <c r="IM78" s="1"/>
      <c r="IN78" s="487"/>
      <c r="IO78" s="1"/>
      <c r="IP78" s="487"/>
      <c r="IQ78" s="1"/>
      <c r="IR78" s="487"/>
      <c r="IS78" s="1"/>
      <c r="IT78" s="487"/>
      <c r="IU78" s="1"/>
      <c r="IV78" s="487"/>
      <c r="IW78" s="1"/>
      <c r="IX78" s="487"/>
      <c r="IY78" s="1"/>
      <c r="IZ78" s="487"/>
      <c r="JA78" s="1"/>
      <c r="JB78" s="487"/>
      <c r="JC78" s="1"/>
      <c r="JD78" s="487"/>
      <c r="JE78" s="1"/>
      <c r="JF78" s="487"/>
      <c r="JG78" s="1"/>
      <c r="JH78" s="487"/>
      <c r="JI78" s="1"/>
      <c r="JJ78" s="487"/>
      <c r="JK78" s="1"/>
      <c r="JL78" s="487"/>
      <c r="JM78" s="1"/>
      <c r="JN78" s="487"/>
      <c r="JO78" s="1"/>
      <c r="JP78" s="487"/>
      <c r="JQ78" s="1"/>
      <c r="JR78" s="487"/>
      <c r="JS78" s="1"/>
      <c r="JT78" s="487"/>
      <c r="JU78" s="1"/>
      <c r="JV78" s="487"/>
      <c r="JW78" s="1"/>
      <c r="JX78" s="487"/>
      <c r="JY78" s="1"/>
      <c r="JZ78" s="487"/>
      <c r="KA78" s="1"/>
      <c r="KB78" s="487"/>
      <c r="KC78" s="1"/>
      <c r="KD78" s="487"/>
      <c r="KE78" s="1"/>
      <c r="KF78" s="487"/>
      <c r="KG78" s="1"/>
      <c r="KH78" s="487"/>
      <c r="KI78" s="1"/>
      <c r="KJ78" s="487"/>
      <c r="KK78" s="1"/>
      <c r="KL78" s="487"/>
      <c r="KM78" s="1"/>
      <c r="KN78" s="487"/>
      <c r="KO78" s="1"/>
      <c r="KP78" s="487"/>
      <c r="KQ78" s="1"/>
      <c r="KR78" s="487"/>
      <c r="KS78" s="1"/>
      <c r="KT78" s="487"/>
      <c r="KU78" s="1"/>
      <c r="KV78" s="487"/>
      <c r="KW78" s="1"/>
      <c r="KX78" s="487"/>
      <c r="KY78" s="1"/>
      <c r="KZ78" s="487"/>
      <c r="LA78" s="1"/>
      <c r="LB78" s="487"/>
      <c r="LC78" s="1"/>
      <c r="LD78" s="487"/>
      <c r="LE78" s="1"/>
      <c r="LF78" s="487"/>
      <c r="LG78" s="1"/>
      <c r="LH78" s="487"/>
      <c r="LI78" s="1"/>
      <c r="LJ78" s="487"/>
      <c r="LK78" s="1"/>
      <c r="LL78" s="487"/>
      <c r="LM78" s="1"/>
      <c r="LN78" s="487"/>
      <c r="LO78" s="1"/>
      <c r="LP78" s="487"/>
      <c r="LQ78" s="1"/>
      <c r="LR78" s="487"/>
      <c r="LS78" s="1"/>
      <c r="LT78" s="487"/>
      <c r="LU78" s="1"/>
      <c r="LV78" s="487"/>
      <c r="LW78" s="1"/>
      <c r="LX78" s="487"/>
      <c r="LY78" s="1"/>
      <c r="LZ78" s="487"/>
      <c r="MA78" s="1"/>
      <c r="MB78" s="487"/>
      <c r="MC78" s="1"/>
      <c r="MD78" s="487"/>
      <c r="ME78" s="1"/>
      <c r="MF78" s="487"/>
      <c r="MG78" s="1"/>
      <c r="MH78" s="487"/>
      <c r="MI78" s="1"/>
      <c r="MJ78" s="487"/>
      <c r="MK78" s="1"/>
      <c r="ML78" s="487"/>
      <c r="MM78" s="1"/>
      <c r="MN78" s="487"/>
      <c r="MO78" s="1"/>
      <c r="MP78" s="487"/>
      <c r="MQ78" s="1"/>
      <c r="MR78" s="487"/>
      <c r="MS78" s="1"/>
      <c r="MT78" s="487"/>
      <c r="MU78" s="1"/>
      <c r="MV78" s="487"/>
      <c r="MW78" s="1"/>
      <c r="MX78" s="487"/>
      <c r="MY78" s="1"/>
      <c r="MZ78" s="487"/>
      <c r="NA78" s="1"/>
      <c r="NB78" s="487"/>
      <c r="NC78" s="1"/>
      <c r="ND78" s="487"/>
      <c r="NE78" s="1"/>
      <c r="NF78" s="487"/>
      <c r="NG78" s="1"/>
      <c r="NH78" s="487"/>
      <c r="NI78" s="1"/>
      <c r="NJ78" s="487"/>
      <c r="NK78" s="1"/>
      <c r="NL78" s="487"/>
      <c r="NM78" s="1"/>
      <c r="NN78" s="487"/>
      <c r="NO78" s="1"/>
      <c r="NP78" s="487"/>
      <c r="NQ78" s="1"/>
      <c r="NR78" s="487"/>
      <c r="NS78" s="1"/>
      <c r="NT78" s="487"/>
      <c r="NU78" s="1"/>
      <c r="NV78" s="487"/>
      <c r="NW78" s="1"/>
      <c r="NX78" s="487"/>
      <c r="NY78" s="1"/>
      <c r="NZ78" s="487"/>
      <c r="OA78" s="1"/>
      <c r="OB78" s="487"/>
      <c r="OC78" s="1"/>
      <c r="OD78" s="487"/>
      <c r="OE78" s="1"/>
      <c r="OF78" s="487"/>
      <c r="OG78" s="1"/>
      <c r="OH78" s="487"/>
      <c r="OI78" s="1"/>
      <c r="OJ78" s="487"/>
      <c r="OK78" s="1"/>
      <c r="OL78" s="487"/>
      <c r="OM78" s="1"/>
      <c r="ON78" s="487"/>
      <c r="OO78" s="1"/>
      <c r="OP78" s="487"/>
      <c r="OQ78" s="1"/>
      <c r="OR78" s="487"/>
      <c r="OS78" s="1"/>
      <c r="OT78" s="487"/>
      <c r="OU78" s="1"/>
      <c r="OV78" s="487"/>
      <c r="OW78" s="1"/>
      <c r="OX78" s="487"/>
      <c r="OY78" s="1"/>
      <c r="OZ78" s="487"/>
      <c r="PA78" s="1"/>
      <c r="PB78" s="487"/>
      <c r="PC78" s="1"/>
      <c r="PD78" s="487"/>
      <c r="PE78" s="1"/>
      <c r="PF78" s="487"/>
      <c r="PG78" s="1"/>
      <c r="PH78" s="487"/>
      <c r="PI78" s="1"/>
      <c r="PJ78" s="487"/>
      <c r="PK78" s="1"/>
      <c r="PL78" s="487"/>
      <c r="PM78" s="1"/>
      <c r="PN78" s="487"/>
      <c r="PO78" s="1"/>
      <c r="PP78" s="487"/>
      <c r="PQ78" s="1"/>
      <c r="PR78" s="487"/>
      <c r="PS78" s="1"/>
      <c r="PT78" s="487"/>
      <c r="PU78" s="1"/>
      <c r="PV78" s="487"/>
      <c r="PW78" s="1"/>
      <c r="PX78" s="487"/>
      <c r="PY78" s="1"/>
      <c r="PZ78" s="487"/>
      <c r="QA78" s="1"/>
      <c r="QB78" s="487"/>
      <c r="QC78" s="1"/>
      <c r="QD78" s="487"/>
      <c r="QE78" s="1"/>
      <c r="QF78" s="487"/>
      <c r="QG78" s="1"/>
      <c r="QH78" s="487"/>
      <c r="QI78" s="1"/>
      <c r="QJ78" s="487"/>
      <c r="QK78" s="1"/>
      <c r="QL78" s="487"/>
      <c r="QM78" s="1"/>
      <c r="QN78" s="487"/>
      <c r="QO78" s="1"/>
      <c r="QP78" s="487"/>
      <c r="QQ78" s="1"/>
      <c r="QR78" s="487"/>
      <c r="QS78" s="1"/>
      <c r="QT78" s="487"/>
      <c r="QU78" s="1"/>
      <c r="QV78" s="487"/>
      <c r="QW78" s="1"/>
      <c r="QX78" s="487"/>
      <c r="QY78" s="1"/>
      <c r="QZ78" s="487"/>
      <c r="RA78" s="1"/>
      <c r="RB78" s="487"/>
      <c r="RC78" s="1"/>
      <c r="RD78" s="487"/>
      <c r="RE78" s="1"/>
      <c r="RF78" s="487"/>
      <c r="RG78" s="1"/>
      <c r="RH78" s="487"/>
      <c r="RI78" s="1"/>
      <c r="RJ78" s="487"/>
      <c r="RK78" s="1"/>
      <c r="RL78" s="487"/>
      <c r="RM78" s="1"/>
      <c r="RN78" s="487"/>
      <c r="RO78" s="1"/>
      <c r="RP78" s="487"/>
      <c r="RQ78" s="1"/>
      <c r="RR78" s="487"/>
      <c r="RS78" s="1"/>
      <c r="RT78" s="487"/>
      <c r="RU78" s="1"/>
      <c r="RV78" s="487"/>
      <c r="RW78" s="1"/>
      <c r="RX78" s="487"/>
      <c r="RY78" s="1"/>
      <c r="RZ78" s="487"/>
      <c r="SA78" s="1"/>
      <c r="SB78" s="487"/>
      <c r="SC78" s="1"/>
      <c r="SD78" s="487"/>
      <c r="SE78" s="1"/>
      <c r="SF78" s="487">
        <v>-35.36</v>
      </c>
      <c r="SG78" s="1">
        <v>0</v>
      </c>
      <c r="SH78" s="487">
        <v>-19.07</v>
      </c>
      <c r="SI78" s="1">
        <v>0.4</v>
      </c>
      <c r="SJ78" s="487">
        <v>7.7799999999999994</v>
      </c>
      <c r="SK78" s="1">
        <v>0.7142857142857143</v>
      </c>
      <c r="SL78" s="487">
        <v>-25.27</v>
      </c>
      <c r="SM78" s="1">
        <v>0.33333333333333331</v>
      </c>
      <c r="SN78" s="487"/>
      <c r="SO78" s="1"/>
      <c r="SP78" s="487"/>
      <c r="SQ78" s="1"/>
      <c r="SR78" s="487">
        <v>14.32</v>
      </c>
      <c r="SS78" s="1">
        <v>1</v>
      </c>
      <c r="ST78" s="487">
        <v>-43.68</v>
      </c>
      <c r="SU78" s="1">
        <v>0</v>
      </c>
      <c r="SV78" s="487">
        <v>-30.72</v>
      </c>
      <c r="SW78" s="1">
        <v>0.14285714285714285</v>
      </c>
      <c r="SX78" s="487">
        <v>3.1499999999999995</v>
      </c>
      <c r="SY78" s="1">
        <v>0.66666666666666663</v>
      </c>
      <c r="SZ78" s="487">
        <v>-30.52</v>
      </c>
      <c r="TA78" s="1">
        <v>0.16666666666666666</v>
      </c>
      <c r="TB78" s="487">
        <v>27.19</v>
      </c>
      <c r="TC78" s="1">
        <v>0.8</v>
      </c>
      <c r="TD78" s="487">
        <v>-11.02</v>
      </c>
      <c r="TE78" s="1">
        <v>0</v>
      </c>
      <c r="TF78" s="487">
        <v>-2.36</v>
      </c>
      <c r="TG78" s="1">
        <v>0.66666666666666663</v>
      </c>
      <c r="TH78" s="488">
        <v>7.07</v>
      </c>
      <c r="TI78" s="1">
        <v>1</v>
      </c>
      <c r="TJ78" s="489">
        <v>-41.72</v>
      </c>
      <c r="TK78" s="1">
        <v>0</v>
      </c>
      <c r="TL78" s="490">
        <v>-31.140000000000004</v>
      </c>
      <c r="TM78" s="1">
        <v>0</v>
      </c>
      <c r="TN78" s="495">
        <v>-37.590000000000003</v>
      </c>
      <c r="TO78" s="1">
        <v>0.2</v>
      </c>
      <c r="TP78" s="500"/>
      <c r="TQ78" s="1"/>
      <c r="TR78" s="511">
        <v>-3.9499999999999993</v>
      </c>
      <c r="TS78" s="1">
        <v>0.5</v>
      </c>
      <c r="TT78" s="515">
        <v>17.47</v>
      </c>
      <c r="TU78" s="1">
        <v>0.83333333333333337</v>
      </c>
      <c r="TV78" s="518">
        <v>-22.119999999999997</v>
      </c>
      <c r="TW78" s="1">
        <v>0</v>
      </c>
      <c r="TX78" s="521"/>
      <c r="TY78" s="1"/>
      <c r="TZ78" s="524">
        <v>-1.3999999999999986</v>
      </c>
      <c r="UA78" s="1">
        <v>0.5714285714285714</v>
      </c>
      <c r="UB78" s="527">
        <v>-26.129999999999995</v>
      </c>
      <c r="UC78" s="1">
        <v>0.25</v>
      </c>
      <c r="UD78" s="530">
        <v>-9.5300000000000011</v>
      </c>
      <c r="UE78" s="1">
        <v>0.33333333333333331</v>
      </c>
      <c r="UF78" s="533">
        <v>-35.010000000000005</v>
      </c>
      <c r="UG78" s="1">
        <v>0</v>
      </c>
      <c r="UH78" s="536">
        <v>9.35</v>
      </c>
      <c r="UI78" s="1">
        <v>0.7142857142857143</v>
      </c>
      <c r="UJ78" s="539">
        <v>-8.73</v>
      </c>
      <c r="UK78" s="1">
        <v>0.55555555555555558</v>
      </c>
      <c r="UL78" s="540">
        <v>26.5</v>
      </c>
      <c r="UM78" s="1">
        <v>0.8</v>
      </c>
      <c r="UN78" s="543">
        <v>-22.26</v>
      </c>
      <c r="UO78" s="1">
        <v>0.4</v>
      </c>
      <c r="UP78" s="544">
        <v>-35.430000000000007</v>
      </c>
      <c r="UQ78" s="1">
        <v>0</v>
      </c>
      <c r="UR78" s="551"/>
      <c r="US78" s="1"/>
      <c r="UT78" s="551">
        <v>14.01</v>
      </c>
      <c r="UU78" s="1">
        <v>1</v>
      </c>
      <c r="UV78" s="562">
        <v>26.419999999999998</v>
      </c>
      <c r="UW78" s="1">
        <v>0.8</v>
      </c>
      <c r="UX78" s="566">
        <v>-3.9800000000000004</v>
      </c>
      <c r="UY78" s="1">
        <v>0.66666666666666663</v>
      </c>
      <c r="UZ78" s="568">
        <v>2.5500000000000016</v>
      </c>
      <c r="VA78" s="1">
        <v>0.55555555555555558</v>
      </c>
      <c r="VB78" s="572">
        <v>-11.03</v>
      </c>
      <c r="VC78" s="1">
        <v>0</v>
      </c>
      <c r="VD78" s="576">
        <v>15.75</v>
      </c>
      <c r="VE78" s="1">
        <v>1</v>
      </c>
      <c r="VF78" s="580">
        <v>14.82</v>
      </c>
      <c r="VG78" s="1">
        <v>1</v>
      </c>
      <c r="VH78" s="584">
        <v>-38.76</v>
      </c>
      <c r="VI78" s="1">
        <v>0.16666666666666666</v>
      </c>
      <c r="VJ78" s="589">
        <v>-7.4</v>
      </c>
      <c r="VK78" s="1">
        <v>0</v>
      </c>
      <c r="VL78" s="593">
        <v>-22.09</v>
      </c>
      <c r="VM78" s="1">
        <v>0</v>
      </c>
      <c r="VN78" s="597">
        <v>-3.1999999999999997</v>
      </c>
      <c r="VO78" s="1">
        <v>0.66666666666666663</v>
      </c>
      <c r="VP78" s="601">
        <v>-22.29</v>
      </c>
      <c r="VQ78" s="1">
        <v>0.2</v>
      </c>
      <c r="VR78" s="603">
        <v>-7.57</v>
      </c>
      <c r="VS78" s="1">
        <v>0.5</v>
      </c>
      <c r="VT78" s="607">
        <v>-38.980000000000004</v>
      </c>
      <c r="VU78" s="1">
        <v>0</v>
      </c>
      <c r="VV78" s="609"/>
      <c r="VW78" s="1"/>
      <c r="VX78" s="613"/>
      <c r="VY78" s="1"/>
      <c r="VZ78" s="617"/>
      <c r="WA78" s="1"/>
      <c r="WB78" s="619"/>
      <c r="WC78" s="1"/>
      <c r="WD78" s="624">
        <v>-11.629999999999999</v>
      </c>
      <c r="WE78" s="1">
        <v>0.54545454545454541</v>
      </c>
      <c r="WF78" s="626"/>
      <c r="WG78" s="1"/>
      <c r="WH78" s="630"/>
      <c r="WI78" s="1"/>
      <c r="WJ78" s="636">
        <v>-4.2500000000000009</v>
      </c>
      <c r="WK78" s="1">
        <v>0.5</v>
      </c>
      <c r="WL78" s="638"/>
      <c r="WM78" s="1"/>
      <c r="WN78" s="642"/>
      <c r="WO78" s="1"/>
      <c r="WP78" s="646">
        <v>29.22</v>
      </c>
      <c r="WQ78" s="1">
        <v>1</v>
      </c>
      <c r="WR78" s="652"/>
      <c r="WS78" s="1"/>
      <c r="WT78" s="659">
        <v>-34.33</v>
      </c>
      <c r="WU78" s="1">
        <v>0</v>
      </c>
      <c r="WV78" s="659">
        <v>-35.31</v>
      </c>
      <c r="WW78" s="1">
        <v>0</v>
      </c>
      <c r="WX78" s="672">
        <v>11.129999999999999</v>
      </c>
      <c r="WY78" s="1">
        <v>0.7142857142857143</v>
      </c>
      <c r="WZ78" s="677"/>
      <c r="XA78" s="1"/>
      <c r="XB78" s="681">
        <v>-32.020000000000003</v>
      </c>
      <c r="XC78" s="1">
        <v>0.16666666666666666</v>
      </c>
      <c r="XD78" s="683">
        <v>1.4399999999999995</v>
      </c>
      <c r="XE78" s="1">
        <v>0.5714285714285714</v>
      </c>
      <c r="XF78" s="687">
        <v>21.15</v>
      </c>
      <c r="XG78" s="1">
        <v>1</v>
      </c>
      <c r="XH78" s="689"/>
      <c r="XI78" s="1"/>
      <c r="XJ78" s="696">
        <v>14.54</v>
      </c>
      <c r="XK78" s="1">
        <v>1</v>
      </c>
      <c r="XL78" s="696"/>
      <c r="XM78" s="1"/>
      <c r="XN78" s="696">
        <v>-35.82</v>
      </c>
      <c r="XO78" s="1">
        <v>0</v>
      </c>
      <c r="XP78" s="700">
        <v>-16.529999999999998</v>
      </c>
      <c r="XQ78" s="1">
        <v>0.5</v>
      </c>
      <c r="XR78" s="705"/>
      <c r="XS78" s="1"/>
      <c r="XT78" s="709"/>
      <c r="XU78" s="1"/>
      <c r="XV78" s="715"/>
      <c r="XW78" s="1"/>
    </row>
    <row r="79" spans="2:647" x14ac:dyDescent="0.25">
      <c r="B79" s="755"/>
      <c r="C79" s="763"/>
      <c r="D79" s="773"/>
      <c r="E79" s="773"/>
      <c r="F79" s="482">
        <v>1.1000000000000001</v>
      </c>
      <c r="G79" s="475" t="s">
        <v>70</v>
      </c>
      <c r="H79" s="6"/>
      <c r="I79" s="6"/>
      <c r="J79" s="6"/>
      <c r="K79" s="6"/>
      <c r="L79" s="6"/>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6"/>
      <c r="BU79" s="6"/>
      <c r="BV79" s="6"/>
      <c r="BW79" s="6"/>
      <c r="BX79" s="6"/>
      <c r="BY79" s="95"/>
      <c r="BZ79" s="6"/>
      <c r="CA79" s="95"/>
      <c r="CB79" s="6"/>
      <c r="CC79" s="95"/>
      <c r="CD79" s="6"/>
      <c r="CE79" s="95"/>
      <c r="CF79" s="6"/>
      <c r="CG79" s="95"/>
      <c r="CH79" s="6"/>
      <c r="CI79" s="95"/>
      <c r="CJ79" s="6"/>
      <c r="CK79" s="95"/>
      <c r="CL79" s="6"/>
      <c r="CM79" s="95"/>
      <c r="CN79" s="6"/>
      <c r="CO79" s="95"/>
      <c r="CP79" s="6"/>
      <c r="CQ79" s="95"/>
      <c r="CR79" s="6"/>
      <c r="CS79" s="95"/>
      <c r="CT79" s="6"/>
      <c r="CU79" s="95"/>
      <c r="CV79" s="6"/>
      <c r="CW79" s="95"/>
      <c r="CX79" s="6"/>
      <c r="CY79" s="95"/>
      <c r="CZ79" s="6"/>
      <c r="DA79" s="95"/>
      <c r="DB79" s="6"/>
      <c r="DC79" s="95"/>
      <c r="DD79" s="6"/>
      <c r="DE79" s="95"/>
      <c r="DF79" s="6"/>
      <c r="DG79" s="95"/>
      <c r="DH79" s="6"/>
      <c r="DI79" s="95"/>
      <c r="DJ79" s="6"/>
      <c r="DK79" s="95"/>
      <c r="DL79" s="6"/>
      <c r="DM79" s="95"/>
      <c r="DN79" s="6"/>
      <c r="DO79" s="95"/>
      <c r="DP79" s="6"/>
      <c r="DQ79" s="95"/>
      <c r="DR79" s="6"/>
      <c r="DS79" s="95"/>
      <c r="DT79" s="6"/>
      <c r="DU79" s="95"/>
      <c r="DV79" s="6"/>
      <c r="DW79" s="95"/>
      <c r="DX79" s="6"/>
      <c r="DY79" s="95"/>
      <c r="DZ79" s="6"/>
      <c r="EA79" s="95"/>
      <c r="EB79" s="6"/>
      <c r="EC79" s="95"/>
      <c r="ED79" s="6"/>
      <c r="EE79" s="95"/>
      <c r="EF79" s="6"/>
      <c r="EG79" s="95"/>
      <c r="EH79" s="6"/>
      <c r="EI79" s="95"/>
      <c r="EJ79" s="6"/>
      <c r="EK79" s="95"/>
      <c r="EL79" s="6"/>
      <c r="EM79" s="95"/>
      <c r="EN79" s="6"/>
      <c r="EO79" s="95"/>
      <c r="EP79" s="6"/>
      <c r="EQ79" s="95"/>
      <c r="ER79" s="487"/>
      <c r="ES79" s="1"/>
      <c r="ET79" s="487"/>
      <c r="EU79" s="1"/>
      <c r="EV79" s="487"/>
      <c r="EW79" s="1"/>
      <c r="EX79" s="487"/>
      <c r="EY79" s="1"/>
      <c r="EZ79" s="487"/>
      <c r="FA79" s="1"/>
      <c r="FB79" s="487"/>
      <c r="FC79" s="1"/>
      <c r="FD79" s="487"/>
      <c r="FE79" s="1"/>
      <c r="FF79" s="487"/>
      <c r="FG79" s="1"/>
      <c r="FH79" s="487"/>
      <c r="FI79" s="1"/>
      <c r="FJ79" s="487"/>
      <c r="FK79" s="1"/>
      <c r="FL79" s="487"/>
      <c r="FM79" s="1"/>
      <c r="FN79" s="487"/>
      <c r="FO79" s="1"/>
      <c r="FP79" s="487"/>
      <c r="FQ79" s="1"/>
      <c r="FR79" s="487"/>
      <c r="FS79" s="1"/>
      <c r="FT79" s="487"/>
      <c r="FU79" s="1"/>
      <c r="FV79" s="487"/>
      <c r="FW79" s="1"/>
      <c r="FX79" s="487"/>
      <c r="FY79" s="1"/>
      <c r="FZ79" s="487"/>
      <c r="GA79" s="1"/>
      <c r="GB79" s="487"/>
      <c r="GC79" s="1"/>
      <c r="GD79" s="487"/>
      <c r="GE79" s="1"/>
      <c r="GF79" s="487"/>
      <c r="GG79" s="1"/>
      <c r="GH79" s="487"/>
      <c r="GI79" s="1"/>
      <c r="GJ79" s="487"/>
      <c r="GK79" s="1"/>
      <c r="GL79" s="487"/>
      <c r="GM79" s="1"/>
      <c r="GN79" s="487"/>
      <c r="GO79" s="1"/>
      <c r="GP79" s="487"/>
      <c r="GQ79" s="1"/>
      <c r="GR79" s="487"/>
      <c r="GS79" s="1"/>
      <c r="GT79" s="487"/>
      <c r="GU79" s="1"/>
      <c r="GV79" s="487"/>
      <c r="GW79" s="1"/>
      <c r="GX79" s="487"/>
      <c r="GY79" s="1"/>
      <c r="GZ79" s="487"/>
      <c r="HA79" s="1"/>
      <c r="HB79" s="487"/>
      <c r="HC79" s="1"/>
      <c r="HD79" s="487"/>
      <c r="HE79" s="1"/>
      <c r="HF79" s="487"/>
      <c r="HG79" s="1"/>
      <c r="HH79" s="487"/>
      <c r="HI79" s="1"/>
      <c r="HJ79" s="487"/>
      <c r="HK79" s="1"/>
      <c r="HL79" s="487"/>
      <c r="HM79" s="1"/>
      <c r="HN79" s="487"/>
      <c r="HO79" s="1"/>
      <c r="HP79" s="487"/>
      <c r="HQ79" s="1"/>
      <c r="HR79" s="487"/>
      <c r="HS79" s="1"/>
      <c r="HT79" s="487"/>
      <c r="HU79" s="1"/>
      <c r="HV79" s="487"/>
      <c r="HW79" s="1"/>
      <c r="HX79" s="487"/>
      <c r="HY79" s="1"/>
      <c r="HZ79" s="487"/>
      <c r="IA79" s="1"/>
      <c r="IB79" s="487"/>
      <c r="IC79" s="1"/>
      <c r="ID79" s="487"/>
      <c r="IE79" s="1"/>
      <c r="IF79" s="487"/>
      <c r="IG79" s="1"/>
      <c r="IH79" s="487"/>
      <c r="II79" s="1"/>
      <c r="IJ79" s="487"/>
      <c r="IK79" s="1"/>
      <c r="IL79" s="487"/>
      <c r="IM79" s="1"/>
      <c r="IN79" s="487"/>
      <c r="IO79" s="1"/>
      <c r="IP79" s="487"/>
      <c r="IQ79" s="1"/>
      <c r="IR79" s="487"/>
      <c r="IS79" s="1"/>
      <c r="IT79" s="487"/>
      <c r="IU79" s="1"/>
      <c r="IV79" s="487"/>
      <c r="IW79" s="1"/>
      <c r="IX79" s="487"/>
      <c r="IY79" s="1"/>
      <c r="IZ79" s="487"/>
      <c r="JA79" s="1"/>
      <c r="JB79" s="487"/>
      <c r="JC79" s="1"/>
      <c r="JD79" s="487"/>
      <c r="JE79" s="1"/>
      <c r="JF79" s="487"/>
      <c r="JG79" s="1"/>
      <c r="JH79" s="487"/>
      <c r="JI79" s="1"/>
      <c r="JJ79" s="487"/>
      <c r="JK79" s="1"/>
      <c r="JL79" s="487"/>
      <c r="JM79" s="1"/>
      <c r="JN79" s="487"/>
      <c r="JO79" s="1"/>
      <c r="JP79" s="487"/>
      <c r="JQ79" s="1"/>
      <c r="JR79" s="487"/>
      <c r="JS79" s="1"/>
      <c r="JT79" s="487"/>
      <c r="JU79" s="1"/>
      <c r="JV79" s="487"/>
      <c r="JW79" s="1"/>
      <c r="JX79" s="487"/>
      <c r="JY79" s="1"/>
      <c r="JZ79" s="487"/>
      <c r="KA79" s="1"/>
      <c r="KB79" s="487"/>
      <c r="KC79" s="1"/>
      <c r="KD79" s="487"/>
      <c r="KE79" s="1"/>
      <c r="KF79" s="487"/>
      <c r="KG79" s="1"/>
      <c r="KH79" s="487"/>
      <c r="KI79" s="1"/>
      <c r="KJ79" s="487"/>
      <c r="KK79" s="1"/>
      <c r="KL79" s="487"/>
      <c r="KM79" s="1"/>
      <c r="KN79" s="487"/>
      <c r="KO79" s="1"/>
      <c r="KP79" s="487"/>
      <c r="KQ79" s="1"/>
      <c r="KR79" s="487"/>
      <c r="KS79" s="1"/>
      <c r="KT79" s="487"/>
      <c r="KU79" s="1"/>
      <c r="KV79" s="487"/>
      <c r="KW79" s="1"/>
      <c r="KX79" s="487"/>
      <c r="KY79" s="1"/>
      <c r="KZ79" s="487"/>
      <c r="LA79" s="1"/>
      <c r="LB79" s="487"/>
      <c r="LC79" s="1"/>
      <c r="LD79" s="487"/>
      <c r="LE79" s="1"/>
      <c r="LF79" s="487"/>
      <c r="LG79" s="1"/>
      <c r="LH79" s="487"/>
      <c r="LI79" s="1"/>
      <c r="LJ79" s="487"/>
      <c r="LK79" s="1"/>
      <c r="LL79" s="487"/>
      <c r="LM79" s="1"/>
      <c r="LN79" s="487"/>
      <c r="LO79" s="1"/>
      <c r="LP79" s="487"/>
      <c r="LQ79" s="1"/>
      <c r="LR79" s="487"/>
      <c r="LS79" s="1"/>
      <c r="LT79" s="487"/>
      <c r="LU79" s="1"/>
      <c r="LV79" s="487"/>
      <c r="LW79" s="1"/>
      <c r="LX79" s="487"/>
      <c r="LY79" s="1"/>
      <c r="LZ79" s="487"/>
      <c r="MA79" s="1"/>
      <c r="MB79" s="487"/>
      <c r="MC79" s="1"/>
      <c r="MD79" s="487"/>
      <c r="ME79" s="1"/>
      <c r="MF79" s="487"/>
      <c r="MG79" s="1"/>
      <c r="MH79" s="487"/>
      <c r="MI79" s="1"/>
      <c r="MJ79" s="487"/>
      <c r="MK79" s="1"/>
      <c r="ML79" s="487"/>
      <c r="MM79" s="1"/>
      <c r="MN79" s="487"/>
      <c r="MO79" s="1"/>
      <c r="MP79" s="487"/>
      <c r="MQ79" s="1"/>
      <c r="MR79" s="487"/>
      <c r="MS79" s="1"/>
      <c r="MT79" s="487"/>
      <c r="MU79" s="1"/>
      <c r="MV79" s="487"/>
      <c r="MW79" s="1"/>
      <c r="MX79" s="487"/>
      <c r="MY79" s="1"/>
      <c r="MZ79" s="487"/>
      <c r="NA79" s="1"/>
      <c r="NB79" s="487"/>
      <c r="NC79" s="1"/>
      <c r="ND79" s="487"/>
      <c r="NE79" s="1"/>
      <c r="NF79" s="487"/>
      <c r="NG79" s="1"/>
      <c r="NH79" s="487"/>
      <c r="NI79" s="1"/>
      <c r="NJ79" s="487"/>
      <c r="NK79" s="1"/>
      <c r="NL79" s="487"/>
      <c r="NM79" s="1"/>
      <c r="NN79" s="487"/>
      <c r="NO79" s="1"/>
      <c r="NP79" s="487"/>
      <c r="NQ79" s="1"/>
      <c r="NR79" s="487"/>
      <c r="NS79" s="1"/>
      <c r="NT79" s="487"/>
      <c r="NU79" s="1"/>
      <c r="NV79" s="487"/>
      <c r="NW79" s="1"/>
      <c r="NX79" s="487"/>
      <c r="NY79" s="1"/>
      <c r="NZ79" s="487"/>
      <c r="OA79" s="1"/>
      <c r="OB79" s="487"/>
      <c r="OC79" s="1"/>
      <c r="OD79" s="487"/>
      <c r="OE79" s="1"/>
      <c r="OF79" s="487"/>
      <c r="OG79" s="1"/>
      <c r="OH79" s="487"/>
      <c r="OI79" s="1"/>
      <c r="OJ79" s="487"/>
      <c r="OK79" s="1"/>
      <c r="OL79" s="487"/>
      <c r="OM79" s="1"/>
      <c r="ON79" s="487"/>
      <c r="OO79" s="1"/>
      <c r="OP79" s="487"/>
      <c r="OQ79" s="1"/>
      <c r="OR79" s="487"/>
      <c r="OS79" s="1"/>
      <c r="OT79" s="487"/>
      <c r="OU79" s="1"/>
      <c r="OV79" s="487"/>
      <c r="OW79" s="1"/>
      <c r="OX79" s="487"/>
      <c r="OY79" s="1"/>
      <c r="OZ79" s="487"/>
      <c r="PA79" s="1"/>
      <c r="PB79" s="487"/>
      <c r="PC79" s="1"/>
      <c r="PD79" s="487"/>
      <c r="PE79" s="1"/>
      <c r="PF79" s="487"/>
      <c r="PG79" s="1"/>
      <c r="PH79" s="487"/>
      <c r="PI79" s="1"/>
      <c r="PJ79" s="487"/>
      <c r="PK79" s="1"/>
      <c r="PL79" s="487"/>
      <c r="PM79" s="1"/>
      <c r="PN79" s="487"/>
      <c r="PO79" s="1"/>
      <c r="PP79" s="487"/>
      <c r="PQ79" s="1"/>
      <c r="PR79" s="487"/>
      <c r="PS79" s="1"/>
      <c r="PT79" s="487"/>
      <c r="PU79" s="1"/>
      <c r="PV79" s="487"/>
      <c r="PW79" s="1"/>
      <c r="PX79" s="487"/>
      <c r="PY79" s="1"/>
      <c r="PZ79" s="487"/>
      <c r="QA79" s="1"/>
      <c r="QB79" s="487"/>
      <c r="QC79" s="1"/>
      <c r="QD79" s="487"/>
      <c r="QE79" s="1"/>
      <c r="QF79" s="487"/>
      <c r="QG79" s="1"/>
      <c r="QH79" s="487"/>
      <c r="QI79" s="1"/>
      <c r="QJ79" s="487"/>
      <c r="QK79" s="1"/>
      <c r="QL79" s="487"/>
      <c r="QM79" s="1"/>
      <c r="QN79" s="487"/>
      <c r="QO79" s="1"/>
      <c r="QP79" s="487"/>
      <c r="QQ79" s="1"/>
      <c r="QR79" s="487"/>
      <c r="QS79" s="1"/>
      <c r="QT79" s="487"/>
      <c r="QU79" s="1"/>
      <c r="QV79" s="487"/>
      <c r="QW79" s="1"/>
      <c r="QX79" s="487"/>
      <c r="QY79" s="1"/>
      <c r="QZ79" s="487"/>
      <c r="RA79" s="1"/>
      <c r="RB79" s="487"/>
      <c r="RC79" s="1"/>
      <c r="RD79" s="487"/>
      <c r="RE79" s="1"/>
      <c r="RF79" s="487"/>
      <c r="RG79" s="1"/>
      <c r="RH79" s="487"/>
      <c r="RI79" s="1"/>
      <c r="RJ79" s="487"/>
      <c r="RK79" s="1"/>
      <c r="RL79" s="487"/>
      <c r="RM79" s="1"/>
      <c r="RN79" s="487"/>
      <c r="RO79" s="1"/>
      <c r="RP79" s="487"/>
      <c r="RQ79" s="1"/>
      <c r="RR79" s="487"/>
      <c r="RS79" s="1"/>
      <c r="RT79" s="487"/>
      <c r="RU79" s="1"/>
      <c r="RV79" s="487"/>
      <c r="RW79" s="1"/>
      <c r="RX79" s="487"/>
      <c r="RY79" s="1"/>
      <c r="RZ79" s="487"/>
      <c r="SA79" s="1"/>
      <c r="SB79" s="487"/>
      <c r="SC79" s="1"/>
      <c r="SD79" s="487"/>
      <c r="SE79" s="1"/>
      <c r="SF79" s="487">
        <v>-2.2363636363636368</v>
      </c>
      <c r="SG79" s="1">
        <v>0.5</v>
      </c>
      <c r="SH79" s="487"/>
      <c r="SI79" s="1"/>
      <c r="SJ79" s="487">
        <v>1.5181818181818181</v>
      </c>
      <c r="SK79" s="1">
        <v>1</v>
      </c>
      <c r="SL79" s="487">
        <v>-14.890909090909089</v>
      </c>
      <c r="SM79" s="1">
        <v>0</v>
      </c>
      <c r="SN79" s="487"/>
      <c r="SO79" s="1"/>
      <c r="SP79" s="487"/>
      <c r="SQ79" s="1"/>
      <c r="SR79" s="487"/>
      <c r="SS79" s="1"/>
      <c r="ST79" s="487">
        <v>0.36363636363636365</v>
      </c>
      <c r="SU79" s="1">
        <v>0.5</v>
      </c>
      <c r="SV79" s="487">
        <v>-2.918181818181818</v>
      </c>
      <c r="SW79" s="1">
        <v>0.5</v>
      </c>
      <c r="SX79" s="487">
        <v>-11.17272727272727</v>
      </c>
      <c r="SY79" s="1">
        <v>0</v>
      </c>
      <c r="SZ79" s="487"/>
      <c r="TA79" s="1"/>
      <c r="TB79" s="487">
        <v>3.4818181818181815</v>
      </c>
      <c r="TC79" s="1">
        <v>0.66666666666666663</v>
      </c>
      <c r="TD79" s="487">
        <v>-11.109090909090909</v>
      </c>
      <c r="TE79" s="1">
        <v>0</v>
      </c>
      <c r="TF79" s="487"/>
      <c r="TG79" s="1"/>
      <c r="TH79" s="488"/>
      <c r="TI79" s="1"/>
      <c r="TJ79" s="489">
        <v>-22.136363636363637</v>
      </c>
      <c r="TK79" s="1">
        <v>0</v>
      </c>
      <c r="TL79" s="490">
        <v>-3.2909090909090901</v>
      </c>
      <c r="TM79" s="1">
        <v>0.5</v>
      </c>
      <c r="TN79" s="495">
        <v>-3.0272727272727269</v>
      </c>
      <c r="TO79" s="1">
        <v>0.5</v>
      </c>
      <c r="TP79" s="500"/>
      <c r="TQ79" s="1"/>
      <c r="TR79" s="511"/>
      <c r="TS79" s="1"/>
      <c r="TT79" s="515"/>
      <c r="TU79" s="1"/>
      <c r="TV79" s="518">
        <v>-11.2</v>
      </c>
      <c r="TW79" s="1">
        <v>0</v>
      </c>
      <c r="TX79" s="521"/>
      <c r="TY79" s="1"/>
      <c r="TZ79" s="524">
        <v>-12.890909090909089</v>
      </c>
      <c r="UA79" s="1">
        <v>0</v>
      </c>
      <c r="UB79" s="527">
        <v>-18.927272727272726</v>
      </c>
      <c r="UC79" s="1">
        <v>0</v>
      </c>
      <c r="UD79" s="530"/>
      <c r="UE79" s="1"/>
      <c r="UF79" s="533"/>
      <c r="UG79" s="1"/>
      <c r="UH79" s="536">
        <v>11.763636363636362</v>
      </c>
      <c r="UI79" s="1">
        <v>1</v>
      </c>
      <c r="UJ79" s="539">
        <v>-11.009090909090908</v>
      </c>
      <c r="UK79" s="1">
        <v>0</v>
      </c>
      <c r="UL79" s="540">
        <v>7.3000000000000007</v>
      </c>
      <c r="UM79" s="1">
        <v>0.66666666666666663</v>
      </c>
      <c r="UN79" s="543">
        <v>-7.1999999999999993</v>
      </c>
      <c r="UO79" s="1">
        <v>0.33333333333333331</v>
      </c>
      <c r="UP79" s="544">
        <v>-8.8999999999999986</v>
      </c>
      <c r="UQ79" s="1">
        <v>0.33333333333333331</v>
      </c>
      <c r="UR79" s="551"/>
      <c r="US79" s="1"/>
      <c r="UT79" s="551"/>
      <c r="UU79" s="1"/>
      <c r="UV79" s="562"/>
      <c r="UW79" s="1"/>
      <c r="UX79" s="566">
        <v>8.127272727272727</v>
      </c>
      <c r="UY79" s="1">
        <v>1</v>
      </c>
      <c r="UZ79" s="568">
        <v>4.918181818181818</v>
      </c>
      <c r="VA79" s="1">
        <v>0.66666666666666663</v>
      </c>
      <c r="VB79" s="572"/>
      <c r="VC79" s="1"/>
      <c r="VD79" s="576">
        <v>16.418181818181818</v>
      </c>
      <c r="VE79" s="1">
        <v>1</v>
      </c>
      <c r="VF79" s="580">
        <v>16.236363636363635</v>
      </c>
      <c r="VG79" s="1">
        <v>1</v>
      </c>
      <c r="VH79" s="584"/>
      <c r="VI79" s="1"/>
      <c r="VJ79" s="589"/>
      <c r="VK79" s="1"/>
      <c r="VL79" s="593"/>
      <c r="VM79" s="1"/>
      <c r="VN79" s="597">
        <v>-1.9818181818181821</v>
      </c>
      <c r="VO79" s="1">
        <v>0.66666666666666663</v>
      </c>
      <c r="VP79" s="601">
        <v>-0.67272727272727262</v>
      </c>
      <c r="VQ79" s="1">
        <v>0</v>
      </c>
      <c r="VR79" s="603">
        <v>-11.272727272727272</v>
      </c>
      <c r="VS79" s="1">
        <v>0</v>
      </c>
      <c r="VT79" s="607">
        <v>-29.09090909090909</v>
      </c>
      <c r="VU79" s="1">
        <v>0</v>
      </c>
      <c r="VV79" s="609"/>
      <c r="VW79" s="1"/>
      <c r="VX79" s="613"/>
      <c r="VY79" s="1"/>
      <c r="VZ79" s="617"/>
      <c r="WA79" s="1"/>
      <c r="WB79" s="619"/>
      <c r="WC79" s="1"/>
      <c r="WD79" s="624"/>
      <c r="WE79" s="1"/>
      <c r="WF79" s="626"/>
      <c r="WG79" s="1"/>
      <c r="WH79" s="630"/>
      <c r="WI79" s="1"/>
      <c r="WJ79" s="636">
        <v>-3.1</v>
      </c>
      <c r="WK79" s="1">
        <v>0.5</v>
      </c>
      <c r="WL79" s="638"/>
      <c r="WM79" s="1"/>
      <c r="WN79" s="642"/>
      <c r="WO79" s="1"/>
      <c r="WP79" s="646"/>
      <c r="WQ79" s="1"/>
      <c r="WR79" s="652"/>
      <c r="WS79" s="1"/>
      <c r="WT79" s="659">
        <v>-19.645454545454548</v>
      </c>
      <c r="WU79" s="1">
        <v>0.33333333333333331</v>
      </c>
      <c r="WV79" s="659">
        <v>-19.536363636363635</v>
      </c>
      <c r="WW79" s="1">
        <v>0</v>
      </c>
      <c r="WX79" s="672"/>
      <c r="WY79" s="1"/>
      <c r="WZ79" s="677"/>
      <c r="XA79" s="1"/>
      <c r="XB79" s="681">
        <v>-22.3</v>
      </c>
      <c r="XC79" s="1">
        <v>0</v>
      </c>
      <c r="XD79" s="683">
        <v>-0.49090909090909007</v>
      </c>
      <c r="XE79" s="1">
        <v>0.66666666666666663</v>
      </c>
      <c r="XF79" s="687">
        <v>16.40909090909091</v>
      </c>
      <c r="XG79" s="1">
        <v>1</v>
      </c>
      <c r="XH79" s="689"/>
      <c r="XI79" s="1"/>
      <c r="XJ79" s="696">
        <v>8.045454545454545</v>
      </c>
      <c r="XK79" s="1">
        <v>1</v>
      </c>
      <c r="XL79" s="696"/>
      <c r="XM79" s="1"/>
      <c r="XN79" s="696">
        <v>-11.245454545454546</v>
      </c>
      <c r="XO79" s="1">
        <v>0.33333333333333331</v>
      </c>
      <c r="XP79" s="700">
        <v>8.3818181818181809</v>
      </c>
      <c r="XQ79" s="1">
        <v>1</v>
      </c>
      <c r="XR79" s="705"/>
      <c r="XS79" s="1"/>
      <c r="XT79" s="709"/>
      <c r="XU79" s="1"/>
      <c r="XV79" s="715"/>
      <c r="XW79" s="1"/>
    </row>
    <row r="80" spans="2:647" x14ac:dyDescent="0.25">
      <c r="B80" s="755"/>
      <c r="C80" s="723"/>
      <c r="D80" s="774"/>
      <c r="E80" s="774"/>
      <c r="F80" s="483">
        <v>1.2</v>
      </c>
      <c r="G80" s="479" t="s">
        <v>72</v>
      </c>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c r="BU80" s="6"/>
      <c r="BV80" s="6"/>
      <c r="BW80" s="6"/>
      <c r="BX80" s="6"/>
      <c r="BY80" s="95"/>
      <c r="BZ80" s="6"/>
      <c r="CA80" s="95"/>
      <c r="CB80" s="6"/>
      <c r="CC80" s="95"/>
      <c r="CD80" s="6"/>
      <c r="CE80" s="95"/>
      <c r="CF80" s="6"/>
      <c r="CG80" s="95"/>
      <c r="CH80" s="6"/>
      <c r="CI80" s="95"/>
      <c r="CJ80" s="6"/>
      <c r="CK80" s="95"/>
      <c r="CL80" s="6"/>
      <c r="CM80" s="95"/>
      <c r="CN80" s="6"/>
      <c r="CO80" s="95"/>
      <c r="CP80" s="6"/>
      <c r="CQ80" s="95"/>
      <c r="CR80" s="6"/>
      <c r="CS80" s="95"/>
      <c r="CT80" s="6"/>
      <c r="CU80" s="95"/>
      <c r="CV80" s="6"/>
      <c r="CW80" s="95"/>
      <c r="CX80" s="6"/>
      <c r="CY80" s="95"/>
      <c r="CZ80" s="6"/>
      <c r="DA80" s="95"/>
      <c r="DB80" s="6"/>
      <c r="DC80" s="95"/>
      <c r="DD80" s="6"/>
      <c r="DE80" s="95"/>
      <c r="DF80" s="6"/>
      <c r="DG80" s="95"/>
      <c r="DH80" s="6"/>
      <c r="DI80" s="95"/>
      <c r="DJ80" s="6"/>
      <c r="DK80" s="95"/>
      <c r="DL80" s="6"/>
      <c r="DM80" s="95"/>
      <c r="DN80" s="6"/>
      <c r="DO80" s="95"/>
      <c r="DP80" s="6"/>
      <c r="DQ80" s="95"/>
      <c r="DR80" s="6"/>
      <c r="DS80" s="95"/>
      <c r="DT80" s="6"/>
      <c r="DU80" s="95"/>
      <c r="DV80" s="6"/>
      <c r="DW80" s="95"/>
      <c r="DX80" s="6"/>
      <c r="DY80" s="95"/>
      <c r="DZ80" s="6"/>
      <c r="EA80" s="95"/>
      <c r="EB80" s="6"/>
      <c r="EC80" s="95"/>
      <c r="ED80" s="6"/>
      <c r="EE80" s="95"/>
      <c r="EF80" s="6"/>
      <c r="EG80" s="95"/>
      <c r="EH80" s="6"/>
      <c r="EI80" s="95"/>
      <c r="EJ80" s="6"/>
      <c r="EK80" s="95"/>
      <c r="EL80" s="6"/>
      <c r="EM80" s="95"/>
      <c r="EN80" s="6"/>
      <c r="EO80" s="95"/>
      <c r="EP80" s="6"/>
      <c r="EQ80" s="95"/>
      <c r="ER80" s="4"/>
      <c r="ES80" s="5"/>
      <c r="ET80" s="4"/>
      <c r="EU80" s="5"/>
      <c r="EV80" s="4"/>
      <c r="EW80" s="5"/>
      <c r="EX80" s="4"/>
      <c r="EY80" s="5"/>
      <c r="EZ80" s="4"/>
      <c r="FA80" s="5"/>
      <c r="FB80" s="4"/>
      <c r="FC80" s="5"/>
      <c r="FD80" s="4"/>
      <c r="FE80" s="5"/>
      <c r="FF80" s="4"/>
      <c r="FG80" s="5"/>
      <c r="FH80" s="4"/>
      <c r="FI80" s="5"/>
      <c r="FJ80" s="4"/>
      <c r="FK80" s="5"/>
      <c r="FL80" s="4"/>
      <c r="FM80" s="5"/>
      <c r="FN80" s="4"/>
      <c r="FO80" s="5"/>
      <c r="FP80" s="4"/>
      <c r="FQ80" s="5"/>
      <c r="FR80" s="4"/>
      <c r="FS80" s="5"/>
      <c r="FT80" s="4"/>
      <c r="FU80" s="5"/>
      <c r="FV80" s="4"/>
      <c r="FW80" s="5"/>
      <c r="FX80" s="4"/>
      <c r="FY80" s="5"/>
      <c r="FZ80" s="4"/>
      <c r="GA80" s="5"/>
      <c r="GB80" s="4"/>
      <c r="GC80" s="5"/>
      <c r="GD80" s="4"/>
      <c r="GE80" s="5"/>
      <c r="GF80" s="4"/>
      <c r="GG80" s="5"/>
      <c r="GH80" s="4"/>
      <c r="GI80" s="5"/>
      <c r="GJ80" s="4"/>
      <c r="GK80" s="5"/>
      <c r="GL80" s="4"/>
      <c r="GM80" s="5"/>
      <c r="GN80" s="4"/>
      <c r="GO80" s="5"/>
      <c r="GP80" s="4"/>
      <c r="GQ80" s="5"/>
      <c r="GR80" s="4"/>
      <c r="GS80" s="5"/>
      <c r="GT80" s="4"/>
      <c r="GU80" s="5"/>
      <c r="GV80" s="4"/>
      <c r="GW80" s="5"/>
      <c r="GX80" s="4"/>
      <c r="GY80" s="5"/>
      <c r="GZ80" s="4"/>
      <c r="HA80" s="5"/>
      <c r="HB80" s="4"/>
      <c r="HC80" s="5"/>
      <c r="HD80" s="4"/>
      <c r="HE80" s="5"/>
      <c r="HF80" s="4"/>
      <c r="HG80" s="5"/>
      <c r="HH80" s="4"/>
      <c r="HI80" s="5"/>
      <c r="HJ80" s="4"/>
      <c r="HK80" s="5"/>
      <c r="HL80" s="4"/>
      <c r="HM80" s="5"/>
      <c r="HN80" s="4"/>
      <c r="HO80" s="5"/>
      <c r="HP80" s="4"/>
      <c r="HQ80" s="5"/>
      <c r="HR80" s="4"/>
      <c r="HS80" s="5"/>
      <c r="HT80" s="4"/>
      <c r="HU80" s="5"/>
      <c r="HV80" s="4"/>
      <c r="HW80" s="5"/>
      <c r="HX80" s="4"/>
      <c r="HY80" s="5"/>
      <c r="HZ80" s="4"/>
      <c r="IA80" s="5"/>
      <c r="IB80" s="4"/>
      <c r="IC80" s="5"/>
      <c r="ID80" s="4"/>
      <c r="IE80" s="5"/>
      <c r="IF80" s="4"/>
      <c r="IG80" s="5"/>
      <c r="IH80" s="4"/>
      <c r="II80" s="5"/>
      <c r="IJ80" s="4"/>
      <c r="IK80" s="5"/>
      <c r="IL80" s="4"/>
      <c r="IM80" s="5"/>
      <c r="IN80" s="4"/>
      <c r="IO80" s="5"/>
      <c r="IP80" s="4"/>
      <c r="IQ80" s="5"/>
      <c r="IR80" s="4"/>
      <c r="IS80" s="5"/>
      <c r="IT80" s="4"/>
      <c r="IU80" s="5"/>
      <c r="IV80" s="4"/>
      <c r="IW80" s="5"/>
      <c r="IX80" s="4"/>
      <c r="IY80" s="5"/>
      <c r="IZ80" s="4"/>
      <c r="JA80" s="5"/>
      <c r="JB80" s="4"/>
      <c r="JC80" s="5"/>
      <c r="JD80" s="4"/>
      <c r="JE80" s="5"/>
      <c r="JF80" s="4"/>
      <c r="JG80" s="5"/>
      <c r="JH80" s="4"/>
      <c r="JI80" s="5"/>
      <c r="JJ80" s="4"/>
      <c r="JK80" s="5"/>
      <c r="JL80" s="4"/>
      <c r="JM80" s="5"/>
      <c r="JN80" s="4"/>
      <c r="JO80" s="5"/>
      <c r="JP80" s="4"/>
      <c r="JQ80" s="5"/>
      <c r="JR80" s="4"/>
      <c r="JS80" s="5"/>
      <c r="JT80" s="4"/>
      <c r="JU80" s="5"/>
      <c r="JV80" s="4"/>
      <c r="JW80" s="5"/>
      <c r="JX80" s="4"/>
      <c r="JY80" s="5"/>
      <c r="JZ80" s="4"/>
      <c r="KA80" s="5"/>
      <c r="KB80" s="4"/>
      <c r="KC80" s="5"/>
      <c r="KD80" s="4"/>
      <c r="KE80" s="5"/>
      <c r="KF80" s="4"/>
      <c r="KG80" s="5"/>
      <c r="KH80" s="4"/>
      <c r="KI80" s="5"/>
      <c r="KJ80" s="4"/>
      <c r="KK80" s="5"/>
      <c r="KL80" s="4"/>
      <c r="KM80" s="5"/>
      <c r="KN80" s="4"/>
      <c r="KO80" s="5"/>
      <c r="KP80" s="4"/>
      <c r="KQ80" s="5"/>
      <c r="KR80" s="4"/>
      <c r="KS80" s="5"/>
      <c r="KT80" s="4"/>
      <c r="KU80" s="5"/>
      <c r="KV80" s="4"/>
      <c r="KW80" s="5"/>
      <c r="KX80" s="4"/>
      <c r="KY80" s="5"/>
      <c r="KZ80" s="4"/>
      <c r="LA80" s="5"/>
      <c r="LB80" s="4"/>
      <c r="LC80" s="5"/>
      <c r="LD80" s="4"/>
      <c r="LE80" s="5"/>
      <c r="LF80" s="4"/>
      <c r="LG80" s="5"/>
      <c r="LH80" s="4"/>
      <c r="LI80" s="5"/>
      <c r="LJ80" s="4"/>
      <c r="LK80" s="5"/>
      <c r="LL80" s="4"/>
      <c r="LM80" s="5"/>
      <c r="LN80" s="4"/>
      <c r="LO80" s="5"/>
      <c r="LP80" s="4"/>
      <c r="LQ80" s="5"/>
      <c r="LR80" s="4"/>
      <c r="LS80" s="5"/>
      <c r="LT80" s="4"/>
      <c r="LU80" s="5"/>
      <c r="LV80" s="4"/>
      <c r="LW80" s="5"/>
      <c r="LX80" s="4"/>
      <c r="LY80" s="5"/>
      <c r="LZ80" s="4"/>
      <c r="MA80" s="5"/>
      <c r="MB80" s="4"/>
      <c r="MC80" s="5"/>
      <c r="MD80" s="4"/>
      <c r="ME80" s="5"/>
      <c r="MF80" s="4"/>
      <c r="MG80" s="5"/>
      <c r="MH80" s="4"/>
      <c r="MI80" s="5"/>
      <c r="MJ80" s="4"/>
      <c r="MK80" s="5"/>
      <c r="ML80" s="4"/>
      <c r="MM80" s="5"/>
      <c r="MN80" s="4"/>
      <c r="MO80" s="5"/>
      <c r="MP80" s="4"/>
      <c r="MQ80" s="5"/>
      <c r="MR80" s="4"/>
      <c r="MS80" s="5"/>
      <c r="MT80" s="4"/>
      <c r="MU80" s="5"/>
      <c r="MV80" s="4"/>
      <c r="MW80" s="5"/>
      <c r="MX80" s="4"/>
      <c r="MY80" s="5"/>
      <c r="MZ80" s="4"/>
      <c r="NA80" s="5"/>
      <c r="NB80" s="4"/>
      <c r="NC80" s="5"/>
      <c r="ND80" s="4"/>
      <c r="NE80" s="5"/>
      <c r="NF80" s="4"/>
      <c r="NG80" s="5"/>
      <c r="NH80" s="4"/>
      <c r="NI80" s="5"/>
      <c r="NJ80" s="4"/>
      <c r="NK80" s="5"/>
      <c r="NL80" s="4"/>
      <c r="NM80" s="5"/>
      <c r="NN80" s="4"/>
      <c r="NO80" s="5"/>
      <c r="NP80" s="4"/>
      <c r="NQ80" s="5"/>
      <c r="NR80" s="4"/>
      <c r="NS80" s="5"/>
      <c r="NT80" s="4"/>
      <c r="NU80" s="5"/>
      <c r="NV80" s="4"/>
      <c r="NW80" s="5"/>
      <c r="NX80" s="4"/>
      <c r="NY80" s="5"/>
      <c r="NZ80" s="4"/>
      <c r="OA80" s="5"/>
      <c r="OB80" s="4"/>
      <c r="OC80" s="5"/>
      <c r="OD80" s="4"/>
      <c r="OE80" s="5"/>
      <c r="OF80" s="4"/>
      <c r="OG80" s="5"/>
      <c r="OH80" s="4"/>
      <c r="OI80" s="5"/>
      <c r="OJ80" s="4"/>
      <c r="OK80" s="5"/>
      <c r="OL80" s="4"/>
      <c r="OM80" s="5"/>
      <c r="ON80" s="4"/>
      <c r="OO80" s="5"/>
      <c r="OP80" s="4"/>
      <c r="OQ80" s="5"/>
      <c r="OR80" s="4"/>
      <c r="OS80" s="5"/>
      <c r="OT80" s="4"/>
      <c r="OU80" s="5"/>
      <c r="OV80" s="4"/>
      <c r="OW80" s="5"/>
      <c r="OX80" s="4"/>
      <c r="OY80" s="5"/>
      <c r="OZ80" s="4"/>
      <c r="PA80" s="5"/>
      <c r="PB80" s="4"/>
      <c r="PC80" s="5"/>
      <c r="PD80" s="4"/>
      <c r="PE80" s="5"/>
      <c r="PF80" s="4"/>
      <c r="PG80" s="5"/>
      <c r="PH80" s="4"/>
      <c r="PI80" s="5"/>
      <c r="PJ80" s="4"/>
      <c r="PK80" s="5"/>
      <c r="PL80" s="4"/>
      <c r="PM80" s="5"/>
      <c r="PN80" s="4"/>
      <c r="PO80" s="5"/>
      <c r="PP80" s="4"/>
      <c r="PQ80" s="5"/>
      <c r="PR80" s="4"/>
      <c r="PS80" s="5"/>
      <c r="PT80" s="4"/>
      <c r="PU80" s="5"/>
      <c r="PV80" s="4"/>
      <c r="PW80" s="5"/>
      <c r="PX80" s="4"/>
      <c r="PY80" s="5"/>
      <c r="PZ80" s="4"/>
      <c r="QA80" s="5"/>
      <c r="QB80" s="4"/>
      <c r="QC80" s="5"/>
      <c r="QD80" s="4"/>
      <c r="QE80" s="5"/>
      <c r="QF80" s="4"/>
      <c r="QG80" s="5"/>
      <c r="QH80" s="4"/>
      <c r="QI80" s="5"/>
      <c r="QJ80" s="4"/>
      <c r="QK80" s="5"/>
      <c r="QL80" s="4"/>
      <c r="QM80" s="5"/>
      <c r="QN80" s="4"/>
      <c r="QO80" s="5"/>
      <c r="QP80" s="4"/>
      <c r="QQ80" s="5"/>
      <c r="QR80" s="4"/>
      <c r="QS80" s="5"/>
      <c r="QT80" s="4"/>
      <c r="QU80" s="5"/>
      <c r="QV80" s="4"/>
      <c r="QW80" s="5"/>
      <c r="QX80" s="4"/>
      <c r="QY80" s="5"/>
      <c r="QZ80" s="4"/>
      <c r="RA80" s="5"/>
      <c r="RB80" s="4"/>
      <c r="RC80" s="5"/>
      <c r="RD80" s="4"/>
      <c r="RE80" s="5"/>
      <c r="RF80" s="4"/>
      <c r="RG80" s="5"/>
      <c r="RH80" s="4"/>
      <c r="RI80" s="5"/>
      <c r="RJ80" s="4"/>
      <c r="RK80" s="5"/>
      <c r="RL80" s="4"/>
      <c r="RM80" s="5"/>
      <c r="RN80" s="4"/>
      <c r="RO80" s="5"/>
      <c r="RP80" s="4"/>
      <c r="RQ80" s="5"/>
      <c r="RR80" s="4"/>
      <c r="RS80" s="5"/>
      <c r="RT80" s="4"/>
      <c r="RU80" s="5"/>
      <c r="RV80" s="4"/>
      <c r="RW80" s="5"/>
      <c r="RX80" s="4"/>
      <c r="RY80" s="5"/>
      <c r="RZ80" s="4"/>
      <c r="SA80" s="5"/>
      <c r="SB80" s="4"/>
      <c r="SC80" s="5"/>
      <c r="SD80" s="4"/>
      <c r="SE80" s="5"/>
      <c r="SF80" s="4">
        <v>10.425000000000001</v>
      </c>
      <c r="SG80" s="5">
        <v>0.75</v>
      </c>
      <c r="SH80" s="4">
        <v>-7.7833333333333368</v>
      </c>
      <c r="SI80" s="5">
        <v>0.5</v>
      </c>
      <c r="SJ80" s="4">
        <v>8.3416666666666668</v>
      </c>
      <c r="SK80" s="5">
        <v>1</v>
      </c>
      <c r="SL80" s="4">
        <v>-34.025000000000006</v>
      </c>
      <c r="SM80" s="5">
        <v>0</v>
      </c>
      <c r="SN80" s="4"/>
      <c r="SO80" s="5"/>
      <c r="SP80" s="4"/>
      <c r="SQ80" s="5"/>
      <c r="SR80" s="4">
        <v>7.1166666666666663</v>
      </c>
      <c r="SS80" s="5">
        <v>1</v>
      </c>
      <c r="ST80" s="4">
        <v>-35.708333333333336</v>
      </c>
      <c r="SU80" s="5">
        <v>0</v>
      </c>
      <c r="SV80" s="4">
        <v>-37.158333333333339</v>
      </c>
      <c r="SW80" s="5">
        <v>0.16666666666666666</v>
      </c>
      <c r="SX80" s="4">
        <v>7.0083333333333337</v>
      </c>
      <c r="SY80" s="5">
        <v>1</v>
      </c>
      <c r="SZ80" s="4">
        <v>-30.658333333333335</v>
      </c>
      <c r="TA80" s="5">
        <v>0.16666666666666666</v>
      </c>
      <c r="TB80" s="4">
        <v>-0.6666666666666673</v>
      </c>
      <c r="TC80" s="5">
        <v>0.6</v>
      </c>
      <c r="TD80" s="4">
        <v>-11.016666666666667</v>
      </c>
      <c r="TE80" s="5">
        <v>0</v>
      </c>
      <c r="TF80" s="4">
        <v>-2.2666666666666675</v>
      </c>
      <c r="TG80" s="5">
        <v>0.66666666666666663</v>
      </c>
      <c r="TH80" s="4">
        <v>6.9749999999999996</v>
      </c>
      <c r="TI80" s="5">
        <v>1</v>
      </c>
      <c r="TJ80" s="4">
        <v>-40.700000000000003</v>
      </c>
      <c r="TK80" s="5">
        <v>0</v>
      </c>
      <c r="TL80" s="4">
        <v>-30.841666666666672</v>
      </c>
      <c r="TM80" s="5">
        <v>0</v>
      </c>
      <c r="TN80" s="4">
        <v>-15.116666666666667</v>
      </c>
      <c r="TO80" s="5">
        <v>0.33333333333333331</v>
      </c>
      <c r="TP80" s="4"/>
      <c r="TQ80" s="5"/>
      <c r="TR80" s="4">
        <v>3.3833333333333337</v>
      </c>
      <c r="TS80" s="5">
        <v>0.66666666666666663</v>
      </c>
      <c r="TT80" s="4">
        <v>17.833333333333332</v>
      </c>
      <c r="TU80" s="5">
        <v>0.83333333333333337</v>
      </c>
      <c r="TV80" s="4">
        <v>-22.116666666666667</v>
      </c>
      <c r="TW80" s="5">
        <v>0</v>
      </c>
      <c r="TX80" s="4"/>
      <c r="TY80" s="5"/>
      <c r="TZ80" s="4">
        <v>-8.091666666666665</v>
      </c>
      <c r="UA80" s="5">
        <v>0.5</v>
      </c>
      <c r="UB80" s="4">
        <v>-34.483333333333334</v>
      </c>
      <c r="UC80" s="5">
        <v>0</v>
      </c>
      <c r="UD80" s="4">
        <v>6.2</v>
      </c>
      <c r="UE80" s="5">
        <v>0.5</v>
      </c>
      <c r="UF80" s="4">
        <v>-15.533333333333335</v>
      </c>
      <c r="UG80" s="5">
        <v>0.33333333333333331</v>
      </c>
      <c r="UH80" s="4">
        <v>20.158333333333335</v>
      </c>
      <c r="UI80" s="5">
        <v>0.75</v>
      </c>
      <c r="UJ80" s="4">
        <v>-11.824999999999999</v>
      </c>
      <c r="UK80" s="5">
        <v>0.5</v>
      </c>
      <c r="UL80" s="4">
        <v>20.491666666666671</v>
      </c>
      <c r="UM80" s="5">
        <v>0.75</v>
      </c>
      <c r="UN80" s="4">
        <v>-12.691666666666668</v>
      </c>
      <c r="UO80" s="5">
        <v>0.5</v>
      </c>
      <c r="UP80" s="4">
        <v>-35.31666666666667</v>
      </c>
      <c r="UQ80" s="5">
        <v>0</v>
      </c>
      <c r="UR80" s="4"/>
      <c r="US80" s="5"/>
      <c r="UT80" s="4"/>
      <c r="UU80" s="5"/>
      <c r="UV80" s="4">
        <v>-25.9</v>
      </c>
      <c r="UW80" s="5">
        <v>0.25</v>
      </c>
      <c r="UX80" s="4">
        <v>-4.166666666666667</v>
      </c>
      <c r="UY80" s="5">
        <v>0.5</v>
      </c>
      <c r="UZ80" s="4">
        <v>6.6999999999999993</v>
      </c>
      <c r="VA80" s="5">
        <v>0.5714285714285714</v>
      </c>
      <c r="VB80" s="4">
        <v>-11.033333333333333</v>
      </c>
      <c r="VC80" s="5">
        <v>0</v>
      </c>
      <c r="VD80" s="4">
        <v>15.666666666666668</v>
      </c>
      <c r="VE80" s="5">
        <v>1</v>
      </c>
      <c r="VF80" s="4">
        <v>15.574999999999999</v>
      </c>
      <c r="VG80" s="5">
        <v>1</v>
      </c>
      <c r="VH80" s="4">
        <v>-34.49166666666666</v>
      </c>
      <c r="VI80" s="5">
        <v>0</v>
      </c>
      <c r="VJ80" s="4"/>
      <c r="VK80" s="5"/>
      <c r="VL80" s="4">
        <v>-11</v>
      </c>
      <c r="VM80" s="5">
        <v>0</v>
      </c>
      <c r="VN80" s="4">
        <v>-3.3166666666666682</v>
      </c>
      <c r="VO80" s="5">
        <v>0.66666666666666663</v>
      </c>
      <c r="VP80" s="4">
        <v>-17.541666666666668</v>
      </c>
      <c r="VQ80" s="5">
        <v>0.33333333333333331</v>
      </c>
      <c r="VR80" s="4">
        <v>-22.166666666666668</v>
      </c>
      <c r="VS80" s="5">
        <v>0</v>
      </c>
      <c r="VT80" s="4">
        <v>-39.258333333333333</v>
      </c>
      <c r="VU80" s="5">
        <v>0</v>
      </c>
      <c r="VV80" s="4"/>
      <c r="VW80" s="5"/>
      <c r="VX80" s="4"/>
      <c r="VY80" s="5"/>
      <c r="VZ80" s="4"/>
      <c r="WA80" s="5"/>
      <c r="WB80" s="4"/>
      <c r="WC80" s="5"/>
      <c r="WD80" s="4">
        <v>-27.016666666666669</v>
      </c>
      <c r="WE80" s="5">
        <v>0.2</v>
      </c>
      <c r="WF80" s="4"/>
      <c r="WG80" s="5"/>
      <c r="WH80" s="4"/>
      <c r="WI80" s="5"/>
      <c r="WJ80" s="4">
        <v>-4.5416666666666661</v>
      </c>
      <c r="WK80" s="5">
        <v>0.5</v>
      </c>
      <c r="WL80" s="4"/>
      <c r="WM80" s="5"/>
      <c r="WN80" s="4"/>
      <c r="WO80" s="5"/>
      <c r="WP80" s="4">
        <v>14.824999999999999</v>
      </c>
      <c r="WQ80" s="5">
        <v>1</v>
      </c>
      <c r="WR80" s="4"/>
      <c r="WS80" s="5"/>
      <c r="WT80" s="4">
        <v>-34.425000000000004</v>
      </c>
      <c r="WU80" s="5">
        <v>0</v>
      </c>
      <c r="WV80" s="4">
        <v>-19.916666666666668</v>
      </c>
      <c r="WW80" s="5">
        <v>0</v>
      </c>
      <c r="WX80" s="4">
        <v>16.800000000000004</v>
      </c>
      <c r="WY80" s="5">
        <v>1</v>
      </c>
      <c r="WZ80" s="4"/>
      <c r="XA80" s="5"/>
      <c r="XB80" s="4">
        <v>-27.008333333333336</v>
      </c>
      <c r="XC80" s="5">
        <v>0.2</v>
      </c>
      <c r="XD80" s="4">
        <v>-1.5583333333333342</v>
      </c>
      <c r="XE80" s="5">
        <v>0.5</v>
      </c>
      <c r="XF80" s="4">
        <v>21.533333333333339</v>
      </c>
      <c r="XG80" s="5">
        <v>1</v>
      </c>
      <c r="XH80" s="4"/>
      <c r="XI80" s="5"/>
      <c r="XJ80" s="4">
        <v>7.1749999999999998</v>
      </c>
      <c r="XK80" s="5">
        <v>1</v>
      </c>
      <c r="XL80" s="4"/>
      <c r="XM80" s="5"/>
      <c r="XN80" s="4">
        <v>-32.900000000000006</v>
      </c>
      <c r="XO80" s="5">
        <v>0</v>
      </c>
      <c r="XP80" s="4">
        <v>-5.5500000000000007</v>
      </c>
      <c r="XQ80" s="5">
        <v>0.5714285714285714</v>
      </c>
      <c r="XR80" s="4"/>
      <c r="XS80" s="5"/>
      <c r="XT80" s="4"/>
      <c r="XU80" s="5"/>
      <c r="XV80" s="4"/>
      <c r="XW80" s="5"/>
    </row>
    <row r="81" spans="2:647" x14ac:dyDescent="0.25">
      <c r="B81" s="755"/>
      <c r="C81" s="761" t="s">
        <v>8</v>
      </c>
      <c r="D81" s="765" t="s">
        <v>26</v>
      </c>
      <c r="E81" s="765"/>
      <c r="F81" s="482">
        <v>0.3</v>
      </c>
      <c r="G81" s="475" t="s">
        <v>34</v>
      </c>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c r="BU81" s="6"/>
      <c r="BV81" s="6"/>
      <c r="BW81" s="6"/>
      <c r="BX81" s="6"/>
      <c r="BY81" s="6"/>
      <c r="BZ81" s="6"/>
      <c r="CA81" s="6"/>
      <c r="CB81" s="6"/>
      <c r="CC81" s="6"/>
      <c r="CD81" s="6"/>
      <c r="CE81" s="6"/>
      <c r="CF81" s="6"/>
      <c r="CG81" s="6"/>
      <c r="CH81" s="6"/>
      <c r="CI81" s="6"/>
      <c r="CJ81" s="6"/>
      <c r="CK81" s="6"/>
      <c r="CL81" s="6"/>
      <c r="CM81" s="6"/>
      <c r="CN81" s="6"/>
      <c r="CO81" s="6"/>
      <c r="CP81" s="6"/>
      <c r="CQ81" s="6"/>
      <c r="CR81" s="6"/>
      <c r="CS81" s="6"/>
      <c r="CT81" s="6"/>
      <c r="CU81" s="6"/>
      <c r="CV81" s="6"/>
      <c r="CW81" s="6"/>
      <c r="CX81" s="6"/>
      <c r="CY81" s="6"/>
      <c r="CZ81" s="6"/>
      <c r="DA81" s="6"/>
      <c r="DB81" s="6"/>
      <c r="DC81" s="6"/>
      <c r="DD81" s="6"/>
      <c r="DE81" s="6"/>
      <c r="DF81" s="6"/>
      <c r="DG81" s="6"/>
      <c r="DH81" s="6"/>
      <c r="DI81" s="6"/>
      <c r="DJ81" s="6"/>
      <c r="DK81" s="6"/>
      <c r="DL81" s="6"/>
      <c r="DM81" s="6"/>
      <c r="DN81" s="6"/>
      <c r="DO81" s="6"/>
      <c r="DP81" s="6"/>
      <c r="DQ81" s="6"/>
      <c r="DR81" s="6"/>
      <c r="DS81" s="6"/>
      <c r="DT81" s="6"/>
      <c r="DU81" s="6"/>
      <c r="DV81" s="6"/>
      <c r="DW81" s="6"/>
      <c r="DX81" s="6"/>
      <c r="DY81" s="6"/>
      <c r="DZ81" s="6"/>
      <c r="EA81" s="6"/>
      <c r="EB81" s="6"/>
      <c r="EC81" s="6"/>
      <c r="ED81" s="6"/>
      <c r="EE81" s="6"/>
      <c r="EF81" s="6"/>
      <c r="EG81" s="6"/>
      <c r="EH81" s="6"/>
      <c r="EI81" s="6"/>
      <c r="EJ81" s="6"/>
      <c r="EK81" s="6"/>
      <c r="EL81" s="6"/>
      <c r="EM81" s="6"/>
      <c r="EN81" s="6"/>
      <c r="EO81" s="6"/>
      <c r="EP81" s="6"/>
      <c r="EQ81" s="6"/>
      <c r="ER81" s="487"/>
      <c r="ES81" s="1"/>
      <c r="ET81" s="487"/>
      <c r="EU81" s="1"/>
      <c r="EV81" s="487"/>
      <c r="EW81" s="1"/>
      <c r="EX81" s="487"/>
      <c r="EY81" s="1"/>
      <c r="EZ81" s="487"/>
      <c r="FA81" s="1"/>
      <c r="FB81" s="487">
        <v>13.999999999999998</v>
      </c>
      <c r="FC81" s="1">
        <v>1</v>
      </c>
      <c r="FD81" s="487">
        <v>-5.2333333333333316</v>
      </c>
      <c r="FE81" s="1">
        <v>0.6</v>
      </c>
      <c r="FF81" s="487">
        <v>26.966666666666669</v>
      </c>
      <c r="FG81" s="1">
        <v>0.8571428571428571</v>
      </c>
      <c r="FH81" s="487">
        <v>-46.500000000000007</v>
      </c>
      <c r="FI81" s="1">
        <v>0.2857142857142857</v>
      </c>
      <c r="FJ81" s="487">
        <v>-11.600000000000001</v>
      </c>
      <c r="FK81" s="1">
        <v>0.5</v>
      </c>
      <c r="FL81" s="487">
        <v>-11.233333333333331</v>
      </c>
      <c r="FM81" s="1">
        <v>0.66666666666666663</v>
      </c>
      <c r="FN81" s="487">
        <v>-65.033333333333317</v>
      </c>
      <c r="FO81" s="1">
        <v>0.44444444444444442</v>
      </c>
      <c r="FP81" s="487">
        <v>47.13333333333334</v>
      </c>
      <c r="FQ81" s="1">
        <v>1</v>
      </c>
      <c r="FR81" s="487">
        <v>3.0666666666666673</v>
      </c>
      <c r="FS81" s="1">
        <v>0.6</v>
      </c>
      <c r="FT81" s="487">
        <v>-12.4</v>
      </c>
      <c r="FU81" s="1">
        <v>0.6</v>
      </c>
      <c r="FV81" s="487">
        <v>24.766666666666666</v>
      </c>
      <c r="FW81" s="1">
        <v>0.8</v>
      </c>
      <c r="FX81" s="487">
        <v>14.366666666666669</v>
      </c>
      <c r="FY81" s="1">
        <v>1</v>
      </c>
      <c r="FZ81" s="487">
        <v>1.7333333333333343</v>
      </c>
      <c r="GA81" s="1">
        <v>0.6</v>
      </c>
      <c r="GB81" s="487">
        <v>31.966666666666669</v>
      </c>
      <c r="GC81" s="1">
        <v>0.625</v>
      </c>
      <c r="GD81" s="487">
        <v>-31.333333333333329</v>
      </c>
      <c r="GE81" s="1">
        <v>0.42857142857142855</v>
      </c>
      <c r="GF81" s="487">
        <v>1.5999999999999985</v>
      </c>
      <c r="GG81" s="1">
        <v>0.66666666666666663</v>
      </c>
      <c r="GH81" s="487">
        <v>28.333333333333336</v>
      </c>
      <c r="GI81" s="1">
        <v>1</v>
      </c>
      <c r="GJ81" s="487">
        <v>21.3</v>
      </c>
      <c r="GK81" s="1">
        <v>1</v>
      </c>
      <c r="GL81" s="487">
        <v>-7.1000000000000014</v>
      </c>
      <c r="GM81" s="1">
        <v>0.42857142857142855</v>
      </c>
      <c r="GN81" s="487">
        <v>0</v>
      </c>
      <c r="GO81" s="1">
        <v>0</v>
      </c>
      <c r="GP81" s="487">
        <v>17.266666666666666</v>
      </c>
      <c r="GQ81" s="1">
        <v>0.8</v>
      </c>
      <c r="GR81" s="487">
        <v>-42.966666666666669</v>
      </c>
      <c r="GS81" s="1">
        <v>0.33333333333333331</v>
      </c>
      <c r="GT81" s="487">
        <v>15.799999999999999</v>
      </c>
      <c r="GU81" s="1">
        <v>0.5714285714285714</v>
      </c>
      <c r="GV81" s="487">
        <v>0.63333333333333319</v>
      </c>
      <c r="GW81" s="1">
        <v>0.5</v>
      </c>
      <c r="GX81" s="487">
        <v>20.033333333333328</v>
      </c>
      <c r="GY81" s="1">
        <v>0.7142857142857143</v>
      </c>
      <c r="GZ81" s="487">
        <v>0</v>
      </c>
      <c r="HA81" s="1">
        <v>0</v>
      </c>
      <c r="HB81" s="487">
        <v>18.266666666666669</v>
      </c>
      <c r="HC81" s="1">
        <v>0.66666666666666663</v>
      </c>
      <c r="HD81" s="487">
        <v>21.900000000000002</v>
      </c>
      <c r="HE81" s="1">
        <v>0.7142857142857143</v>
      </c>
      <c r="HF81" s="487">
        <v>-110.60000000000001</v>
      </c>
      <c r="HG81" s="1">
        <v>0.14285714285714285</v>
      </c>
      <c r="HH81" s="487">
        <v>-2.2666666666666733</v>
      </c>
      <c r="HI81" s="1">
        <v>0.7</v>
      </c>
      <c r="HJ81" s="487">
        <v>-5.4333333333333274</v>
      </c>
      <c r="HK81" s="1">
        <v>0.5714285714285714</v>
      </c>
      <c r="HL81" s="487"/>
      <c r="HM81" s="1"/>
      <c r="HN81" s="487">
        <v>6.4333333333333353</v>
      </c>
      <c r="HO81" s="1">
        <v>0.66666666666666663</v>
      </c>
      <c r="HP81" s="487">
        <v>9.1999999999999993</v>
      </c>
      <c r="HQ81" s="1">
        <v>0.5714285714285714</v>
      </c>
      <c r="HR81" s="487">
        <v>21.400000000000002</v>
      </c>
      <c r="HS81" s="1">
        <v>1</v>
      </c>
      <c r="HT81" s="487">
        <v>-40.233333333333334</v>
      </c>
      <c r="HU81" s="1">
        <v>0.2</v>
      </c>
      <c r="HV81" s="487">
        <v>-49.56666666666667</v>
      </c>
      <c r="HW81" s="1">
        <v>0.375</v>
      </c>
      <c r="HX81" s="487"/>
      <c r="HY81" s="1"/>
      <c r="HZ81" s="487">
        <v>-2.5666666666666655</v>
      </c>
      <c r="IA81" s="1">
        <v>0.75</v>
      </c>
      <c r="IB81" s="487">
        <v>-10.833333333333332</v>
      </c>
      <c r="IC81" s="1">
        <v>0.625</v>
      </c>
      <c r="ID81" s="487">
        <v>-2.7666666666666666</v>
      </c>
      <c r="IE81" s="1">
        <v>0.6</v>
      </c>
      <c r="IF81" s="487">
        <v>-53.9</v>
      </c>
      <c r="IG81" s="1">
        <v>0.4</v>
      </c>
      <c r="IH81" s="487">
        <v>-51.4</v>
      </c>
      <c r="II81" s="1">
        <v>0.4</v>
      </c>
      <c r="IJ81" s="487">
        <v>-12.1</v>
      </c>
      <c r="IK81" s="1">
        <v>0.625</v>
      </c>
      <c r="IL81" s="487"/>
      <c r="IM81" s="1"/>
      <c r="IN81" s="487">
        <v>-6.6666666666666666E-2</v>
      </c>
      <c r="IO81" s="1">
        <v>0</v>
      </c>
      <c r="IP81" s="487">
        <v>-49.400000000000006</v>
      </c>
      <c r="IQ81" s="1">
        <v>0.25</v>
      </c>
      <c r="IR81" s="487">
        <v>7.2333333333333334</v>
      </c>
      <c r="IS81" s="1">
        <v>1</v>
      </c>
      <c r="IT81" s="487">
        <v>-6.2333333333333325</v>
      </c>
      <c r="IU81" s="1">
        <v>0.33333333333333331</v>
      </c>
      <c r="IV81" s="487">
        <v>7.0333333333333332</v>
      </c>
      <c r="IW81" s="1">
        <v>1</v>
      </c>
      <c r="IX81" s="487">
        <v>-0.63333333333333319</v>
      </c>
      <c r="IY81" s="1">
        <v>0.5</v>
      </c>
      <c r="IZ81" s="487">
        <v>17.466666666666669</v>
      </c>
      <c r="JA81" s="1">
        <v>0.83333333333333337</v>
      </c>
      <c r="JB81" s="487">
        <v>-5.4999999999999964</v>
      </c>
      <c r="JC81" s="1">
        <v>0.44444444444444442</v>
      </c>
      <c r="JD81" s="487">
        <v>7.166666666666667</v>
      </c>
      <c r="JE81" s="1">
        <v>1</v>
      </c>
      <c r="JF81" s="487">
        <v>-12.366666666666667</v>
      </c>
      <c r="JG81" s="1">
        <v>0.5714285714285714</v>
      </c>
      <c r="JH81" s="487">
        <v>7.6666666666666661</v>
      </c>
      <c r="JI81" s="1">
        <v>0.6</v>
      </c>
      <c r="JJ81" s="487">
        <v>-20.5</v>
      </c>
      <c r="JK81" s="1">
        <v>0.5</v>
      </c>
      <c r="JL81" s="487"/>
      <c r="JM81" s="1"/>
      <c r="JN81" s="487"/>
      <c r="JO81" s="1"/>
      <c r="JP81" s="487">
        <v>9.06666666666667</v>
      </c>
      <c r="JQ81" s="1">
        <v>0.625</v>
      </c>
      <c r="JR81" s="487">
        <v>4.5333333333333341</v>
      </c>
      <c r="JS81" s="1">
        <v>1</v>
      </c>
      <c r="JT81" s="487">
        <v>12.966666666666669</v>
      </c>
      <c r="JU81" s="1">
        <v>0.66666666666666663</v>
      </c>
      <c r="JV81" s="487">
        <v>-40.866666666666667</v>
      </c>
      <c r="JW81" s="1">
        <v>0.33333333333333331</v>
      </c>
      <c r="JX81" s="487"/>
      <c r="JY81" s="1"/>
      <c r="JZ81" s="487">
        <v>28.400000000000006</v>
      </c>
      <c r="KA81" s="1">
        <v>1</v>
      </c>
      <c r="KB81" s="487">
        <v>7.0000000000000009</v>
      </c>
      <c r="KC81" s="1">
        <v>1</v>
      </c>
      <c r="KD81" s="487">
        <v>24.733333333333331</v>
      </c>
      <c r="KE81" s="1">
        <v>1</v>
      </c>
      <c r="KF81" s="487">
        <v>24.433333333333334</v>
      </c>
      <c r="KG81" s="1">
        <v>0.83333333333333337</v>
      </c>
      <c r="KH81" s="487">
        <v>31.233333333333331</v>
      </c>
      <c r="KI81" s="1">
        <v>0.83333333333333337</v>
      </c>
      <c r="KJ81" s="487">
        <v>21.400000000000002</v>
      </c>
      <c r="KK81" s="1">
        <v>1</v>
      </c>
      <c r="KL81" s="487">
        <v>14.000000000000002</v>
      </c>
      <c r="KM81" s="1">
        <v>1</v>
      </c>
      <c r="KN81" s="487">
        <v>25.833333333333332</v>
      </c>
      <c r="KO81" s="1">
        <v>0.77777777777777779</v>
      </c>
      <c r="KP81" s="487"/>
      <c r="KQ81" s="1"/>
      <c r="KR81" s="487">
        <v>-28.666666666666671</v>
      </c>
      <c r="KS81" s="1">
        <v>0.375</v>
      </c>
      <c r="KT81" s="487"/>
      <c r="KU81" s="1"/>
      <c r="KV81" s="487">
        <v>2.0666666666666669</v>
      </c>
      <c r="KW81" s="1">
        <v>0.5</v>
      </c>
      <c r="KX81" s="487">
        <v>21.266666666666666</v>
      </c>
      <c r="KY81" s="1">
        <v>1</v>
      </c>
      <c r="KZ81" s="487">
        <v>7.5</v>
      </c>
      <c r="LA81" s="1">
        <v>1</v>
      </c>
      <c r="LB81" s="487"/>
      <c r="LC81" s="1"/>
      <c r="LD81" s="487">
        <v>30</v>
      </c>
      <c r="LE81" s="1">
        <v>1</v>
      </c>
      <c r="LF81" s="487">
        <v>-17.833333333333332</v>
      </c>
      <c r="LG81" s="1">
        <v>0.5</v>
      </c>
      <c r="LH81" s="487">
        <v>21.366666666666667</v>
      </c>
      <c r="LI81" s="1">
        <v>1</v>
      </c>
      <c r="LJ81" s="487"/>
      <c r="LK81" s="1"/>
      <c r="LL81" s="487">
        <v>31.433333333333334</v>
      </c>
      <c r="LM81" s="1">
        <v>0.83333333333333337</v>
      </c>
      <c r="LN81" s="487">
        <v>-97.433333333333337</v>
      </c>
      <c r="LO81" s="1">
        <v>0.44444444444444442</v>
      </c>
      <c r="LP81" s="487">
        <v>-51.06666666666667</v>
      </c>
      <c r="LQ81" s="1">
        <v>0</v>
      </c>
      <c r="LR81" s="487">
        <v>1.566666666666666</v>
      </c>
      <c r="LS81" s="1">
        <v>0.75</v>
      </c>
      <c r="LT81" s="487">
        <v>42.000000000000007</v>
      </c>
      <c r="LU81" s="1">
        <v>0.9</v>
      </c>
      <c r="LV81" s="487"/>
      <c r="LW81" s="1"/>
      <c r="LX81" s="487"/>
      <c r="LY81" s="1"/>
      <c r="LZ81" s="487"/>
      <c r="MA81" s="1"/>
      <c r="MB81" s="487">
        <v>8.1000000000000014</v>
      </c>
      <c r="MC81" s="1">
        <v>1</v>
      </c>
      <c r="MD81" s="487"/>
      <c r="ME81" s="1"/>
      <c r="MF81" s="487">
        <v>-13.399999999999999</v>
      </c>
      <c r="MG81" s="1">
        <v>0.5</v>
      </c>
      <c r="MH81" s="487">
        <v>7.6666666666666661</v>
      </c>
      <c r="MI81" s="1">
        <v>1</v>
      </c>
      <c r="MJ81" s="487">
        <v>-25.666666666666668</v>
      </c>
      <c r="MK81" s="1">
        <v>0</v>
      </c>
      <c r="ML81" s="487">
        <v>20.500000000000004</v>
      </c>
      <c r="MM81" s="1">
        <v>0.8</v>
      </c>
      <c r="MN81" s="487">
        <v>-18.399999999999999</v>
      </c>
      <c r="MO81" s="1">
        <v>0.5</v>
      </c>
      <c r="MP81" s="487">
        <v>-41.766666666666673</v>
      </c>
      <c r="MQ81" s="1">
        <v>0.33333333333333331</v>
      </c>
      <c r="MR81" s="487">
        <v>-9.9999999999999982</v>
      </c>
      <c r="MS81" s="1">
        <v>0.66666666666666663</v>
      </c>
      <c r="MT81" s="487">
        <v>-20.43333333333333</v>
      </c>
      <c r="MU81" s="1">
        <v>0.6</v>
      </c>
      <c r="MV81" s="487">
        <v>12.333333333333332</v>
      </c>
      <c r="MW81" s="1">
        <v>0.83333333333333337</v>
      </c>
      <c r="MX81" s="487">
        <v>-37.866666666666667</v>
      </c>
      <c r="MY81" s="1">
        <v>0.5</v>
      </c>
      <c r="MZ81" s="487">
        <v>-4.8000000000000034</v>
      </c>
      <c r="NA81" s="1">
        <v>0.75</v>
      </c>
      <c r="NB81" s="487">
        <v>2.1333333333333324</v>
      </c>
      <c r="NC81" s="1">
        <v>0.8</v>
      </c>
      <c r="ND81" s="487"/>
      <c r="NE81" s="1"/>
      <c r="NF81" s="487">
        <v>-43.266666666666666</v>
      </c>
      <c r="NG81" s="1">
        <v>0.33333333333333331</v>
      </c>
      <c r="NH81" s="487">
        <v>-43.266666666666666</v>
      </c>
      <c r="NI81" s="1">
        <v>0.33333333333333331</v>
      </c>
      <c r="NJ81" s="487">
        <v>-3.5666666666666691</v>
      </c>
      <c r="NK81" s="1">
        <v>0.75</v>
      </c>
      <c r="NL81" s="487">
        <v>20.333333333333336</v>
      </c>
      <c r="NM81" s="1">
        <v>0.83333333333333337</v>
      </c>
      <c r="NN81" s="487"/>
      <c r="NO81" s="1"/>
      <c r="NP81" s="487">
        <v>-17.833333333333332</v>
      </c>
      <c r="NQ81" s="1">
        <v>0.5</v>
      </c>
      <c r="NR81" s="487">
        <v>-32.733333333333334</v>
      </c>
      <c r="NS81" s="1">
        <v>0</v>
      </c>
      <c r="NT81" s="487">
        <v>7.0333333333333332</v>
      </c>
      <c r="NU81" s="1">
        <v>1</v>
      </c>
      <c r="NV81" s="487">
        <v>14.700000000000001</v>
      </c>
      <c r="NW81" s="1">
        <v>1</v>
      </c>
      <c r="NX81" s="487"/>
      <c r="NY81" s="1"/>
      <c r="NZ81" s="487">
        <v>14.2</v>
      </c>
      <c r="OA81" s="1">
        <v>1</v>
      </c>
      <c r="OB81" s="487">
        <v>14.3</v>
      </c>
      <c r="OC81" s="1">
        <v>1</v>
      </c>
      <c r="OD81" s="487"/>
      <c r="OE81" s="1"/>
      <c r="OF81" s="487">
        <v>-1.166666666666667</v>
      </c>
      <c r="OG81" s="1">
        <v>0.5</v>
      </c>
      <c r="OH81" s="487">
        <v>-61.500000000000014</v>
      </c>
      <c r="OI81" s="1">
        <v>0.4</v>
      </c>
      <c r="OJ81" s="487"/>
      <c r="OK81" s="1"/>
      <c r="OL81" s="487">
        <v>7.5</v>
      </c>
      <c r="OM81" s="1">
        <v>1</v>
      </c>
      <c r="ON81" s="487">
        <v>14.433333333333334</v>
      </c>
      <c r="OO81" s="1">
        <v>1</v>
      </c>
      <c r="OP81" s="487">
        <v>-65.86666666666666</v>
      </c>
      <c r="OQ81" s="1">
        <v>0.55555555555555558</v>
      </c>
      <c r="OR81" s="487">
        <v>-64.966666666666683</v>
      </c>
      <c r="OS81" s="1">
        <v>0.4</v>
      </c>
      <c r="OT81" s="487">
        <v>-17.700000000000003</v>
      </c>
      <c r="OU81" s="1">
        <v>0.7142857142857143</v>
      </c>
      <c r="OV81" s="487"/>
      <c r="OW81" s="1"/>
      <c r="OX81" s="487">
        <v>18.599999999999998</v>
      </c>
      <c r="OY81" s="1">
        <v>0.875</v>
      </c>
      <c r="OZ81" s="487"/>
      <c r="PA81" s="1"/>
      <c r="PB81" s="487">
        <v>5.9000000000000021</v>
      </c>
      <c r="PC81" s="1">
        <v>0.66666666666666663</v>
      </c>
      <c r="PD81" s="487">
        <v>-30.166666666666664</v>
      </c>
      <c r="PE81" s="1">
        <v>0.6</v>
      </c>
      <c r="PF81" s="487">
        <v>-3.3000000000000007</v>
      </c>
      <c r="PG81" s="1">
        <v>0.75</v>
      </c>
      <c r="PH81" s="487">
        <v>-2.3333333333333313</v>
      </c>
      <c r="PI81" s="1">
        <v>0.75</v>
      </c>
      <c r="PJ81" s="487"/>
      <c r="PK81" s="1"/>
      <c r="PL81" s="487"/>
      <c r="PM81" s="1"/>
      <c r="PN81" s="487">
        <v>42.7</v>
      </c>
      <c r="PO81" s="1">
        <v>1</v>
      </c>
      <c r="PP81" s="487"/>
      <c r="PQ81" s="1"/>
      <c r="PR81" s="487"/>
      <c r="PS81" s="1"/>
      <c r="PT81" s="487"/>
      <c r="PU81" s="1"/>
      <c r="PV81" s="487">
        <v>-3.5999999999999988</v>
      </c>
      <c r="PW81" s="1">
        <v>0.75</v>
      </c>
      <c r="PX81" s="487">
        <v>19.433333333333334</v>
      </c>
      <c r="PY81" s="1">
        <v>0.875</v>
      </c>
      <c r="PZ81" s="487">
        <v>18.466666666666669</v>
      </c>
      <c r="QA81" s="1">
        <v>0.75</v>
      </c>
      <c r="QB81" s="487">
        <v>-109.90000000000002</v>
      </c>
      <c r="QC81" s="1">
        <v>0.375</v>
      </c>
      <c r="QD81" s="487">
        <v>42.633333333333333</v>
      </c>
      <c r="QE81" s="1">
        <v>1</v>
      </c>
      <c r="QF81" s="487">
        <v>-10.3</v>
      </c>
      <c r="QG81" s="1">
        <v>0.66666666666666663</v>
      </c>
      <c r="QH81" s="487">
        <v>-39.933333333333337</v>
      </c>
      <c r="QI81" s="1">
        <v>0.4</v>
      </c>
      <c r="QJ81" s="487">
        <v>-61.566666666666677</v>
      </c>
      <c r="QK81" s="1">
        <v>0.44444444444444442</v>
      </c>
      <c r="QL81" s="487">
        <v>37.300000000000004</v>
      </c>
      <c r="QM81" s="1">
        <v>0.9</v>
      </c>
      <c r="QN81" s="487">
        <v>-37.433333333333337</v>
      </c>
      <c r="QO81" s="1">
        <v>0.5714285714285714</v>
      </c>
      <c r="QP81" s="487">
        <v>-29.933333333333337</v>
      </c>
      <c r="QQ81" s="1">
        <v>0.25</v>
      </c>
      <c r="QR81" s="487">
        <v>-10.399999999999999</v>
      </c>
      <c r="QS81" s="1">
        <v>0.6</v>
      </c>
      <c r="QT81" s="487"/>
      <c r="QU81" s="1"/>
      <c r="QV81" s="487">
        <v>-11.300000000000002</v>
      </c>
      <c r="QW81" s="1">
        <v>0.5714285714285714</v>
      </c>
      <c r="QX81" s="487">
        <v>-0.83333333333333337</v>
      </c>
      <c r="QY81" s="1">
        <v>0</v>
      </c>
      <c r="QZ81" s="487"/>
      <c r="RA81" s="1"/>
      <c r="RB81" s="487">
        <v>-14.56666666666667</v>
      </c>
      <c r="RC81" s="1">
        <v>0.6</v>
      </c>
      <c r="RD81" s="487">
        <v>-0.63333333333333175</v>
      </c>
      <c r="RE81" s="1">
        <v>0.7142857142857143</v>
      </c>
      <c r="RF81" s="487">
        <v>-8.0333333333333332</v>
      </c>
      <c r="RG81" s="1">
        <v>0.625</v>
      </c>
      <c r="RH81" s="487">
        <v>-75.800000000000011</v>
      </c>
      <c r="RI81" s="1">
        <v>0.2857142857142857</v>
      </c>
      <c r="RJ81" s="487">
        <v>-22.8</v>
      </c>
      <c r="RK81" s="1">
        <v>0.4</v>
      </c>
      <c r="RL81" s="487">
        <v>-22.966666666666669</v>
      </c>
      <c r="RM81" s="1">
        <v>0.33333333333333331</v>
      </c>
      <c r="RN81" s="487">
        <v>-33.333333333333336</v>
      </c>
      <c r="RO81" s="1">
        <v>0.5</v>
      </c>
      <c r="RP81" s="487">
        <v>-36.5</v>
      </c>
      <c r="RQ81" s="1">
        <v>0.5</v>
      </c>
      <c r="RR81" s="487">
        <v>7.2666666666666675</v>
      </c>
      <c r="RS81" s="1">
        <v>1</v>
      </c>
      <c r="RT81" s="487">
        <v>-8.3333333333333321</v>
      </c>
      <c r="RU81" s="1">
        <v>0.66666666666666663</v>
      </c>
      <c r="RV81" s="487">
        <v>-35.733333333333334</v>
      </c>
      <c r="RW81" s="1">
        <v>0.5</v>
      </c>
      <c r="RX81" s="487">
        <v>-14.766666666666664</v>
      </c>
      <c r="RY81" s="1">
        <v>0.5</v>
      </c>
      <c r="RZ81" s="487">
        <v>28.13333333333334</v>
      </c>
      <c r="SA81" s="1">
        <v>1</v>
      </c>
      <c r="SB81" s="487">
        <v>14.066666666666666</v>
      </c>
      <c r="SC81" s="1">
        <v>1</v>
      </c>
      <c r="SD81" s="487"/>
      <c r="SE81" s="1"/>
      <c r="SF81" s="487"/>
      <c r="SG81" s="1"/>
      <c r="SH81" s="487">
        <v>-37.5</v>
      </c>
      <c r="SI81" s="1">
        <v>0.375</v>
      </c>
      <c r="SJ81" s="487">
        <v>-21.400000000000002</v>
      </c>
      <c r="SK81" s="1">
        <v>0.66666666666666663</v>
      </c>
      <c r="SL81" s="487">
        <v>-1.7999999999999994</v>
      </c>
      <c r="SM81" s="1">
        <v>0.66666666666666663</v>
      </c>
      <c r="SN81" s="487">
        <v>-9.7000000000000028</v>
      </c>
      <c r="SO81" s="1">
        <v>0.75</v>
      </c>
      <c r="SP81" s="487">
        <v>-33.433333333333337</v>
      </c>
      <c r="SQ81" s="1">
        <v>0.25</v>
      </c>
      <c r="SR81" s="487">
        <v>7.0333333333333332</v>
      </c>
      <c r="SS81" s="1">
        <v>1</v>
      </c>
      <c r="ST81" s="487">
        <v>25.3</v>
      </c>
      <c r="SU81" s="1">
        <v>0.8</v>
      </c>
      <c r="SV81" s="487">
        <v>-11.333333333333332</v>
      </c>
      <c r="SW81" s="1">
        <v>0.4</v>
      </c>
      <c r="SX81" s="487"/>
      <c r="SY81" s="1"/>
      <c r="SZ81" s="487">
        <v>-16.7</v>
      </c>
      <c r="TA81" s="1">
        <v>0.5</v>
      </c>
      <c r="TB81" s="487">
        <v>-47.633333333333333</v>
      </c>
      <c r="TC81" s="1">
        <v>0.5</v>
      </c>
      <c r="TD81" s="487">
        <v>6.1666666666666687</v>
      </c>
      <c r="TE81" s="1">
        <v>0.75</v>
      </c>
      <c r="TF81" s="487"/>
      <c r="TG81" s="1"/>
      <c r="TH81" s="488">
        <v>6.6000000000000005</v>
      </c>
      <c r="TI81" s="1">
        <v>0.5</v>
      </c>
      <c r="TJ81" s="489"/>
      <c r="TK81" s="1"/>
      <c r="TL81" s="490">
        <v>9.5666666666666664</v>
      </c>
      <c r="TM81" s="1">
        <v>0.75</v>
      </c>
      <c r="TN81" s="495"/>
      <c r="TO81" s="1"/>
      <c r="TP81" s="500">
        <v>-27.066666666666659</v>
      </c>
      <c r="TQ81" s="1">
        <v>0.55555555555555558</v>
      </c>
      <c r="TR81" s="511">
        <v>-112.96666666666667</v>
      </c>
      <c r="TS81" s="1">
        <v>0</v>
      </c>
      <c r="TT81" s="515">
        <v>-29.700000000000003</v>
      </c>
      <c r="TU81" s="1">
        <v>0.5</v>
      </c>
      <c r="TV81" s="518">
        <v>-8.2000000000000011</v>
      </c>
      <c r="TW81" s="1">
        <v>0.75</v>
      </c>
      <c r="TX81" s="521">
        <v>-26.066666666666674</v>
      </c>
      <c r="TY81" s="1">
        <v>0.66666666666666663</v>
      </c>
      <c r="TZ81" s="524">
        <v>-8.2666666666666693</v>
      </c>
      <c r="UA81" s="1">
        <v>0.6</v>
      </c>
      <c r="UB81" s="527">
        <v>-18.533333333333335</v>
      </c>
      <c r="UC81" s="1">
        <v>0.5</v>
      </c>
      <c r="UD81" s="530">
        <v>-11</v>
      </c>
      <c r="UE81" s="1">
        <v>0.66666666666666663</v>
      </c>
      <c r="UF81" s="533"/>
      <c r="UG81" s="1"/>
      <c r="UH81" s="536"/>
      <c r="UI81" s="1"/>
      <c r="UJ81" s="539">
        <v>27.8</v>
      </c>
      <c r="UK81" s="1">
        <v>1</v>
      </c>
      <c r="UL81" s="540">
        <v>-43.566666666666663</v>
      </c>
      <c r="UM81" s="1">
        <v>0.5</v>
      </c>
      <c r="UN81" s="543">
        <v>-11.799999999999997</v>
      </c>
      <c r="UO81" s="1">
        <v>0.375</v>
      </c>
      <c r="UP81" s="544">
        <v>-18.400000000000002</v>
      </c>
      <c r="UQ81" s="1">
        <v>0.6</v>
      </c>
      <c r="UR81" s="551"/>
      <c r="US81" s="1"/>
      <c r="UT81" s="551">
        <v>35.266666666666666</v>
      </c>
      <c r="UU81" s="1">
        <v>1</v>
      </c>
      <c r="UV81" s="562"/>
      <c r="UW81" s="1"/>
      <c r="UX81" s="566">
        <v>-120.06666666666668</v>
      </c>
      <c r="UY81" s="1">
        <v>0</v>
      </c>
      <c r="UZ81" s="568"/>
      <c r="VA81" s="1"/>
      <c r="VB81" s="572">
        <v>14.000000000000002</v>
      </c>
      <c r="VC81" s="1">
        <v>1</v>
      </c>
      <c r="VD81" s="576">
        <v>-11.733333333333334</v>
      </c>
      <c r="VE81" s="1">
        <v>0.7</v>
      </c>
      <c r="VF81" s="580"/>
      <c r="VG81" s="1"/>
      <c r="VH81" s="584">
        <v>27.599999999999998</v>
      </c>
      <c r="VI81" s="1">
        <v>0.8</v>
      </c>
      <c r="VJ81" s="589"/>
      <c r="VK81" s="1"/>
      <c r="VL81" s="593">
        <v>-14.833333333333332</v>
      </c>
      <c r="VM81" s="1">
        <v>0.4</v>
      </c>
      <c r="VN81" s="597"/>
      <c r="VO81" s="1"/>
      <c r="VP81" s="601">
        <v>27.8</v>
      </c>
      <c r="VQ81" s="1">
        <v>1</v>
      </c>
      <c r="VR81" s="603"/>
      <c r="VS81" s="1"/>
      <c r="VT81" s="607"/>
      <c r="VU81" s="1"/>
      <c r="VV81" s="609">
        <v>34.966666666666669</v>
      </c>
      <c r="VW81" s="1">
        <v>1</v>
      </c>
      <c r="VX81" s="613">
        <v>7.6999999999999993</v>
      </c>
      <c r="VY81" s="1">
        <v>0.83333333333333337</v>
      </c>
      <c r="VZ81" s="617">
        <v>18.966666666666665</v>
      </c>
      <c r="WA81" s="1">
        <v>0.625</v>
      </c>
      <c r="WB81" s="619">
        <v>-104.43333333333332</v>
      </c>
      <c r="WC81" s="1">
        <v>0.375</v>
      </c>
      <c r="WD81" s="624">
        <v>-41.166666666666671</v>
      </c>
      <c r="WE81" s="1">
        <v>0.63636363636363635</v>
      </c>
      <c r="WF81" s="626">
        <v>-41.599999999999994</v>
      </c>
      <c r="WG81" s="1">
        <v>0.625</v>
      </c>
      <c r="WH81" s="630">
        <v>-5.0333333333333314</v>
      </c>
      <c r="WI81" s="1">
        <v>0.75</v>
      </c>
      <c r="WJ81" s="636">
        <v>51.233333333333341</v>
      </c>
      <c r="WK81" s="1">
        <v>0.9</v>
      </c>
      <c r="WL81" s="638">
        <v>-30.133333333333336</v>
      </c>
      <c r="WM81" s="1">
        <v>0.5</v>
      </c>
      <c r="WN81" s="642">
        <v>12.833333333333334</v>
      </c>
      <c r="WO81" s="1">
        <v>0.75</v>
      </c>
      <c r="WP81" s="646"/>
      <c r="WQ81" s="1"/>
      <c r="WR81" s="652"/>
      <c r="WS81" s="1"/>
      <c r="WT81" s="659">
        <v>-21.933333333333337</v>
      </c>
      <c r="WU81" s="1">
        <v>0.5</v>
      </c>
      <c r="WV81" s="659">
        <v>-44.7</v>
      </c>
      <c r="WW81" s="1">
        <v>0.375</v>
      </c>
      <c r="WX81" s="672"/>
      <c r="WY81" s="1"/>
      <c r="WZ81" s="677"/>
      <c r="XA81" s="1"/>
      <c r="XB81" s="681"/>
      <c r="XC81" s="1"/>
      <c r="XD81" s="683"/>
      <c r="XE81" s="1"/>
      <c r="XF81" s="687">
        <v>-27.366666666666664</v>
      </c>
      <c r="XG81" s="1">
        <v>0</v>
      </c>
      <c r="XH81" s="689"/>
      <c r="XI81" s="1"/>
      <c r="XJ81" s="696"/>
      <c r="XK81" s="1"/>
      <c r="XL81" s="696"/>
      <c r="XM81" s="1"/>
      <c r="XN81" s="696"/>
      <c r="XO81" s="1"/>
      <c r="XP81" s="700"/>
      <c r="XQ81" s="1"/>
      <c r="XR81" s="705"/>
      <c r="XS81" s="1"/>
      <c r="XT81" s="709"/>
      <c r="XU81" s="1"/>
      <c r="XV81" s="715">
        <v>-69.966666666666683</v>
      </c>
      <c r="XW81" s="1">
        <v>0.2</v>
      </c>
    </row>
    <row r="82" spans="2:647" x14ac:dyDescent="0.25">
      <c r="B82" s="755"/>
      <c r="C82" s="762"/>
      <c r="D82" s="765" t="s">
        <v>32</v>
      </c>
      <c r="E82" s="765"/>
      <c r="F82" s="482">
        <v>0.4</v>
      </c>
      <c r="G82" s="475" t="s">
        <v>35</v>
      </c>
      <c r="H82" s="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6"/>
      <c r="BU82" s="6"/>
      <c r="BV82" s="6"/>
      <c r="BW82" s="6"/>
      <c r="BX82" s="6"/>
      <c r="BY82" s="6"/>
      <c r="BZ82" s="6"/>
      <c r="CA82" s="6"/>
      <c r="CB82" s="6"/>
      <c r="CC82" s="6"/>
      <c r="CD82" s="6"/>
      <c r="CE82" s="6"/>
      <c r="CF82" s="6"/>
      <c r="CG82" s="6"/>
      <c r="CH82" s="6"/>
      <c r="CI82" s="6"/>
      <c r="CJ82" s="6"/>
      <c r="CK82" s="6"/>
      <c r="CL82" s="6"/>
      <c r="CM82" s="6"/>
      <c r="CN82" s="6"/>
      <c r="CO82" s="6"/>
      <c r="CP82" s="6"/>
      <c r="CQ82" s="6"/>
      <c r="CR82" s="6"/>
      <c r="CS82" s="6"/>
      <c r="CT82" s="6"/>
      <c r="CU82" s="6"/>
      <c r="CV82" s="6"/>
      <c r="CW82" s="6"/>
      <c r="CX82" s="6"/>
      <c r="CY82" s="6"/>
      <c r="CZ82" s="6"/>
      <c r="DA82" s="6"/>
      <c r="DB82" s="6"/>
      <c r="DC82" s="6"/>
      <c r="DD82" s="6"/>
      <c r="DE82" s="6"/>
      <c r="DF82" s="6"/>
      <c r="DG82" s="6"/>
      <c r="DH82" s="6"/>
      <c r="DI82" s="6"/>
      <c r="DJ82" s="6"/>
      <c r="DK82" s="6"/>
      <c r="DL82" s="6"/>
      <c r="DM82" s="6"/>
      <c r="DN82" s="6"/>
      <c r="DO82" s="6"/>
      <c r="DP82" s="6"/>
      <c r="DQ82" s="6"/>
      <c r="DR82" s="6"/>
      <c r="DS82" s="6"/>
      <c r="DT82" s="6"/>
      <c r="DU82" s="6"/>
      <c r="DV82" s="6"/>
      <c r="DW82" s="6"/>
      <c r="DX82" s="6"/>
      <c r="DY82" s="6"/>
      <c r="DZ82" s="6"/>
      <c r="EA82" s="6"/>
      <c r="EB82" s="6"/>
      <c r="EC82" s="6"/>
      <c r="ED82" s="6"/>
      <c r="EE82" s="6"/>
      <c r="EF82" s="6"/>
      <c r="EG82" s="6"/>
      <c r="EH82" s="6"/>
      <c r="EI82" s="6"/>
      <c r="EJ82" s="6"/>
      <c r="EK82" s="6"/>
      <c r="EL82" s="6"/>
      <c r="EM82" s="6"/>
      <c r="EN82" s="6"/>
      <c r="EO82" s="6"/>
      <c r="EP82" s="6"/>
      <c r="EQ82" s="6"/>
      <c r="ER82" s="487"/>
      <c r="ES82" s="1"/>
      <c r="ET82" s="487"/>
      <c r="EU82" s="1"/>
      <c r="EV82" s="487"/>
      <c r="EW82" s="1"/>
      <c r="EX82" s="487"/>
      <c r="EY82" s="1"/>
      <c r="EZ82" s="487"/>
      <c r="FA82" s="1"/>
      <c r="FB82" s="487"/>
      <c r="FC82" s="1"/>
      <c r="FD82" s="487"/>
      <c r="FE82" s="1"/>
      <c r="FF82" s="487"/>
      <c r="FG82" s="1"/>
      <c r="FH82" s="487"/>
      <c r="FI82" s="1"/>
      <c r="FJ82" s="487"/>
      <c r="FK82" s="1"/>
      <c r="FL82" s="487"/>
      <c r="FM82" s="1"/>
      <c r="FN82" s="487"/>
      <c r="FO82" s="1"/>
      <c r="FP82" s="487"/>
      <c r="FQ82" s="1"/>
      <c r="FR82" s="487"/>
      <c r="FS82" s="1"/>
      <c r="FT82" s="487"/>
      <c r="FU82" s="1"/>
      <c r="FV82" s="487"/>
      <c r="FW82" s="1"/>
      <c r="FX82" s="487"/>
      <c r="FY82" s="1"/>
      <c r="FZ82" s="487"/>
      <c r="GA82" s="1"/>
      <c r="GB82" s="487"/>
      <c r="GC82" s="1"/>
      <c r="GD82" s="487"/>
      <c r="GE82" s="1"/>
      <c r="GF82" s="487"/>
      <c r="GG82" s="1"/>
      <c r="GH82" s="487"/>
      <c r="GI82" s="1"/>
      <c r="GJ82" s="487"/>
      <c r="GK82" s="1"/>
      <c r="GL82" s="487"/>
      <c r="GM82" s="1"/>
      <c r="GN82" s="487"/>
      <c r="GO82" s="1"/>
      <c r="GP82" s="487"/>
      <c r="GQ82" s="1"/>
      <c r="GR82" s="487"/>
      <c r="GS82" s="1"/>
      <c r="GT82" s="487"/>
      <c r="GU82" s="1"/>
      <c r="GV82" s="487"/>
      <c r="GW82" s="1"/>
      <c r="GX82" s="487"/>
      <c r="GY82" s="1"/>
      <c r="GZ82" s="487"/>
      <c r="HA82" s="1"/>
      <c r="HB82" s="487"/>
      <c r="HC82" s="1"/>
      <c r="HD82" s="487"/>
      <c r="HE82" s="1"/>
      <c r="HF82" s="487"/>
      <c r="HG82" s="1"/>
      <c r="HH82" s="487"/>
      <c r="HI82" s="1"/>
      <c r="HJ82" s="487">
        <v>-10.949999999999998</v>
      </c>
      <c r="HK82" s="1">
        <v>0.5714285714285714</v>
      </c>
      <c r="HL82" s="487"/>
      <c r="HM82" s="1"/>
      <c r="HN82" s="487">
        <v>5.35</v>
      </c>
      <c r="HO82" s="1">
        <v>0.66666666666666663</v>
      </c>
      <c r="HP82" s="487">
        <v>9.4249999999999989</v>
      </c>
      <c r="HQ82" s="1">
        <v>0.5714285714285714</v>
      </c>
      <c r="HR82" s="487">
        <v>21.875</v>
      </c>
      <c r="HS82" s="1">
        <v>1</v>
      </c>
      <c r="HT82" s="487">
        <v>-33.449999999999996</v>
      </c>
      <c r="HU82" s="1">
        <v>0.2</v>
      </c>
      <c r="HV82" s="487">
        <v>-62.849999999999987</v>
      </c>
      <c r="HW82" s="1">
        <v>0.375</v>
      </c>
      <c r="HX82" s="487"/>
      <c r="HY82" s="1"/>
      <c r="HZ82" s="487">
        <v>-20.75</v>
      </c>
      <c r="IA82" s="1">
        <v>0.5</v>
      </c>
      <c r="IB82" s="487">
        <v>-18.199999999999996</v>
      </c>
      <c r="IC82" s="1">
        <v>0.625</v>
      </c>
      <c r="ID82" s="487">
        <v>-11.499999999999998</v>
      </c>
      <c r="IE82" s="1">
        <v>0.6</v>
      </c>
      <c r="IF82" s="487">
        <v>-39</v>
      </c>
      <c r="IG82" s="1">
        <v>0.4</v>
      </c>
      <c r="IH82" s="487">
        <v>-45.774999999999991</v>
      </c>
      <c r="II82" s="1">
        <v>0.4</v>
      </c>
      <c r="IJ82" s="487">
        <v>-10.399999999999993</v>
      </c>
      <c r="IK82" s="1">
        <v>0.625</v>
      </c>
      <c r="IL82" s="487"/>
      <c r="IM82" s="1"/>
      <c r="IN82" s="487">
        <v>-4.9999999999999996E-2</v>
      </c>
      <c r="IO82" s="1">
        <v>0</v>
      </c>
      <c r="IP82" s="487">
        <v>-41.974999999999994</v>
      </c>
      <c r="IQ82" s="1">
        <v>0.25</v>
      </c>
      <c r="IR82" s="487">
        <v>7.2499999999999991</v>
      </c>
      <c r="IS82" s="1">
        <v>1</v>
      </c>
      <c r="IT82" s="487">
        <v>-13.824999999999998</v>
      </c>
      <c r="IU82" s="1">
        <v>0.33333333333333331</v>
      </c>
      <c r="IV82" s="487">
        <v>7.1499999999999995</v>
      </c>
      <c r="IW82" s="1">
        <v>1</v>
      </c>
      <c r="IX82" s="487">
        <v>-1.1499999999999999</v>
      </c>
      <c r="IY82" s="1">
        <v>0.5</v>
      </c>
      <c r="IZ82" s="487">
        <v>18.549999999999997</v>
      </c>
      <c r="JA82" s="1">
        <v>0.83333333333333337</v>
      </c>
      <c r="JB82" s="487">
        <v>-5.1000000000000005</v>
      </c>
      <c r="JC82" s="1">
        <v>0.44444444444444442</v>
      </c>
      <c r="JD82" s="487">
        <v>7.1499999999999995</v>
      </c>
      <c r="JE82" s="1">
        <v>1</v>
      </c>
      <c r="JF82" s="487">
        <v>-12.475</v>
      </c>
      <c r="JG82" s="1">
        <v>0.5714285714285714</v>
      </c>
      <c r="JH82" s="487">
        <v>2.7</v>
      </c>
      <c r="JI82" s="1">
        <v>0.6</v>
      </c>
      <c r="JJ82" s="487">
        <v>-18.974999999999998</v>
      </c>
      <c r="JK82" s="1">
        <v>0.5</v>
      </c>
      <c r="JL82" s="487"/>
      <c r="JM82" s="1"/>
      <c r="JN82" s="487"/>
      <c r="JO82" s="1"/>
      <c r="JP82" s="487">
        <v>9.1000000000000014</v>
      </c>
      <c r="JQ82" s="1">
        <v>0.625</v>
      </c>
      <c r="JR82" s="487">
        <v>4.45</v>
      </c>
      <c r="JS82" s="1">
        <v>1</v>
      </c>
      <c r="JT82" s="487">
        <v>13.024999999999999</v>
      </c>
      <c r="JU82" s="1">
        <v>0.66666666666666663</v>
      </c>
      <c r="JV82" s="487">
        <v>-33.75</v>
      </c>
      <c r="JW82" s="1">
        <v>0.33333333333333331</v>
      </c>
      <c r="JX82" s="487"/>
      <c r="JY82" s="1"/>
      <c r="JZ82" s="487">
        <v>28.649999999999995</v>
      </c>
      <c r="KA82" s="1">
        <v>1</v>
      </c>
      <c r="KB82" s="487">
        <v>7.1999999999999993</v>
      </c>
      <c r="KC82" s="1">
        <v>1</v>
      </c>
      <c r="KD82" s="487">
        <v>24.7</v>
      </c>
      <c r="KE82" s="1">
        <v>1</v>
      </c>
      <c r="KF82" s="487">
        <v>7.6499999999999995</v>
      </c>
      <c r="KG82" s="1">
        <v>0.66666666666666663</v>
      </c>
      <c r="KH82" s="487">
        <v>31.849999999999994</v>
      </c>
      <c r="KI82" s="1">
        <v>0.83333333333333337</v>
      </c>
      <c r="KJ82" s="487">
        <v>21.299999999999997</v>
      </c>
      <c r="KK82" s="1">
        <v>1</v>
      </c>
      <c r="KL82" s="487">
        <v>14.55</v>
      </c>
      <c r="KM82" s="1">
        <v>1</v>
      </c>
      <c r="KN82" s="487">
        <v>25.599999999999994</v>
      </c>
      <c r="KO82" s="1">
        <v>0.77777777777777779</v>
      </c>
      <c r="KP82" s="487"/>
      <c r="KQ82" s="1"/>
      <c r="KR82" s="487">
        <v>-31.1</v>
      </c>
      <c r="KS82" s="1">
        <v>0.375</v>
      </c>
      <c r="KT82" s="487"/>
      <c r="KU82" s="1"/>
      <c r="KV82" s="487">
        <v>2.7249999999999988</v>
      </c>
      <c r="KW82" s="1">
        <v>0.5</v>
      </c>
      <c r="KX82" s="487">
        <v>21.624999999999996</v>
      </c>
      <c r="KY82" s="1">
        <v>1</v>
      </c>
      <c r="KZ82" s="487">
        <v>7.8249999999999993</v>
      </c>
      <c r="LA82" s="1">
        <v>1</v>
      </c>
      <c r="LB82" s="487"/>
      <c r="LC82" s="1"/>
      <c r="LD82" s="487">
        <v>30.774999999999999</v>
      </c>
      <c r="LE82" s="1">
        <v>1</v>
      </c>
      <c r="LF82" s="487">
        <v>-15.074999999999998</v>
      </c>
      <c r="LG82" s="1">
        <v>0.5</v>
      </c>
      <c r="LH82" s="487">
        <v>21.749999999999996</v>
      </c>
      <c r="LI82" s="1">
        <v>1</v>
      </c>
      <c r="LJ82" s="487"/>
      <c r="LK82" s="1"/>
      <c r="LL82" s="487">
        <v>-7.8749999999999964</v>
      </c>
      <c r="LM82" s="1">
        <v>0.66666666666666663</v>
      </c>
      <c r="LN82" s="487">
        <v>-60.275000000000013</v>
      </c>
      <c r="LO82" s="1">
        <v>0.44444444444444442</v>
      </c>
      <c r="LP82" s="487">
        <v>-36.375</v>
      </c>
      <c r="LQ82" s="1">
        <v>0</v>
      </c>
      <c r="LR82" s="487">
        <v>-18.399999999999999</v>
      </c>
      <c r="LS82" s="1">
        <v>0.5</v>
      </c>
      <c r="LT82" s="487">
        <v>-25.849999999999994</v>
      </c>
      <c r="LU82" s="1">
        <v>0.6</v>
      </c>
      <c r="LV82" s="487"/>
      <c r="LW82" s="1"/>
      <c r="LX82" s="487"/>
      <c r="LY82" s="1"/>
      <c r="LZ82" s="487"/>
      <c r="MA82" s="1"/>
      <c r="MB82" s="487">
        <v>7.0499999999999989</v>
      </c>
      <c r="MC82" s="1">
        <v>1</v>
      </c>
      <c r="MD82" s="487"/>
      <c r="ME82" s="1"/>
      <c r="MF82" s="487">
        <v>-4.1500000000000004</v>
      </c>
      <c r="MG82" s="1">
        <v>0.5</v>
      </c>
      <c r="MH82" s="487">
        <v>8.9249999999999989</v>
      </c>
      <c r="MI82" s="1">
        <v>1</v>
      </c>
      <c r="MJ82" s="487">
        <v>-18.049999999999997</v>
      </c>
      <c r="MK82" s="1">
        <v>0</v>
      </c>
      <c r="ML82" s="487">
        <v>20.999999999999996</v>
      </c>
      <c r="MM82" s="1">
        <v>0.8</v>
      </c>
      <c r="MN82" s="487">
        <v>-11</v>
      </c>
      <c r="MO82" s="1">
        <v>0.5</v>
      </c>
      <c r="MP82" s="487">
        <v>-29.375</v>
      </c>
      <c r="MQ82" s="1">
        <v>0.33333333333333331</v>
      </c>
      <c r="MR82" s="487">
        <v>-3.7250000000000005</v>
      </c>
      <c r="MS82" s="1">
        <v>0.66666666666666663</v>
      </c>
      <c r="MT82" s="487">
        <v>-19.675000000000001</v>
      </c>
      <c r="MU82" s="1">
        <v>0.6</v>
      </c>
      <c r="MV82" s="487">
        <v>-7.4499999999999975</v>
      </c>
      <c r="MW82" s="1">
        <v>0.66666666666666663</v>
      </c>
      <c r="MX82" s="487">
        <v>-47.874999999999993</v>
      </c>
      <c r="MY82" s="1">
        <v>0.25</v>
      </c>
      <c r="MZ82" s="487">
        <v>3.4749999999999992</v>
      </c>
      <c r="NA82" s="1">
        <v>0.75</v>
      </c>
      <c r="NB82" s="487">
        <v>12.524999999999997</v>
      </c>
      <c r="NC82" s="1">
        <v>0.8</v>
      </c>
      <c r="ND82" s="487"/>
      <c r="NE82" s="1"/>
      <c r="NF82" s="487">
        <v>-31.924999999999997</v>
      </c>
      <c r="NG82" s="1">
        <v>0.33333333333333331</v>
      </c>
      <c r="NH82" s="487">
        <v>-31.924999999999997</v>
      </c>
      <c r="NI82" s="1">
        <v>0.33333333333333331</v>
      </c>
      <c r="NJ82" s="487">
        <v>3.274999999999999</v>
      </c>
      <c r="NK82" s="1">
        <v>0.75</v>
      </c>
      <c r="NL82" s="487">
        <v>-6.1</v>
      </c>
      <c r="NM82" s="1">
        <v>0.66666666666666663</v>
      </c>
      <c r="NN82" s="487"/>
      <c r="NO82" s="1"/>
      <c r="NP82" s="487">
        <v>-10.675000000000001</v>
      </c>
      <c r="NQ82" s="1">
        <v>0.5</v>
      </c>
      <c r="NR82" s="487">
        <v>-36.474999999999994</v>
      </c>
      <c r="NS82" s="1">
        <v>0</v>
      </c>
      <c r="NT82" s="487">
        <v>7.0499999999999989</v>
      </c>
      <c r="NU82" s="1">
        <v>1</v>
      </c>
      <c r="NV82" s="487">
        <v>-36</v>
      </c>
      <c r="NW82" s="1">
        <v>0</v>
      </c>
      <c r="NX82" s="487"/>
      <c r="NY82" s="1"/>
      <c r="NZ82" s="487">
        <v>14.399999999999999</v>
      </c>
      <c r="OA82" s="1">
        <v>1</v>
      </c>
      <c r="OB82" s="487">
        <v>14.924999999999999</v>
      </c>
      <c r="OC82" s="1">
        <v>1</v>
      </c>
      <c r="OD82" s="487"/>
      <c r="OE82" s="1"/>
      <c r="OF82" s="487">
        <v>-11.274999999999999</v>
      </c>
      <c r="OG82" s="1">
        <v>0.5</v>
      </c>
      <c r="OH82" s="487">
        <v>-39.824999999999996</v>
      </c>
      <c r="OI82" s="1">
        <v>0.4</v>
      </c>
      <c r="OJ82" s="487"/>
      <c r="OK82" s="1"/>
      <c r="OL82" s="487">
        <v>7.8999999999999986</v>
      </c>
      <c r="OM82" s="1">
        <v>1</v>
      </c>
      <c r="ON82" s="487">
        <v>-10.824999999999999</v>
      </c>
      <c r="OO82" s="1">
        <v>0.5</v>
      </c>
      <c r="OP82" s="487">
        <v>-35.574999999999996</v>
      </c>
      <c r="OQ82" s="1">
        <v>0.55555555555555558</v>
      </c>
      <c r="OR82" s="487">
        <v>-92.249999999999986</v>
      </c>
      <c r="OS82" s="1">
        <v>0</v>
      </c>
      <c r="OT82" s="487">
        <v>0.15000000000000346</v>
      </c>
      <c r="OU82" s="1">
        <v>0.7142857142857143</v>
      </c>
      <c r="OV82" s="487"/>
      <c r="OW82" s="1"/>
      <c r="OX82" s="487">
        <v>26.9</v>
      </c>
      <c r="OY82" s="1">
        <v>0.875</v>
      </c>
      <c r="OZ82" s="487"/>
      <c r="PA82" s="1"/>
      <c r="PB82" s="487">
        <v>-23.274999999999995</v>
      </c>
      <c r="PC82" s="1">
        <v>0.33333333333333331</v>
      </c>
      <c r="PD82" s="487">
        <v>-39.625</v>
      </c>
      <c r="PE82" s="1">
        <v>0.4</v>
      </c>
      <c r="PF82" s="487">
        <v>-22.099999999999998</v>
      </c>
      <c r="PG82" s="1">
        <v>0.5</v>
      </c>
      <c r="PH82" s="487">
        <v>3.8500000000000023</v>
      </c>
      <c r="PI82" s="1">
        <v>0.75</v>
      </c>
      <c r="PJ82" s="487"/>
      <c r="PK82" s="1"/>
      <c r="PL82" s="487"/>
      <c r="PM82" s="1"/>
      <c r="PN82" s="487">
        <v>18.224999999999998</v>
      </c>
      <c r="PO82" s="1">
        <v>0.83333333333333337</v>
      </c>
      <c r="PP82" s="487"/>
      <c r="PQ82" s="1"/>
      <c r="PR82" s="487"/>
      <c r="PS82" s="1"/>
      <c r="PT82" s="487"/>
      <c r="PU82" s="1"/>
      <c r="PV82" s="487">
        <v>2.9749999999999974</v>
      </c>
      <c r="PW82" s="1">
        <v>0.75</v>
      </c>
      <c r="PX82" s="487">
        <v>19.8</v>
      </c>
      <c r="PY82" s="1">
        <v>0.875</v>
      </c>
      <c r="PZ82" s="487">
        <v>-20.5</v>
      </c>
      <c r="QA82" s="1">
        <v>0.5</v>
      </c>
      <c r="QB82" s="487">
        <v>-69.25</v>
      </c>
      <c r="QC82" s="1">
        <v>0.375</v>
      </c>
      <c r="QD82" s="487">
        <v>42.199999999999996</v>
      </c>
      <c r="QE82" s="1">
        <v>1</v>
      </c>
      <c r="QF82" s="487">
        <v>-1.8750000000000011</v>
      </c>
      <c r="QG82" s="1">
        <v>0.66666666666666663</v>
      </c>
      <c r="QH82" s="487">
        <v>-25.45</v>
      </c>
      <c r="QI82" s="1">
        <v>0.4</v>
      </c>
      <c r="QJ82" s="487">
        <v>-96.924999999999997</v>
      </c>
      <c r="QK82" s="1">
        <v>0.22222222222222221</v>
      </c>
      <c r="QL82" s="487">
        <v>45.500000000000007</v>
      </c>
      <c r="QM82" s="1">
        <v>0.9</v>
      </c>
      <c r="QN82" s="487">
        <v>-32.75</v>
      </c>
      <c r="QO82" s="1">
        <v>0.5714285714285714</v>
      </c>
      <c r="QP82" s="487">
        <v>-32.049999999999997</v>
      </c>
      <c r="QQ82" s="1">
        <v>0.25</v>
      </c>
      <c r="QR82" s="487">
        <v>-14.2</v>
      </c>
      <c r="QS82" s="1">
        <v>0.6</v>
      </c>
      <c r="QT82" s="487"/>
      <c r="QU82" s="1"/>
      <c r="QV82" s="487">
        <v>-9.4250000000000007</v>
      </c>
      <c r="QW82" s="1">
        <v>0.5714285714285714</v>
      </c>
      <c r="QX82" s="487">
        <v>-0.35000000000000003</v>
      </c>
      <c r="QY82" s="1">
        <v>0</v>
      </c>
      <c r="QZ82" s="487"/>
      <c r="RA82" s="1"/>
      <c r="RB82" s="487">
        <v>-16.75</v>
      </c>
      <c r="RC82" s="1">
        <v>0.6</v>
      </c>
      <c r="RD82" s="487">
        <v>6.3249999999999984</v>
      </c>
      <c r="RE82" s="1">
        <v>0.7142857142857143</v>
      </c>
      <c r="RF82" s="487">
        <v>-8.9250000000000007</v>
      </c>
      <c r="RG82" s="1">
        <v>0.625</v>
      </c>
      <c r="RH82" s="487">
        <v>-64.099999999999994</v>
      </c>
      <c r="RI82" s="1">
        <v>0.2857142857142857</v>
      </c>
      <c r="RJ82" s="487">
        <v>-19.324999999999999</v>
      </c>
      <c r="RK82" s="1">
        <v>0.4</v>
      </c>
      <c r="RL82" s="487">
        <v>-19.024999999999999</v>
      </c>
      <c r="RM82" s="1">
        <v>0.33333333333333331</v>
      </c>
      <c r="RN82" s="487">
        <v>-65.924999999999997</v>
      </c>
      <c r="RO82" s="1">
        <v>0.25</v>
      </c>
      <c r="RP82" s="487">
        <v>-22.124999999999996</v>
      </c>
      <c r="RQ82" s="1">
        <v>0.5</v>
      </c>
      <c r="RR82" s="487">
        <v>7.0249999999999995</v>
      </c>
      <c r="RS82" s="1">
        <v>1</v>
      </c>
      <c r="RT82" s="487">
        <v>-24.849999999999998</v>
      </c>
      <c r="RU82" s="1">
        <v>0.5</v>
      </c>
      <c r="RV82" s="487">
        <v>-23.475000000000001</v>
      </c>
      <c r="RW82" s="1">
        <v>0.5</v>
      </c>
      <c r="RX82" s="487">
        <v>-12.275</v>
      </c>
      <c r="RY82" s="1">
        <v>0.5</v>
      </c>
      <c r="RZ82" s="487">
        <v>28.874999999999996</v>
      </c>
      <c r="SA82" s="1">
        <v>1</v>
      </c>
      <c r="SB82" s="487">
        <v>14.325000000000001</v>
      </c>
      <c r="SC82" s="1">
        <v>1</v>
      </c>
      <c r="SD82" s="487"/>
      <c r="SE82" s="1"/>
      <c r="SF82" s="487"/>
      <c r="SG82" s="1"/>
      <c r="SH82" s="487">
        <v>-24.499999999999996</v>
      </c>
      <c r="SI82" s="1">
        <v>0.375</v>
      </c>
      <c r="SJ82" s="487">
        <v>-7.3000000000000016</v>
      </c>
      <c r="SK82" s="1">
        <v>0.66666666666666663</v>
      </c>
      <c r="SL82" s="487">
        <v>6.8500000000000023</v>
      </c>
      <c r="SM82" s="1">
        <v>0.66666666666666663</v>
      </c>
      <c r="SN82" s="487">
        <v>-2.9749999999999996</v>
      </c>
      <c r="SO82" s="1">
        <v>0.75</v>
      </c>
      <c r="SP82" s="487">
        <v>-26.074999999999999</v>
      </c>
      <c r="SQ82" s="1">
        <v>0.25</v>
      </c>
      <c r="SR82" s="487">
        <v>7.0249999999999995</v>
      </c>
      <c r="SS82" s="1">
        <v>1</v>
      </c>
      <c r="ST82" s="487">
        <v>25.324999999999996</v>
      </c>
      <c r="SU82" s="1">
        <v>0.8</v>
      </c>
      <c r="SV82" s="487">
        <v>-20.224999999999994</v>
      </c>
      <c r="SW82" s="1">
        <v>0.4</v>
      </c>
      <c r="SX82" s="487"/>
      <c r="SY82" s="1"/>
      <c r="SZ82" s="487">
        <v>-19.324999999999999</v>
      </c>
      <c r="TA82" s="1">
        <v>0.5</v>
      </c>
      <c r="TB82" s="487">
        <v>-59.399999999999991</v>
      </c>
      <c r="TC82" s="1">
        <v>0.33333333333333331</v>
      </c>
      <c r="TD82" s="487">
        <v>-11.125000000000002</v>
      </c>
      <c r="TE82" s="1">
        <v>0.625</v>
      </c>
      <c r="TF82" s="487"/>
      <c r="TG82" s="1"/>
      <c r="TH82" s="488">
        <v>7.4750000000000005</v>
      </c>
      <c r="TI82" s="1">
        <v>0.5</v>
      </c>
      <c r="TJ82" s="489"/>
      <c r="TK82" s="1"/>
      <c r="TL82" s="490">
        <v>3.9250000000000007</v>
      </c>
      <c r="TM82" s="1">
        <v>0.75</v>
      </c>
      <c r="TN82" s="495"/>
      <c r="TO82" s="1"/>
      <c r="TP82" s="500">
        <v>-36.675000000000004</v>
      </c>
      <c r="TQ82" s="1">
        <v>0.55555555555555558</v>
      </c>
      <c r="TR82" s="511">
        <v>-90.7</v>
      </c>
      <c r="TS82" s="1">
        <v>0</v>
      </c>
      <c r="TT82" s="515">
        <v>-21.1</v>
      </c>
      <c r="TU82" s="1">
        <v>0.5</v>
      </c>
      <c r="TV82" s="518">
        <v>6.0500000000000007</v>
      </c>
      <c r="TW82" s="1">
        <v>0.75</v>
      </c>
      <c r="TX82" s="521">
        <v>-32.85</v>
      </c>
      <c r="TY82" s="1">
        <v>0.5</v>
      </c>
      <c r="TZ82" s="524">
        <v>-13.975</v>
      </c>
      <c r="UA82" s="1">
        <v>0.6</v>
      </c>
      <c r="UB82" s="527">
        <v>-11.324999999999998</v>
      </c>
      <c r="UC82" s="1">
        <v>0.5</v>
      </c>
      <c r="UD82" s="530">
        <v>-3.4749999999999992</v>
      </c>
      <c r="UE82" s="1">
        <v>0.66666666666666663</v>
      </c>
      <c r="UF82" s="533"/>
      <c r="UG82" s="1"/>
      <c r="UH82" s="536"/>
      <c r="UI82" s="1"/>
      <c r="UJ82" s="539">
        <v>29.625000000000004</v>
      </c>
      <c r="UK82" s="1">
        <v>1</v>
      </c>
      <c r="UL82" s="540">
        <v>-47.625000000000007</v>
      </c>
      <c r="UM82" s="1">
        <v>0.375</v>
      </c>
      <c r="UN82" s="543">
        <v>-23.074999999999992</v>
      </c>
      <c r="UO82" s="1">
        <v>0.375</v>
      </c>
      <c r="UP82" s="544">
        <v>-14.900000000000002</v>
      </c>
      <c r="UQ82" s="1">
        <v>0.6</v>
      </c>
      <c r="UR82" s="551"/>
      <c r="US82" s="1"/>
      <c r="UT82" s="551">
        <v>11.499999999999998</v>
      </c>
      <c r="UU82" s="1">
        <v>0.8</v>
      </c>
      <c r="UV82" s="562"/>
      <c r="UW82" s="1"/>
      <c r="UX82" s="566">
        <v>-114.94999999999999</v>
      </c>
      <c r="UY82" s="1">
        <v>0</v>
      </c>
      <c r="UZ82" s="568"/>
      <c r="VA82" s="1"/>
      <c r="VB82" s="572">
        <v>14.125</v>
      </c>
      <c r="VC82" s="1">
        <v>1</v>
      </c>
      <c r="VD82" s="576">
        <v>1.4250000000000007</v>
      </c>
      <c r="VE82" s="1">
        <v>0.7</v>
      </c>
      <c r="VF82" s="580"/>
      <c r="VG82" s="1"/>
      <c r="VH82" s="584">
        <v>2.6249999999999987</v>
      </c>
      <c r="VI82" s="1">
        <v>0.6</v>
      </c>
      <c r="VJ82" s="589"/>
      <c r="VK82" s="1"/>
      <c r="VL82" s="593">
        <v>-11.199999999999998</v>
      </c>
      <c r="VM82" s="1">
        <v>0.4</v>
      </c>
      <c r="VN82" s="597"/>
      <c r="VO82" s="1"/>
      <c r="VP82" s="601">
        <v>3.3749999999999991</v>
      </c>
      <c r="VQ82" s="1">
        <v>0.75</v>
      </c>
      <c r="VR82" s="603"/>
      <c r="VS82" s="1"/>
      <c r="VT82" s="607"/>
      <c r="VU82" s="1"/>
      <c r="VV82" s="609">
        <v>35.524999999999999</v>
      </c>
      <c r="VW82" s="1">
        <v>1</v>
      </c>
      <c r="VX82" s="613">
        <v>16.224999999999998</v>
      </c>
      <c r="VY82" s="1">
        <v>0.83333333333333337</v>
      </c>
      <c r="VZ82" s="617">
        <v>-6.125</v>
      </c>
      <c r="WA82" s="1">
        <v>0.5</v>
      </c>
      <c r="WB82" s="619">
        <v>-70.424999999999997</v>
      </c>
      <c r="WC82" s="1">
        <v>0.375</v>
      </c>
      <c r="WD82" s="624">
        <v>-28.200000000000003</v>
      </c>
      <c r="WE82" s="1">
        <v>0.63636363636363635</v>
      </c>
      <c r="WF82" s="626">
        <v>-16.2</v>
      </c>
      <c r="WG82" s="1">
        <v>0.625</v>
      </c>
      <c r="WH82" s="630">
        <v>2.8750000000000018</v>
      </c>
      <c r="WI82" s="1">
        <v>0.75</v>
      </c>
      <c r="WJ82" s="636">
        <v>51.274999999999999</v>
      </c>
      <c r="WK82" s="1">
        <v>0.9</v>
      </c>
      <c r="WL82" s="638">
        <v>-16.074999999999999</v>
      </c>
      <c r="WM82" s="1">
        <v>0.5</v>
      </c>
      <c r="WN82" s="642">
        <v>3.375</v>
      </c>
      <c r="WO82" s="1">
        <v>0.75</v>
      </c>
      <c r="WP82" s="646"/>
      <c r="WQ82" s="1"/>
      <c r="WR82" s="652"/>
      <c r="WS82" s="1"/>
      <c r="WT82" s="659">
        <v>-26.074999999999999</v>
      </c>
      <c r="WU82" s="1">
        <v>0.5</v>
      </c>
      <c r="WV82" s="659">
        <v>-43.524999999999999</v>
      </c>
      <c r="WW82" s="1">
        <v>0.375</v>
      </c>
      <c r="WX82" s="672"/>
      <c r="WY82" s="1"/>
      <c r="WZ82" s="677"/>
      <c r="XA82" s="1"/>
      <c r="XB82" s="681"/>
      <c r="XC82" s="1"/>
      <c r="XD82" s="683"/>
      <c r="XE82" s="1"/>
      <c r="XF82" s="687">
        <v>-35.849999999999994</v>
      </c>
      <c r="XG82" s="1">
        <v>0</v>
      </c>
      <c r="XH82" s="689"/>
      <c r="XI82" s="1"/>
      <c r="XJ82" s="696"/>
      <c r="XK82" s="1"/>
      <c r="XL82" s="696"/>
      <c r="XM82" s="1"/>
      <c r="XN82" s="696"/>
      <c r="XO82" s="1"/>
      <c r="XP82" s="700"/>
      <c r="XQ82" s="1"/>
      <c r="XR82" s="705"/>
      <c r="XS82" s="1"/>
      <c r="XT82" s="709"/>
      <c r="XU82" s="1"/>
      <c r="XV82" s="715">
        <v>-64.774999999999991</v>
      </c>
      <c r="XW82" s="1">
        <v>0.2</v>
      </c>
    </row>
    <row r="83" spans="2:647" x14ac:dyDescent="0.25">
      <c r="B83" s="755"/>
      <c r="C83" s="762"/>
      <c r="D83" s="765" t="s">
        <v>33</v>
      </c>
      <c r="E83" s="765"/>
      <c r="F83" s="482">
        <v>0.5</v>
      </c>
      <c r="G83" s="475">
        <v>7</v>
      </c>
      <c r="H83" s="6"/>
      <c r="I83" s="6"/>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c r="BU83" s="6"/>
      <c r="BV83" s="6"/>
      <c r="BW83" s="6"/>
      <c r="BX83" s="6"/>
      <c r="BY83" s="6"/>
      <c r="BZ83" s="6"/>
      <c r="CA83" s="6"/>
      <c r="CB83" s="6"/>
      <c r="CC83" s="6"/>
      <c r="CD83" s="6"/>
      <c r="CE83" s="6"/>
      <c r="CF83" s="6"/>
      <c r="CG83" s="6"/>
      <c r="CH83" s="6"/>
      <c r="CI83" s="6"/>
      <c r="CJ83" s="6"/>
      <c r="CK83" s="6"/>
      <c r="CL83" s="6"/>
      <c r="CM83" s="6"/>
      <c r="CN83" s="6"/>
      <c r="CO83" s="6"/>
      <c r="CP83" s="6"/>
      <c r="CQ83" s="6"/>
      <c r="CR83" s="6"/>
      <c r="CS83" s="6"/>
      <c r="CT83" s="6"/>
      <c r="CU83" s="6"/>
      <c r="CV83" s="6"/>
      <c r="CW83" s="6"/>
      <c r="CX83" s="6"/>
      <c r="CY83" s="6"/>
      <c r="CZ83" s="6"/>
      <c r="DA83" s="6"/>
      <c r="DB83" s="6"/>
      <c r="DC83" s="6"/>
      <c r="DD83" s="6"/>
      <c r="DE83" s="6"/>
      <c r="DF83" s="6"/>
      <c r="DG83" s="6"/>
      <c r="DH83" s="6"/>
      <c r="DI83" s="6"/>
      <c r="DJ83" s="6"/>
      <c r="DK83" s="6"/>
      <c r="DL83" s="6"/>
      <c r="DM83" s="6"/>
      <c r="DN83" s="6"/>
      <c r="DO83" s="6"/>
      <c r="DP83" s="6"/>
      <c r="DQ83" s="6"/>
      <c r="DR83" s="6"/>
      <c r="DS83" s="6"/>
      <c r="DT83" s="6"/>
      <c r="DU83" s="6"/>
      <c r="DV83" s="6"/>
      <c r="DW83" s="6"/>
      <c r="DX83" s="6"/>
      <c r="DY83" s="6"/>
      <c r="DZ83" s="6"/>
      <c r="EA83" s="6"/>
      <c r="EB83" s="6"/>
      <c r="EC83" s="6"/>
      <c r="ED83" s="6"/>
      <c r="EE83" s="6"/>
      <c r="EF83" s="6"/>
      <c r="EG83" s="6"/>
      <c r="EH83" s="6"/>
      <c r="EI83" s="6"/>
      <c r="EJ83" s="6"/>
      <c r="EK83" s="6"/>
      <c r="EL83" s="6"/>
      <c r="EM83" s="6"/>
      <c r="EN83" s="6"/>
      <c r="EO83" s="6"/>
      <c r="EP83" s="6"/>
      <c r="EQ83" s="6"/>
      <c r="ER83" s="487"/>
      <c r="ES83" s="1"/>
      <c r="ET83" s="487"/>
      <c r="EU83" s="1"/>
      <c r="EV83" s="487"/>
      <c r="EW83" s="1"/>
      <c r="EX83" s="487"/>
      <c r="EY83" s="1"/>
      <c r="EZ83" s="487"/>
      <c r="FA83" s="1"/>
      <c r="FB83" s="487"/>
      <c r="FC83" s="1"/>
      <c r="FD83" s="487"/>
      <c r="FE83" s="1"/>
      <c r="FF83" s="487"/>
      <c r="FG83" s="1"/>
      <c r="FH83" s="487"/>
      <c r="FI83" s="1"/>
      <c r="FJ83" s="487"/>
      <c r="FK83" s="1"/>
      <c r="FL83" s="487"/>
      <c r="FM83" s="1"/>
      <c r="FN83" s="487"/>
      <c r="FO83" s="1"/>
      <c r="FP83" s="487"/>
      <c r="FQ83" s="1"/>
      <c r="FR83" s="487"/>
      <c r="FS83" s="1"/>
      <c r="FT83" s="487"/>
      <c r="FU83" s="1"/>
      <c r="FV83" s="487"/>
      <c r="FW83" s="1"/>
      <c r="FX83" s="487"/>
      <c r="FY83" s="1"/>
      <c r="FZ83" s="487"/>
      <c r="GA83" s="1"/>
      <c r="GB83" s="487"/>
      <c r="GC83" s="1"/>
      <c r="GD83" s="487"/>
      <c r="GE83" s="1"/>
      <c r="GF83" s="487"/>
      <c r="GG83" s="1"/>
      <c r="GH83" s="487"/>
      <c r="GI83" s="1"/>
      <c r="GJ83" s="487"/>
      <c r="GK83" s="1"/>
      <c r="GL83" s="487"/>
      <c r="GM83" s="1"/>
      <c r="GN83" s="487"/>
      <c r="GO83" s="1"/>
      <c r="GP83" s="487"/>
      <c r="GQ83" s="1"/>
      <c r="GR83" s="487"/>
      <c r="GS83" s="1"/>
      <c r="GT83" s="487"/>
      <c r="GU83" s="1"/>
      <c r="GV83" s="487"/>
      <c r="GW83" s="1"/>
      <c r="GX83" s="487"/>
      <c r="GY83" s="1"/>
      <c r="GZ83" s="487"/>
      <c r="HA83" s="1"/>
      <c r="HB83" s="487"/>
      <c r="HC83" s="1"/>
      <c r="HD83" s="487"/>
      <c r="HE83" s="1"/>
      <c r="HF83" s="487"/>
      <c r="HG83" s="1"/>
      <c r="HH83" s="487"/>
      <c r="HI83" s="1"/>
      <c r="HJ83" s="487"/>
      <c r="HK83" s="1"/>
      <c r="HL83" s="487"/>
      <c r="HM83" s="1"/>
      <c r="HN83" s="487">
        <v>6.3999999999999986</v>
      </c>
      <c r="HO83" s="1">
        <v>0.66666666666666663</v>
      </c>
      <c r="HP83" s="487">
        <v>9.6</v>
      </c>
      <c r="HQ83" s="1">
        <v>0.5714285714285714</v>
      </c>
      <c r="HR83" s="487">
        <v>21.64</v>
      </c>
      <c r="HS83" s="1">
        <v>1</v>
      </c>
      <c r="HT83" s="487">
        <v>-52.019999999999996</v>
      </c>
      <c r="HU83" s="1">
        <v>0.2</v>
      </c>
      <c r="HV83" s="487">
        <v>-40.5</v>
      </c>
      <c r="HW83" s="1">
        <v>0.375</v>
      </c>
      <c r="HX83" s="487"/>
      <c r="HY83" s="1"/>
      <c r="HZ83" s="487">
        <v>-14.219999999999995</v>
      </c>
      <c r="IA83" s="1">
        <v>0.75</v>
      </c>
      <c r="IB83" s="487">
        <v>-11.219999999999999</v>
      </c>
      <c r="IC83" s="1">
        <v>0.625</v>
      </c>
      <c r="ID83" s="487">
        <v>-2.8200000000000007</v>
      </c>
      <c r="IE83" s="1">
        <v>0.6</v>
      </c>
      <c r="IF83" s="487">
        <v>-41.940000000000005</v>
      </c>
      <c r="IG83" s="1">
        <v>0.4</v>
      </c>
      <c r="IH83" s="487">
        <v>-57.499999999999986</v>
      </c>
      <c r="II83" s="1">
        <v>0.4</v>
      </c>
      <c r="IJ83" s="487">
        <v>-6.0199999999999987</v>
      </c>
      <c r="IK83" s="1">
        <v>0.625</v>
      </c>
      <c r="IL83" s="487"/>
      <c r="IM83" s="1"/>
      <c r="IN83" s="487">
        <v>-0.06</v>
      </c>
      <c r="IO83" s="1">
        <v>0</v>
      </c>
      <c r="IP83" s="487">
        <v>-49.44</v>
      </c>
      <c r="IQ83" s="1">
        <v>0.25</v>
      </c>
      <c r="IR83" s="487">
        <v>7.24</v>
      </c>
      <c r="IS83" s="1">
        <v>1</v>
      </c>
      <c r="IT83" s="487">
        <v>-6.5599999999999987</v>
      </c>
      <c r="IU83" s="1">
        <v>0.33333333333333331</v>
      </c>
      <c r="IV83" s="487">
        <v>7.08</v>
      </c>
      <c r="IW83" s="1">
        <v>1</v>
      </c>
      <c r="IX83" s="487">
        <v>-0.5600000000000005</v>
      </c>
      <c r="IY83" s="1">
        <v>0.5</v>
      </c>
      <c r="IZ83" s="487">
        <v>17.34</v>
      </c>
      <c r="JA83" s="1">
        <v>0.83333333333333337</v>
      </c>
      <c r="JB83" s="487">
        <v>-5.3599999999999994</v>
      </c>
      <c r="JC83" s="1">
        <v>0.44444444444444442</v>
      </c>
      <c r="JD83" s="487">
        <v>7.16</v>
      </c>
      <c r="JE83" s="1">
        <v>1</v>
      </c>
      <c r="JF83" s="487">
        <v>-11.940000000000001</v>
      </c>
      <c r="JG83" s="1">
        <v>0.5714285714285714</v>
      </c>
      <c r="JH83" s="487">
        <v>7.6400000000000006</v>
      </c>
      <c r="JI83" s="1">
        <v>0.6</v>
      </c>
      <c r="JJ83" s="487">
        <v>-20.56</v>
      </c>
      <c r="JK83" s="1">
        <v>0.5</v>
      </c>
      <c r="JL83" s="487"/>
      <c r="JM83" s="1"/>
      <c r="JN83" s="487"/>
      <c r="JO83" s="1"/>
      <c r="JP83" s="487">
        <v>9.26</v>
      </c>
      <c r="JQ83" s="1">
        <v>0.625</v>
      </c>
      <c r="JR83" s="487">
        <v>4.66</v>
      </c>
      <c r="JS83" s="1">
        <v>1</v>
      </c>
      <c r="JT83" s="487">
        <v>12.86</v>
      </c>
      <c r="JU83" s="1">
        <v>0.66666666666666663</v>
      </c>
      <c r="JV83" s="487">
        <v>-40.5</v>
      </c>
      <c r="JW83" s="1">
        <v>0.33333333333333331</v>
      </c>
      <c r="JX83" s="487"/>
      <c r="JY83" s="1"/>
      <c r="JZ83" s="487">
        <v>28.18</v>
      </c>
      <c r="KA83" s="1">
        <v>1</v>
      </c>
      <c r="KB83" s="487">
        <v>7.08</v>
      </c>
      <c r="KC83" s="1">
        <v>1</v>
      </c>
      <c r="KD83" s="487">
        <v>24.7</v>
      </c>
      <c r="KE83" s="1">
        <v>1</v>
      </c>
      <c r="KF83" s="487">
        <v>7.2200000000000006</v>
      </c>
      <c r="KG83" s="1">
        <v>0.66666666666666663</v>
      </c>
      <c r="KH83" s="487">
        <v>31.5</v>
      </c>
      <c r="KI83" s="1">
        <v>0.83333333333333337</v>
      </c>
      <c r="KJ83" s="487">
        <v>21.42</v>
      </c>
      <c r="KK83" s="1">
        <v>1</v>
      </c>
      <c r="KL83" s="487">
        <v>14.120000000000001</v>
      </c>
      <c r="KM83" s="1">
        <v>1</v>
      </c>
      <c r="KN83" s="487">
        <v>25.98</v>
      </c>
      <c r="KO83" s="1">
        <v>0.77777777777777779</v>
      </c>
      <c r="KP83" s="487"/>
      <c r="KQ83" s="1"/>
      <c r="KR83" s="487">
        <v>-29.02</v>
      </c>
      <c r="KS83" s="1">
        <v>0.375</v>
      </c>
      <c r="KT83" s="487"/>
      <c r="KU83" s="1"/>
      <c r="KV83" s="487">
        <v>2.4000000000000004</v>
      </c>
      <c r="KW83" s="1">
        <v>0.5</v>
      </c>
      <c r="KX83" s="487">
        <v>21.38</v>
      </c>
      <c r="KY83" s="1">
        <v>1</v>
      </c>
      <c r="KZ83" s="487">
        <v>7.38</v>
      </c>
      <c r="LA83" s="1">
        <v>1</v>
      </c>
      <c r="LB83" s="487"/>
      <c r="LC83" s="1"/>
      <c r="LD83" s="487">
        <v>29.92</v>
      </c>
      <c r="LE83" s="1">
        <v>1</v>
      </c>
      <c r="LF83" s="487">
        <v>15.4</v>
      </c>
      <c r="LG83" s="1">
        <v>1</v>
      </c>
      <c r="LH83" s="487">
        <v>20.88</v>
      </c>
      <c r="LI83" s="1">
        <v>1</v>
      </c>
      <c r="LJ83" s="487"/>
      <c r="LK83" s="1"/>
      <c r="LL83" s="487">
        <v>31.32</v>
      </c>
      <c r="LM83" s="1">
        <v>0.83333333333333337</v>
      </c>
      <c r="LN83" s="487">
        <v>-95.160000000000025</v>
      </c>
      <c r="LO83" s="1">
        <v>0.55555555555555558</v>
      </c>
      <c r="LP83" s="487">
        <v>-80.740000000000009</v>
      </c>
      <c r="LQ83" s="1">
        <v>0</v>
      </c>
      <c r="LR83" s="487">
        <v>32.78</v>
      </c>
      <c r="LS83" s="1">
        <v>1</v>
      </c>
      <c r="LT83" s="487">
        <v>3.6000000000000014</v>
      </c>
      <c r="LU83" s="1">
        <v>0.8</v>
      </c>
      <c r="LV83" s="487"/>
      <c r="LW83" s="1"/>
      <c r="LX83" s="487"/>
      <c r="LY83" s="1"/>
      <c r="LZ83" s="487"/>
      <c r="MA83" s="1"/>
      <c r="MB83" s="487">
        <v>7.64</v>
      </c>
      <c r="MC83" s="1">
        <v>1</v>
      </c>
      <c r="MD83" s="487"/>
      <c r="ME83" s="1"/>
      <c r="MF83" s="487">
        <v>-39.44</v>
      </c>
      <c r="MG83" s="1">
        <v>0.5</v>
      </c>
      <c r="MH83" s="487">
        <v>7.8</v>
      </c>
      <c r="MI83" s="1">
        <v>1</v>
      </c>
      <c r="MJ83" s="487">
        <v>10.199999999999999</v>
      </c>
      <c r="MK83" s="1">
        <v>1</v>
      </c>
      <c r="ML83" s="487">
        <v>20.059999999999999</v>
      </c>
      <c r="MM83" s="1">
        <v>0.8</v>
      </c>
      <c r="MN83" s="487">
        <v>-50.14</v>
      </c>
      <c r="MO83" s="1">
        <v>0.5</v>
      </c>
      <c r="MP83" s="487">
        <v>-10.999999999999998</v>
      </c>
      <c r="MQ83" s="1">
        <v>0.66666666666666663</v>
      </c>
      <c r="MR83" s="487">
        <v>-15.680000000000003</v>
      </c>
      <c r="MS83" s="1">
        <v>0.66666666666666663</v>
      </c>
      <c r="MT83" s="487">
        <v>12.78</v>
      </c>
      <c r="MU83" s="1">
        <v>0.8</v>
      </c>
      <c r="MV83" s="487">
        <v>44.059999999999995</v>
      </c>
      <c r="MW83" s="1">
        <v>1</v>
      </c>
      <c r="MX83" s="487">
        <v>-11.740000000000002</v>
      </c>
      <c r="MY83" s="1">
        <v>0.75</v>
      </c>
      <c r="MZ83" s="487">
        <v>20.62</v>
      </c>
      <c r="NA83" s="1">
        <v>0.75</v>
      </c>
      <c r="NB83" s="487">
        <v>5.5399999999999991</v>
      </c>
      <c r="NC83" s="1">
        <v>0.8</v>
      </c>
      <c r="ND83" s="487"/>
      <c r="NE83" s="1"/>
      <c r="NF83" s="487">
        <v>-45.260000000000005</v>
      </c>
      <c r="NG83" s="1">
        <v>0.33333333333333331</v>
      </c>
      <c r="NH83" s="487">
        <v>-45.260000000000005</v>
      </c>
      <c r="NI83" s="1">
        <v>0.33333333333333331</v>
      </c>
      <c r="NJ83" s="487">
        <v>-10.540000000000001</v>
      </c>
      <c r="NK83" s="1">
        <v>0.75</v>
      </c>
      <c r="NL83" s="487">
        <v>20.380000000000003</v>
      </c>
      <c r="NM83" s="1">
        <v>0.83333333333333337</v>
      </c>
      <c r="NN83" s="487"/>
      <c r="NO83" s="1"/>
      <c r="NP83" s="487">
        <v>-30.52</v>
      </c>
      <c r="NQ83" s="1">
        <v>0.5</v>
      </c>
      <c r="NR83" s="487">
        <v>-40.58</v>
      </c>
      <c r="NS83" s="1">
        <v>0</v>
      </c>
      <c r="NT83" s="487">
        <v>7.04</v>
      </c>
      <c r="NU83" s="1">
        <v>1</v>
      </c>
      <c r="NV83" s="487">
        <v>14.86</v>
      </c>
      <c r="NW83" s="1">
        <v>1</v>
      </c>
      <c r="NX83" s="487"/>
      <c r="NY83" s="1"/>
      <c r="NZ83" s="487">
        <v>14.32</v>
      </c>
      <c r="OA83" s="1">
        <v>1</v>
      </c>
      <c r="OB83" s="487">
        <v>12.78</v>
      </c>
      <c r="OC83" s="1">
        <v>1</v>
      </c>
      <c r="OD83" s="487"/>
      <c r="OE83" s="1"/>
      <c r="OF83" s="487">
        <v>-1.0799999999999992</v>
      </c>
      <c r="OG83" s="1">
        <v>0.5</v>
      </c>
      <c r="OH83" s="487">
        <v>-99.12</v>
      </c>
      <c r="OI83" s="1">
        <v>0.4</v>
      </c>
      <c r="OJ83" s="487"/>
      <c r="OK83" s="1"/>
      <c r="OL83" s="487">
        <v>7.98</v>
      </c>
      <c r="OM83" s="1">
        <v>1</v>
      </c>
      <c r="ON83" s="487">
        <v>14.66</v>
      </c>
      <c r="OO83" s="1">
        <v>1</v>
      </c>
      <c r="OP83" s="487">
        <v>-96.919999999999973</v>
      </c>
      <c r="OQ83" s="1">
        <v>0.55555555555555558</v>
      </c>
      <c r="OR83" s="487">
        <v>-77.42</v>
      </c>
      <c r="OS83" s="1">
        <v>0.4</v>
      </c>
      <c r="OT83" s="487">
        <v>20.919999999999998</v>
      </c>
      <c r="OU83" s="1">
        <v>0.7142857142857143</v>
      </c>
      <c r="OV83" s="487"/>
      <c r="OW83" s="1"/>
      <c r="OX83" s="487">
        <v>42.800000000000004</v>
      </c>
      <c r="OY83" s="1">
        <v>0.875</v>
      </c>
      <c r="OZ83" s="487"/>
      <c r="PA83" s="1"/>
      <c r="PB83" s="487">
        <v>-32.86</v>
      </c>
      <c r="PC83" s="1">
        <v>0.33333333333333331</v>
      </c>
      <c r="PD83" s="487">
        <v>-33.980000000000004</v>
      </c>
      <c r="PE83" s="1">
        <v>0.6</v>
      </c>
      <c r="PF83" s="487">
        <v>-21.200000000000003</v>
      </c>
      <c r="PG83" s="1">
        <v>0.75</v>
      </c>
      <c r="PH83" s="487">
        <v>-5.4600000000000009</v>
      </c>
      <c r="PI83" s="1">
        <v>0.75</v>
      </c>
      <c r="PJ83" s="487"/>
      <c r="PK83" s="1"/>
      <c r="PL83" s="487"/>
      <c r="PM83" s="1"/>
      <c r="PN83" s="487">
        <v>44.22</v>
      </c>
      <c r="PO83" s="1">
        <v>1</v>
      </c>
      <c r="PP83" s="487"/>
      <c r="PQ83" s="1"/>
      <c r="PR83" s="487"/>
      <c r="PS83" s="1"/>
      <c r="PT83" s="487"/>
      <c r="PU83" s="1"/>
      <c r="PV83" s="487">
        <v>-1.1799999999999979</v>
      </c>
      <c r="PW83" s="1">
        <v>0.75</v>
      </c>
      <c r="PX83" s="487">
        <v>18.260000000000002</v>
      </c>
      <c r="PY83" s="1">
        <v>0.875</v>
      </c>
      <c r="PZ83" s="487">
        <v>16.080000000000002</v>
      </c>
      <c r="QA83" s="1">
        <v>0.75</v>
      </c>
      <c r="QB83" s="487">
        <v>-158.64000000000001</v>
      </c>
      <c r="QC83" s="1">
        <v>0.375</v>
      </c>
      <c r="QD83" s="487">
        <v>43.120000000000005</v>
      </c>
      <c r="QE83" s="1">
        <v>1</v>
      </c>
      <c r="QF83" s="487">
        <v>-11.16</v>
      </c>
      <c r="QG83" s="1">
        <v>0.66666666666666663</v>
      </c>
      <c r="QH83" s="487">
        <v>0.32000000000000028</v>
      </c>
      <c r="QI83" s="1">
        <v>0.6</v>
      </c>
      <c r="QJ83" s="487">
        <v>-50.42</v>
      </c>
      <c r="QK83" s="1">
        <v>0.44444444444444442</v>
      </c>
      <c r="QL83" s="487">
        <v>34.04</v>
      </c>
      <c r="QM83" s="1">
        <v>0.9</v>
      </c>
      <c r="QN83" s="487">
        <v>-12.68</v>
      </c>
      <c r="QO83" s="1">
        <v>0.5714285714285714</v>
      </c>
      <c r="QP83" s="487">
        <v>-29.880000000000003</v>
      </c>
      <c r="QQ83" s="1">
        <v>0.25</v>
      </c>
      <c r="QR83" s="487">
        <v>6.8999999999999977</v>
      </c>
      <c r="QS83" s="1">
        <v>0.6</v>
      </c>
      <c r="QT83" s="487"/>
      <c r="QU83" s="1"/>
      <c r="QV83" s="487">
        <v>-10.799999999999997</v>
      </c>
      <c r="QW83" s="1">
        <v>0.5714285714285714</v>
      </c>
      <c r="QX83" s="487">
        <v>-0.68</v>
      </c>
      <c r="QY83" s="1">
        <v>0</v>
      </c>
      <c r="QZ83" s="487"/>
      <c r="RA83" s="1"/>
      <c r="RB83" s="487">
        <v>-14.900000000000002</v>
      </c>
      <c r="RC83" s="1">
        <v>0.6</v>
      </c>
      <c r="RD83" s="487">
        <v>3.6999999999999993</v>
      </c>
      <c r="RE83" s="1">
        <v>0.7142857142857143</v>
      </c>
      <c r="RF83" s="487">
        <v>-0.69999999999999929</v>
      </c>
      <c r="RG83" s="1">
        <v>0.625</v>
      </c>
      <c r="RH83" s="487">
        <v>-73.11999999999999</v>
      </c>
      <c r="RI83" s="1">
        <v>0.2857142857142857</v>
      </c>
      <c r="RJ83" s="487">
        <v>-22.78</v>
      </c>
      <c r="RK83" s="1">
        <v>0.4</v>
      </c>
      <c r="RL83" s="487">
        <v>-22.96</v>
      </c>
      <c r="RM83" s="1">
        <v>0.33333333333333331</v>
      </c>
      <c r="RN83" s="487">
        <v>-33.18</v>
      </c>
      <c r="RO83" s="1">
        <v>0.5</v>
      </c>
      <c r="RP83" s="487">
        <v>-70.759999999999991</v>
      </c>
      <c r="RQ83" s="1">
        <v>0.5</v>
      </c>
      <c r="RR83" s="487">
        <v>7.04</v>
      </c>
      <c r="RS83" s="1">
        <v>1</v>
      </c>
      <c r="RT83" s="487">
        <v>-19.380000000000003</v>
      </c>
      <c r="RU83" s="1">
        <v>0.66666666666666663</v>
      </c>
      <c r="RV83" s="487">
        <v>-42.56</v>
      </c>
      <c r="RW83" s="1">
        <v>0.5</v>
      </c>
      <c r="RX83" s="487">
        <v>-14.379999999999999</v>
      </c>
      <c r="RY83" s="1">
        <v>0.5</v>
      </c>
      <c r="RZ83" s="487">
        <v>28.36</v>
      </c>
      <c r="SA83" s="1">
        <v>1</v>
      </c>
      <c r="SB83" s="487">
        <v>14.14</v>
      </c>
      <c r="SC83" s="1">
        <v>1</v>
      </c>
      <c r="SD83" s="487"/>
      <c r="SE83" s="1"/>
      <c r="SF83" s="487"/>
      <c r="SG83" s="1"/>
      <c r="SH83" s="487">
        <v>-56.52</v>
      </c>
      <c r="SI83" s="1">
        <v>0.375</v>
      </c>
      <c r="SJ83" s="487">
        <v>-20.220000000000002</v>
      </c>
      <c r="SK83" s="1">
        <v>0.66666666666666663</v>
      </c>
      <c r="SL83" s="487">
        <v>8.259999999999998</v>
      </c>
      <c r="SM83" s="1">
        <v>0.66666666666666663</v>
      </c>
      <c r="SN83" s="487">
        <v>-17.939999999999998</v>
      </c>
      <c r="SO83" s="1">
        <v>0.75</v>
      </c>
      <c r="SP83" s="487">
        <v>-35.28</v>
      </c>
      <c r="SQ83" s="1">
        <v>0.25</v>
      </c>
      <c r="SR83" s="487">
        <v>6.94</v>
      </c>
      <c r="SS83" s="1">
        <v>1</v>
      </c>
      <c r="ST83" s="487">
        <v>24.98</v>
      </c>
      <c r="SU83" s="1">
        <v>0.8</v>
      </c>
      <c r="SV83" s="487">
        <v>-11.04</v>
      </c>
      <c r="SW83" s="1">
        <v>0.4</v>
      </c>
      <c r="SX83" s="487"/>
      <c r="SY83" s="1"/>
      <c r="SZ83" s="487">
        <v>-24.199999999999996</v>
      </c>
      <c r="TA83" s="1">
        <v>0.5</v>
      </c>
      <c r="TB83" s="487">
        <v>-63.02000000000001</v>
      </c>
      <c r="TC83" s="1">
        <v>0.5</v>
      </c>
      <c r="TD83" s="487">
        <v>6.8400000000000016</v>
      </c>
      <c r="TE83" s="1">
        <v>0.75</v>
      </c>
      <c r="TF83" s="487"/>
      <c r="TG83" s="1"/>
      <c r="TH83" s="488">
        <v>7.1</v>
      </c>
      <c r="TI83" s="1">
        <v>0.5</v>
      </c>
      <c r="TJ83" s="489"/>
      <c r="TK83" s="1"/>
      <c r="TL83" s="490">
        <v>10.32</v>
      </c>
      <c r="TM83" s="1">
        <v>0.75</v>
      </c>
      <c r="TN83" s="495"/>
      <c r="TO83" s="1"/>
      <c r="TP83" s="500">
        <v>-19.940000000000001</v>
      </c>
      <c r="TQ83" s="1">
        <v>0.55555555555555558</v>
      </c>
      <c r="TR83" s="511">
        <v>-155.26</v>
      </c>
      <c r="TS83" s="1">
        <v>0</v>
      </c>
      <c r="TT83" s="515">
        <v>-31.639999999999997</v>
      </c>
      <c r="TU83" s="1">
        <v>0.5</v>
      </c>
      <c r="TV83" s="518">
        <v>-9.4599999999999937</v>
      </c>
      <c r="TW83" s="1">
        <v>0.75</v>
      </c>
      <c r="TX83" s="521">
        <v>-11.18</v>
      </c>
      <c r="TY83" s="1">
        <v>0.66666666666666663</v>
      </c>
      <c r="TZ83" s="524">
        <v>10.240000000000002</v>
      </c>
      <c r="UA83" s="1">
        <v>0.6</v>
      </c>
      <c r="UB83" s="527">
        <v>-11.02</v>
      </c>
      <c r="UC83" s="1">
        <v>0.5</v>
      </c>
      <c r="UD83" s="530">
        <v>-28.14</v>
      </c>
      <c r="UE83" s="1">
        <v>0.66666666666666663</v>
      </c>
      <c r="UF83" s="533"/>
      <c r="UG83" s="1"/>
      <c r="UH83" s="536"/>
      <c r="UI83" s="1"/>
      <c r="UJ83" s="539">
        <v>29.18</v>
      </c>
      <c r="UK83" s="1">
        <v>1</v>
      </c>
      <c r="UL83" s="540">
        <v>-36.160000000000004</v>
      </c>
      <c r="UM83" s="1">
        <v>0.5</v>
      </c>
      <c r="UN83" s="543">
        <v>-14.719999999999999</v>
      </c>
      <c r="UO83" s="1">
        <v>0.375</v>
      </c>
      <c r="UP83" s="544">
        <v>-39.76</v>
      </c>
      <c r="UQ83" s="1">
        <v>0.6</v>
      </c>
      <c r="UR83" s="551"/>
      <c r="US83" s="1"/>
      <c r="UT83" s="551">
        <v>35.519999999999996</v>
      </c>
      <c r="UU83" s="1">
        <v>1</v>
      </c>
      <c r="UV83" s="562"/>
      <c r="UW83" s="1"/>
      <c r="UX83" s="566">
        <v>-120.14</v>
      </c>
      <c r="UY83" s="1">
        <v>0</v>
      </c>
      <c r="UZ83" s="568"/>
      <c r="VA83" s="1"/>
      <c r="VB83" s="572">
        <v>14</v>
      </c>
      <c r="VC83" s="1">
        <v>1</v>
      </c>
      <c r="VD83" s="576">
        <v>-9.2200000000000024</v>
      </c>
      <c r="VE83" s="1">
        <v>0.7</v>
      </c>
      <c r="VF83" s="580"/>
      <c r="VG83" s="1"/>
      <c r="VH83" s="584">
        <v>27.6</v>
      </c>
      <c r="VI83" s="1">
        <v>0.8</v>
      </c>
      <c r="VJ83" s="589"/>
      <c r="VK83" s="1"/>
      <c r="VL83" s="593">
        <v>-16.240000000000002</v>
      </c>
      <c r="VM83" s="1">
        <v>0.4</v>
      </c>
      <c r="VN83" s="597"/>
      <c r="VO83" s="1"/>
      <c r="VP83" s="601">
        <v>-10.100000000000001</v>
      </c>
      <c r="VQ83" s="1">
        <v>0.75</v>
      </c>
      <c r="VR83" s="603"/>
      <c r="VS83" s="1"/>
      <c r="VT83" s="607"/>
      <c r="VU83" s="1"/>
      <c r="VV83" s="609">
        <v>35.36</v>
      </c>
      <c r="VW83" s="1">
        <v>1</v>
      </c>
      <c r="VX83" s="613">
        <v>-6.7400000000000047</v>
      </c>
      <c r="VY83" s="1">
        <v>0.83333333333333337</v>
      </c>
      <c r="VZ83" s="617">
        <v>18.759999999999998</v>
      </c>
      <c r="WA83" s="1">
        <v>0.625</v>
      </c>
      <c r="WB83" s="619">
        <v>-131.42000000000002</v>
      </c>
      <c r="WC83" s="1">
        <v>0.375</v>
      </c>
      <c r="WD83" s="624">
        <v>3.259999999999998</v>
      </c>
      <c r="WE83" s="1">
        <v>0.72727272727272729</v>
      </c>
      <c r="WF83" s="626">
        <v>-63.540000000000006</v>
      </c>
      <c r="WG83" s="1">
        <v>0.625</v>
      </c>
      <c r="WH83" s="630">
        <v>16.740000000000002</v>
      </c>
      <c r="WI83" s="1">
        <v>0.75</v>
      </c>
      <c r="WJ83" s="636">
        <v>52.459999999999994</v>
      </c>
      <c r="WK83" s="1">
        <v>0.9</v>
      </c>
      <c r="WL83" s="638">
        <v>-27.439999999999998</v>
      </c>
      <c r="WM83" s="1">
        <v>0.66666666666666663</v>
      </c>
      <c r="WN83" s="642">
        <v>12.759999999999998</v>
      </c>
      <c r="WO83" s="1">
        <v>0.75</v>
      </c>
      <c r="WP83" s="646"/>
      <c r="WQ83" s="1"/>
      <c r="WR83" s="652"/>
      <c r="WS83" s="1"/>
      <c r="WT83" s="659">
        <v>-3.3799999999999986</v>
      </c>
      <c r="WU83" s="1">
        <v>0.5</v>
      </c>
      <c r="WV83" s="659">
        <v>-52.239999999999995</v>
      </c>
      <c r="WW83" s="1">
        <v>0.375</v>
      </c>
      <c r="WX83" s="672"/>
      <c r="WY83" s="1"/>
      <c r="WZ83" s="677"/>
      <c r="XA83" s="1"/>
      <c r="XB83" s="681"/>
      <c r="XC83" s="1"/>
      <c r="XD83" s="683"/>
      <c r="XE83" s="1"/>
      <c r="XF83" s="687">
        <v>-27.479999999999997</v>
      </c>
      <c r="XG83" s="1">
        <v>0</v>
      </c>
      <c r="XH83" s="689"/>
      <c r="XI83" s="1"/>
      <c r="XJ83" s="696"/>
      <c r="XK83" s="1"/>
      <c r="XL83" s="696"/>
      <c r="XM83" s="1"/>
      <c r="XN83" s="696"/>
      <c r="XO83" s="1"/>
      <c r="XP83" s="700"/>
      <c r="XQ83" s="1"/>
      <c r="XR83" s="705"/>
      <c r="XS83" s="1"/>
      <c r="XT83" s="709"/>
      <c r="XU83" s="1"/>
      <c r="XV83" s="715">
        <v>-85.68</v>
      </c>
      <c r="XW83" s="1">
        <v>0.2</v>
      </c>
    </row>
    <row r="84" spans="2:647" x14ac:dyDescent="0.25">
      <c r="B84" s="755"/>
      <c r="C84" s="762"/>
      <c r="D84" s="765" t="s">
        <v>37</v>
      </c>
      <c r="E84" s="765"/>
      <c r="F84" s="482">
        <v>0.6</v>
      </c>
      <c r="G84" s="475" t="s">
        <v>36</v>
      </c>
      <c r="H84" s="6"/>
      <c r="I84" s="6"/>
      <c r="J84" s="6"/>
      <c r="K84" s="6"/>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c r="BU84" s="6"/>
      <c r="BV84" s="6"/>
      <c r="BW84" s="6"/>
      <c r="BX84" s="6"/>
      <c r="BY84" s="6"/>
      <c r="BZ84" s="6"/>
      <c r="CA84" s="6"/>
      <c r="CB84" s="6"/>
      <c r="CC84" s="6"/>
      <c r="CD84" s="6"/>
      <c r="CE84" s="6"/>
      <c r="CF84" s="6"/>
      <c r="CG84" s="6"/>
      <c r="CH84" s="6"/>
      <c r="CI84" s="6"/>
      <c r="CJ84" s="6"/>
      <c r="CK84" s="6"/>
      <c r="CL84" s="6"/>
      <c r="CM84" s="6"/>
      <c r="CN84" s="6"/>
      <c r="CO84" s="6"/>
      <c r="CP84" s="6"/>
      <c r="CQ84" s="6"/>
      <c r="CR84" s="6"/>
      <c r="CS84" s="6"/>
      <c r="CT84" s="6"/>
      <c r="CU84" s="6"/>
      <c r="CV84" s="6"/>
      <c r="CW84" s="6"/>
      <c r="CX84" s="6"/>
      <c r="CY84" s="6"/>
      <c r="CZ84" s="6"/>
      <c r="DA84" s="6"/>
      <c r="DB84" s="6"/>
      <c r="DC84" s="6"/>
      <c r="DD84" s="6"/>
      <c r="DE84" s="6"/>
      <c r="DF84" s="6"/>
      <c r="DG84" s="6"/>
      <c r="DH84" s="6"/>
      <c r="DI84" s="6"/>
      <c r="DJ84" s="6"/>
      <c r="DK84" s="6"/>
      <c r="DL84" s="6"/>
      <c r="DM84" s="6"/>
      <c r="DN84" s="6"/>
      <c r="DO84" s="6"/>
      <c r="DP84" s="6"/>
      <c r="DQ84" s="6"/>
      <c r="DR84" s="6"/>
      <c r="DS84" s="6"/>
      <c r="DT84" s="6"/>
      <c r="DU84" s="6"/>
      <c r="DV84" s="6"/>
      <c r="DW84" s="6"/>
      <c r="DX84" s="6"/>
      <c r="DY84" s="6"/>
      <c r="DZ84" s="6"/>
      <c r="EA84" s="6"/>
      <c r="EB84" s="6"/>
      <c r="EC84" s="6"/>
      <c r="ED84" s="6"/>
      <c r="EE84" s="6"/>
      <c r="EF84" s="6"/>
      <c r="EG84" s="6"/>
      <c r="EH84" s="6"/>
      <c r="EI84" s="6"/>
      <c r="EJ84" s="6"/>
      <c r="EK84" s="6"/>
      <c r="EL84" s="6"/>
      <c r="EM84" s="6"/>
      <c r="EN84" s="6"/>
      <c r="EO84" s="6"/>
      <c r="EP84" s="6"/>
      <c r="EQ84" s="6"/>
      <c r="ER84" s="487"/>
      <c r="ES84" s="1"/>
      <c r="ET84" s="487"/>
      <c r="EU84" s="1"/>
      <c r="EV84" s="487"/>
      <c r="EW84" s="1"/>
      <c r="EX84" s="487"/>
      <c r="EY84" s="1"/>
      <c r="EZ84" s="487"/>
      <c r="FA84" s="1"/>
      <c r="FB84" s="487"/>
      <c r="FC84" s="1"/>
      <c r="FD84" s="487"/>
      <c r="FE84" s="1"/>
      <c r="FF84" s="487"/>
      <c r="FG84" s="1"/>
      <c r="FH84" s="487"/>
      <c r="FI84" s="1"/>
      <c r="FJ84" s="487"/>
      <c r="FK84" s="1"/>
      <c r="FL84" s="487"/>
      <c r="FM84" s="1"/>
      <c r="FN84" s="487"/>
      <c r="FO84" s="1"/>
      <c r="FP84" s="487"/>
      <c r="FQ84" s="1"/>
      <c r="FR84" s="487"/>
      <c r="FS84" s="1"/>
      <c r="FT84" s="487"/>
      <c r="FU84" s="1"/>
      <c r="FV84" s="487"/>
      <c r="FW84" s="1"/>
      <c r="FX84" s="487"/>
      <c r="FY84" s="1"/>
      <c r="FZ84" s="487"/>
      <c r="GA84" s="1"/>
      <c r="GB84" s="487"/>
      <c r="GC84" s="1"/>
      <c r="GD84" s="487"/>
      <c r="GE84" s="1"/>
      <c r="GF84" s="487"/>
      <c r="GG84" s="1"/>
      <c r="GH84" s="487"/>
      <c r="GI84" s="1"/>
      <c r="GJ84" s="487"/>
      <c r="GK84" s="1"/>
      <c r="GL84" s="487"/>
      <c r="GM84" s="1"/>
      <c r="GN84" s="487"/>
      <c r="GO84" s="1"/>
      <c r="GP84" s="487"/>
      <c r="GQ84" s="1"/>
      <c r="GR84" s="487"/>
      <c r="GS84" s="1"/>
      <c r="GT84" s="487"/>
      <c r="GU84" s="1"/>
      <c r="GV84" s="487"/>
      <c r="GW84" s="1"/>
      <c r="GX84" s="487"/>
      <c r="GY84" s="1"/>
      <c r="GZ84" s="487"/>
      <c r="HA84" s="1"/>
      <c r="HB84" s="487"/>
      <c r="HC84" s="1"/>
      <c r="HD84" s="487"/>
      <c r="HE84" s="1"/>
      <c r="HF84" s="487"/>
      <c r="HG84" s="1"/>
      <c r="HH84" s="487"/>
      <c r="HI84" s="1"/>
      <c r="HJ84" s="487"/>
      <c r="HK84" s="1"/>
      <c r="HL84" s="487"/>
      <c r="HM84" s="1"/>
      <c r="HN84" s="487"/>
      <c r="HO84" s="1"/>
      <c r="HP84" s="487"/>
      <c r="HQ84" s="1"/>
      <c r="HR84" s="487">
        <v>14.2</v>
      </c>
      <c r="HS84" s="1">
        <v>1</v>
      </c>
      <c r="HT84" s="487">
        <v>-33.450000000000003</v>
      </c>
      <c r="HU84" s="1">
        <v>0.33333333333333331</v>
      </c>
      <c r="HV84" s="487">
        <v>-41.31666666666667</v>
      </c>
      <c r="HW84" s="1">
        <v>0.5</v>
      </c>
      <c r="HX84" s="487"/>
      <c r="HY84" s="1"/>
      <c r="HZ84" s="487">
        <v>5.4333333333333318</v>
      </c>
      <c r="IA84" s="1">
        <v>0.7142857142857143</v>
      </c>
      <c r="IB84" s="487">
        <v>-8.1833333333333353</v>
      </c>
      <c r="IC84" s="1">
        <v>0.63636363636363635</v>
      </c>
      <c r="ID84" s="487">
        <v>-48.733333333333334</v>
      </c>
      <c r="IE84" s="1">
        <v>0.42857142857142855</v>
      </c>
      <c r="IF84" s="487">
        <v>-65.316666666666663</v>
      </c>
      <c r="IG84" s="1">
        <v>0.25</v>
      </c>
      <c r="IH84" s="487">
        <v>-66.816666666666663</v>
      </c>
      <c r="II84" s="1">
        <v>0.4</v>
      </c>
      <c r="IJ84" s="487">
        <v>6.6666666666666687</v>
      </c>
      <c r="IK84" s="1">
        <v>0.66666666666666663</v>
      </c>
      <c r="IL84" s="487"/>
      <c r="IM84" s="1"/>
      <c r="IN84" s="487">
        <v>-28.900000000000002</v>
      </c>
      <c r="IO84" s="1">
        <v>0</v>
      </c>
      <c r="IP84" s="487">
        <v>-38</v>
      </c>
      <c r="IQ84" s="1">
        <v>0.42857142857142855</v>
      </c>
      <c r="IR84" s="487">
        <v>7.2333333333333334</v>
      </c>
      <c r="IS84" s="1">
        <v>1</v>
      </c>
      <c r="IT84" s="487">
        <v>-3.6666666666666656</v>
      </c>
      <c r="IU84" s="1">
        <v>0.5</v>
      </c>
      <c r="IV84" s="487">
        <v>7.2166666666666668</v>
      </c>
      <c r="IW84" s="1">
        <v>1</v>
      </c>
      <c r="IX84" s="487">
        <v>-6.6000000000000005</v>
      </c>
      <c r="IY84" s="1">
        <v>0.5</v>
      </c>
      <c r="IZ84" s="487">
        <v>-26.316666666666666</v>
      </c>
      <c r="JA84" s="1">
        <v>0.5</v>
      </c>
      <c r="JB84" s="487">
        <v>20.866666666666671</v>
      </c>
      <c r="JC84" s="1">
        <v>0.8</v>
      </c>
      <c r="JD84" s="487">
        <v>7.0833333333333339</v>
      </c>
      <c r="JE84" s="1">
        <v>1</v>
      </c>
      <c r="JF84" s="487">
        <v>-13.500000000000004</v>
      </c>
      <c r="JG84" s="1">
        <v>0.5</v>
      </c>
      <c r="JH84" s="487">
        <v>-7.2166666666666668</v>
      </c>
      <c r="JI84" s="1">
        <v>0.6</v>
      </c>
      <c r="JJ84" s="487">
        <v>3.7833333333333328</v>
      </c>
      <c r="JK84" s="1">
        <v>0.6</v>
      </c>
      <c r="JL84" s="487"/>
      <c r="JM84" s="1"/>
      <c r="JN84" s="487"/>
      <c r="JO84" s="1"/>
      <c r="JP84" s="487">
        <v>-8.0166666666666639</v>
      </c>
      <c r="JQ84" s="1">
        <v>0.5</v>
      </c>
      <c r="JR84" s="487">
        <v>9.1499999999999986</v>
      </c>
      <c r="JS84" s="1">
        <v>0.66666666666666663</v>
      </c>
      <c r="JT84" s="487">
        <v>14.116666666666669</v>
      </c>
      <c r="JU84" s="1">
        <v>1</v>
      </c>
      <c r="JV84" s="487">
        <v>-6.55</v>
      </c>
      <c r="JW84" s="1">
        <v>0.66666666666666663</v>
      </c>
      <c r="JX84" s="487"/>
      <c r="JY84" s="1"/>
      <c r="JZ84" s="487">
        <v>21.666666666666668</v>
      </c>
      <c r="KA84" s="1">
        <v>0.8</v>
      </c>
      <c r="KB84" s="487">
        <v>21.200000000000003</v>
      </c>
      <c r="KC84" s="1">
        <v>1</v>
      </c>
      <c r="KD84" s="487">
        <v>24.783333333333331</v>
      </c>
      <c r="KE84" s="1">
        <v>1</v>
      </c>
      <c r="KF84" s="487">
        <v>-6.6666666666666735E-2</v>
      </c>
      <c r="KG84" s="1">
        <v>0.6</v>
      </c>
      <c r="KH84" s="487">
        <v>24.5</v>
      </c>
      <c r="KI84" s="1">
        <v>0.8</v>
      </c>
      <c r="KJ84" s="487">
        <v>7.6999999999999975</v>
      </c>
      <c r="KK84" s="1">
        <v>0.5714285714285714</v>
      </c>
      <c r="KL84" s="487">
        <v>1.0000000000000009</v>
      </c>
      <c r="KM84" s="1">
        <v>0.5</v>
      </c>
      <c r="KN84" s="487">
        <v>28.583333333333332</v>
      </c>
      <c r="KO84" s="1">
        <v>0.72727272727272729</v>
      </c>
      <c r="KP84" s="487"/>
      <c r="KQ84" s="1"/>
      <c r="KR84" s="487">
        <v>-46.116666666666674</v>
      </c>
      <c r="KS84" s="1">
        <v>0.14285714285714285</v>
      </c>
      <c r="KT84" s="487"/>
      <c r="KU84" s="1"/>
      <c r="KV84" s="487">
        <v>2.8</v>
      </c>
      <c r="KW84" s="1">
        <v>0.5</v>
      </c>
      <c r="KX84" s="487">
        <v>21.716666666666669</v>
      </c>
      <c r="KY84" s="1">
        <v>1</v>
      </c>
      <c r="KZ84" s="487">
        <v>22.85</v>
      </c>
      <c r="LA84" s="1">
        <v>1</v>
      </c>
      <c r="LB84" s="487">
        <v>14.316666666666666</v>
      </c>
      <c r="LC84" s="1">
        <v>1</v>
      </c>
      <c r="LD84" s="487">
        <v>29.266666666666673</v>
      </c>
      <c r="LE84" s="1">
        <v>1</v>
      </c>
      <c r="LF84" s="487">
        <v>-18.083333333333332</v>
      </c>
      <c r="LG84" s="1">
        <v>0.5</v>
      </c>
      <c r="LH84" s="487">
        <v>-12.166666666666668</v>
      </c>
      <c r="LI84" s="1">
        <v>0.66666666666666663</v>
      </c>
      <c r="LJ84" s="487"/>
      <c r="LK84" s="1"/>
      <c r="LL84" s="487">
        <v>6.8166666666666682</v>
      </c>
      <c r="LM84" s="1">
        <v>0.7142857142857143</v>
      </c>
      <c r="LN84" s="487">
        <v>-98.09999999999998</v>
      </c>
      <c r="LO84" s="1">
        <v>0.44444444444444442</v>
      </c>
      <c r="LP84" s="487">
        <v>-43.716666666666669</v>
      </c>
      <c r="LQ84" s="1">
        <v>0.33333333333333331</v>
      </c>
      <c r="LR84" s="487">
        <v>-11.383333333333331</v>
      </c>
      <c r="LS84" s="1">
        <v>0.66666666666666663</v>
      </c>
      <c r="LT84" s="487">
        <v>19.350000000000001</v>
      </c>
      <c r="LU84" s="1">
        <v>0.8</v>
      </c>
      <c r="LV84" s="487"/>
      <c r="LW84" s="1"/>
      <c r="LX84" s="487"/>
      <c r="LY84" s="1"/>
      <c r="LZ84" s="487"/>
      <c r="MA84" s="1"/>
      <c r="MB84" s="487">
        <v>7.4000000000000012</v>
      </c>
      <c r="MC84" s="1">
        <v>1</v>
      </c>
      <c r="MD84" s="487"/>
      <c r="ME84" s="1"/>
      <c r="MF84" s="487">
        <v>-13.35</v>
      </c>
      <c r="MG84" s="1">
        <v>0.5</v>
      </c>
      <c r="MH84" s="487">
        <v>8.9</v>
      </c>
      <c r="MI84" s="1">
        <v>1</v>
      </c>
      <c r="MJ84" s="487">
        <v>-25.483333333333334</v>
      </c>
      <c r="MK84" s="1">
        <v>0</v>
      </c>
      <c r="ML84" s="487">
        <v>44.050000000000004</v>
      </c>
      <c r="MM84" s="1">
        <v>1</v>
      </c>
      <c r="MN84" s="487">
        <v>-17.866666666666667</v>
      </c>
      <c r="MO84" s="1">
        <v>0.5</v>
      </c>
      <c r="MP84" s="487">
        <v>-44.2</v>
      </c>
      <c r="MQ84" s="1">
        <v>0.33333333333333331</v>
      </c>
      <c r="MR84" s="487">
        <v>-10.116666666666667</v>
      </c>
      <c r="MS84" s="1">
        <v>0.66666666666666663</v>
      </c>
      <c r="MT84" s="487">
        <v>-43.150000000000006</v>
      </c>
      <c r="MU84" s="1">
        <v>0.5</v>
      </c>
      <c r="MV84" s="487">
        <v>25.850000000000005</v>
      </c>
      <c r="MW84" s="1">
        <v>0.875</v>
      </c>
      <c r="MX84" s="487">
        <v>-56.45000000000001</v>
      </c>
      <c r="MY84" s="1">
        <v>0.4</v>
      </c>
      <c r="MZ84" s="487">
        <v>-45.866666666666674</v>
      </c>
      <c r="NA84" s="1">
        <v>0.5714285714285714</v>
      </c>
      <c r="NB84" s="487">
        <v>-9.8833333333333346</v>
      </c>
      <c r="NC84" s="1">
        <v>0.66666666666666663</v>
      </c>
      <c r="ND84" s="487"/>
      <c r="NE84" s="1"/>
      <c r="NF84" s="487">
        <v>-62.116666666666674</v>
      </c>
      <c r="NG84" s="1">
        <v>0.4</v>
      </c>
      <c r="NH84" s="487">
        <v>-62.116666666666674</v>
      </c>
      <c r="NI84" s="1">
        <v>0.4</v>
      </c>
      <c r="NJ84" s="487">
        <v>14.450000000000003</v>
      </c>
      <c r="NK84" s="1">
        <v>1</v>
      </c>
      <c r="NL84" s="487">
        <v>20.200000000000003</v>
      </c>
      <c r="NM84" s="1">
        <v>0.83333333333333337</v>
      </c>
      <c r="NN84" s="487"/>
      <c r="NO84" s="1"/>
      <c r="NP84" s="487">
        <v>7.0500000000000007</v>
      </c>
      <c r="NQ84" s="1">
        <v>1</v>
      </c>
      <c r="NR84" s="487">
        <v>7.3166666666666664</v>
      </c>
      <c r="NS84" s="1">
        <v>1</v>
      </c>
      <c r="NT84" s="487">
        <v>7.1</v>
      </c>
      <c r="NU84" s="1">
        <v>1</v>
      </c>
      <c r="NV84" s="487">
        <v>15.350000000000001</v>
      </c>
      <c r="NW84" s="1">
        <v>1</v>
      </c>
      <c r="NX84" s="487"/>
      <c r="NY84" s="1"/>
      <c r="NZ84" s="487">
        <v>7.1</v>
      </c>
      <c r="OA84" s="1">
        <v>1</v>
      </c>
      <c r="OB84" s="487">
        <v>21.833333333333332</v>
      </c>
      <c r="OC84" s="1">
        <v>1</v>
      </c>
      <c r="OD84" s="487"/>
      <c r="OE84" s="1"/>
      <c r="OF84" s="487">
        <v>-0.45000000000000079</v>
      </c>
      <c r="OG84" s="1">
        <v>0.5</v>
      </c>
      <c r="OH84" s="487">
        <v>-53.766666666666666</v>
      </c>
      <c r="OI84" s="1">
        <v>0.5</v>
      </c>
      <c r="OJ84" s="487"/>
      <c r="OK84" s="1"/>
      <c r="OL84" s="487">
        <v>14.733333333333334</v>
      </c>
      <c r="OM84" s="1">
        <v>1</v>
      </c>
      <c r="ON84" s="487">
        <v>14.016666666666667</v>
      </c>
      <c r="OO84" s="1">
        <v>1</v>
      </c>
      <c r="OP84" s="487">
        <v>-50.699999999999996</v>
      </c>
      <c r="OQ84" s="1">
        <v>0.63636363636363635</v>
      </c>
      <c r="OR84" s="487">
        <v>-154.44999999999999</v>
      </c>
      <c r="OS84" s="1">
        <v>0.14285714285714285</v>
      </c>
      <c r="OT84" s="487">
        <v>-3.0666666666666651</v>
      </c>
      <c r="OU84" s="1">
        <v>0.75</v>
      </c>
      <c r="OV84" s="487"/>
      <c r="OW84" s="1"/>
      <c r="OX84" s="487">
        <v>-10.733333333333333</v>
      </c>
      <c r="OY84" s="1">
        <v>0.66666666666666663</v>
      </c>
      <c r="OZ84" s="487"/>
      <c r="PA84" s="1"/>
      <c r="PB84" s="487">
        <v>-42.583333333333329</v>
      </c>
      <c r="PC84" s="1">
        <v>0.5</v>
      </c>
      <c r="PD84" s="487">
        <v>-23.266666666666669</v>
      </c>
      <c r="PE84" s="1">
        <v>0.66666666666666663</v>
      </c>
      <c r="PF84" s="487">
        <v>-28.13333333333334</v>
      </c>
      <c r="PG84" s="1">
        <v>0.6</v>
      </c>
      <c r="PH84" s="487">
        <v>4.3333333333333348</v>
      </c>
      <c r="PI84" s="1">
        <v>0.8</v>
      </c>
      <c r="PJ84" s="487"/>
      <c r="PK84" s="1"/>
      <c r="PL84" s="487"/>
      <c r="PM84" s="1"/>
      <c r="PN84" s="487">
        <v>29.683333333333334</v>
      </c>
      <c r="PO84" s="1">
        <v>1</v>
      </c>
      <c r="PP84" s="487">
        <v>-25.033333333333335</v>
      </c>
      <c r="PQ84" s="1">
        <v>0</v>
      </c>
      <c r="PR84" s="487"/>
      <c r="PS84" s="1"/>
      <c r="PT84" s="487">
        <v>7.3333333333333339</v>
      </c>
      <c r="PU84" s="1">
        <v>1</v>
      </c>
      <c r="PV84" s="487">
        <v>-3.6333333333333346</v>
      </c>
      <c r="PW84" s="1">
        <v>0.75</v>
      </c>
      <c r="PX84" s="487">
        <v>-22.150000000000006</v>
      </c>
      <c r="PY84" s="1">
        <v>0.75</v>
      </c>
      <c r="PZ84" s="487">
        <v>15.516666666666666</v>
      </c>
      <c r="QA84" s="1">
        <v>0.75</v>
      </c>
      <c r="QB84" s="487">
        <v>-151.88333333333333</v>
      </c>
      <c r="QC84" s="1">
        <v>0.3</v>
      </c>
      <c r="QD84" s="487">
        <v>3.1833333333333322</v>
      </c>
      <c r="QE84" s="1">
        <v>0.8</v>
      </c>
      <c r="QF84" s="487">
        <v>-26.033333333333335</v>
      </c>
      <c r="QG84" s="1">
        <v>0.6</v>
      </c>
      <c r="QH84" s="487">
        <v>21.683333333333334</v>
      </c>
      <c r="QI84" s="1">
        <v>1</v>
      </c>
      <c r="QJ84" s="487">
        <v>-42.7</v>
      </c>
      <c r="QK84" s="1">
        <v>0.42857142857142855</v>
      </c>
      <c r="QL84" s="487">
        <v>-6.1666666666666661</v>
      </c>
      <c r="QM84" s="1">
        <v>0.75</v>
      </c>
      <c r="QN84" s="487">
        <v>21.383333333333333</v>
      </c>
      <c r="QO84" s="1">
        <v>1</v>
      </c>
      <c r="QP84" s="487">
        <v>-47.966666666666661</v>
      </c>
      <c r="QQ84" s="1">
        <v>0.33333333333333331</v>
      </c>
      <c r="QR84" s="487">
        <v>3.0500000000000034</v>
      </c>
      <c r="QS84" s="1">
        <v>0.8</v>
      </c>
      <c r="QT84" s="487"/>
      <c r="QU84" s="1"/>
      <c r="QV84" s="487">
        <v>-21.566666666666663</v>
      </c>
      <c r="QW84" s="1">
        <v>0.6</v>
      </c>
      <c r="QX84" s="487">
        <v>-7.3500000000000005</v>
      </c>
      <c r="QY84" s="1">
        <v>0</v>
      </c>
      <c r="QZ84" s="487"/>
      <c r="RA84" s="1"/>
      <c r="RB84" s="487">
        <v>1.3666666666666671</v>
      </c>
      <c r="RC84" s="1">
        <v>0.66666666666666663</v>
      </c>
      <c r="RD84" s="487">
        <v>28.633333333333333</v>
      </c>
      <c r="RE84" s="1">
        <v>1</v>
      </c>
      <c r="RF84" s="487">
        <v>-17.033333333333331</v>
      </c>
      <c r="RG84" s="1">
        <v>0.5</v>
      </c>
      <c r="RH84" s="487">
        <v>-81.400000000000006</v>
      </c>
      <c r="RI84" s="1">
        <v>0.33333333333333331</v>
      </c>
      <c r="RJ84" s="487">
        <v>-15.433333333333337</v>
      </c>
      <c r="RK84" s="1">
        <v>0.5</v>
      </c>
      <c r="RL84" s="487">
        <v>-21.150000000000002</v>
      </c>
      <c r="RM84" s="1">
        <v>0.66666666666666663</v>
      </c>
      <c r="RN84" s="487">
        <v>-48.566666666666663</v>
      </c>
      <c r="RO84" s="1">
        <v>0.33333333333333331</v>
      </c>
      <c r="RP84" s="487">
        <v>-68.216666666666669</v>
      </c>
      <c r="RQ84" s="1">
        <v>0.25</v>
      </c>
      <c r="RR84" s="487">
        <v>7.1</v>
      </c>
      <c r="RS84" s="1">
        <v>1</v>
      </c>
      <c r="RT84" s="487">
        <v>1.0333333333333328</v>
      </c>
      <c r="RU84" s="1">
        <v>0.66666666666666663</v>
      </c>
      <c r="RV84" s="487">
        <v>-73.783333333333331</v>
      </c>
      <c r="RW84" s="1">
        <v>0.5</v>
      </c>
      <c r="RX84" s="487">
        <v>4.9000000000000012</v>
      </c>
      <c r="RY84" s="1">
        <v>0.66666666666666663</v>
      </c>
      <c r="RZ84" s="487">
        <v>14.06666666666667</v>
      </c>
      <c r="SA84" s="1">
        <v>1</v>
      </c>
      <c r="SB84" s="487">
        <v>13.999999999999998</v>
      </c>
      <c r="SC84" s="1">
        <v>1</v>
      </c>
      <c r="SD84" s="487"/>
      <c r="SE84" s="1"/>
      <c r="SF84" s="487"/>
      <c r="SG84" s="1"/>
      <c r="SH84" s="487">
        <v>-44.616666666666674</v>
      </c>
      <c r="SI84" s="1">
        <v>0.33333333333333331</v>
      </c>
      <c r="SJ84" s="487">
        <v>-6.8999999999999986</v>
      </c>
      <c r="SK84" s="1">
        <v>0.75</v>
      </c>
      <c r="SL84" s="487">
        <v>5.3000000000000007</v>
      </c>
      <c r="SM84" s="1">
        <v>0.66666666666666663</v>
      </c>
      <c r="SN84" s="487">
        <v>-20.283333333333335</v>
      </c>
      <c r="SO84" s="1">
        <v>0.5</v>
      </c>
      <c r="SP84" s="487">
        <v>-26.450000000000003</v>
      </c>
      <c r="SQ84" s="1">
        <v>0.33333333333333331</v>
      </c>
      <c r="SR84" s="487">
        <v>7.0833333333333339</v>
      </c>
      <c r="SS84" s="1">
        <v>1</v>
      </c>
      <c r="ST84" s="487">
        <v>28.933333333333334</v>
      </c>
      <c r="SU84" s="1">
        <v>1</v>
      </c>
      <c r="SV84" s="487">
        <v>4.75</v>
      </c>
      <c r="SW84" s="1">
        <v>0.66666666666666663</v>
      </c>
      <c r="SX84" s="487"/>
      <c r="SY84" s="1"/>
      <c r="SZ84" s="487">
        <v>-32.683333333333337</v>
      </c>
      <c r="TA84" s="1">
        <v>0.5</v>
      </c>
      <c r="TB84" s="487">
        <v>-33.666666666666664</v>
      </c>
      <c r="TC84" s="1">
        <v>0.6</v>
      </c>
      <c r="TD84" s="487">
        <v>33.68333333333333</v>
      </c>
      <c r="TE84" s="1">
        <v>0.8571428571428571</v>
      </c>
      <c r="TF84" s="487"/>
      <c r="TG84" s="1"/>
      <c r="TH84" s="488">
        <v>5.3666666666666663</v>
      </c>
      <c r="TI84" s="1">
        <v>0.5</v>
      </c>
      <c r="TJ84" s="489"/>
      <c r="TK84" s="1"/>
      <c r="TL84" s="490">
        <v>21.216666666666669</v>
      </c>
      <c r="TM84" s="1">
        <v>1</v>
      </c>
      <c r="TN84" s="495"/>
      <c r="TO84" s="1"/>
      <c r="TP84" s="500">
        <v>-13.833333333333336</v>
      </c>
      <c r="TQ84" s="1">
        <v>0.5</v>
      </c>
      <c r="TR84" s="511">
        <v>-105.7</v>
      </c>
      <c r="TS84" s="1">
        <v>0.16666666666666666</v>
      </c>
      <c r="TT84" s="515">
        <v>3.1833333333333336</v>
      </c>
      <c r="TU84" s="1">
        <v>0.75</v>
      </c>
      <c r="TV84" s="518">
        <v>-29.166666666666668</v>
      </c>
      <c r="TW84" s="1">
        <v>0.6</v>
      </c>
      <c r="TX84" s="521">
        <v>-33.75</v>
      </c>
      <c r="TY84" s="1">
        <v>0.6</v>
      </c>
      <c r="TZ84" s="524">
        <v>23.533333333333335</v>
      </c>
      <c r="UA84" s="1">
        <v>0.8</v>
      </c>
      <c r="UB84" s="527">
        <v>-23.616666666666664</v>
      </c>
      <c r="UC84" s="1">
        <v>0.66666666666666663</v>
      </c>
      <c r="UD84" s="530">
        <v>3.9666666666666681</v>
      </c>
      <c r="UE84" s="1">
        <v>0.8</v>
      </c>
      <c r="UF84" s="533"/>
      <c r="UG84" s="1"/>
      <c r="UH84" s="536">
        <v>7.1166666666666663</v>
      </c>
      <c r="UI84" s="1">
        <v>1</v>
      </c>
      <c r="UJ84" s="539">
        <v>-10.45</v>
      </c>
      <c r="UK84" s="1">
        <v>0.66666666666666663</v>
      </c>
      <c r="UL84" s="540">
        <v>-46.533333333333331</v>
      </c>
      <c r="UM84" s="1">
        <v>0.42857142857142855</v>
      </c>
      <c r="UN84" s="543">
        <v>20.116666666666671</v>
      </c>
      <c r="UO84" s="1">
        <v>0.5</v>
      </c>
      <c r="UP84" s="544">
        <v>-19.233333333333334</v>
      </c>
      <c r="UQ84" s="1">
        <v>0.6</v>
      </c>
      <c r="UR84" s="551"/>
      <c r="US84" s="1"/>
      <c r="UT84" s="551">
        <v>29.266666666666666</v>
      </c>
      <c r="UU84" s="1">
        <v>1</v>
      </c>
      <c r="UV84" s="562"/>
      <c r="UW84" s="1"/>
      <c r="UX84" s="566">
        <v>-100.01666666666668</v>
      </c>
      <c r="UY84" s="1">
        <v>0.125</v>
      </c>
      <c r="UZ84" s="568"/>
      <c r="VA84" s="1"/>
      <c r="VB84" s="572">
        <v>11.350000000000001</v>
      </c>
      <c r="VC84" s="1">
        <v>0.75</v>
      </c>
      <c r="VD84" s="576">
        <v>-24.399999999999995</v>
      </c>
      <c r="VE84" s="1">
        <v>0.6</v>
      </c>
      <c r="VF84" s="580"/>
      <c r="VG84" s="1"/>
      <c r="VH84" s="584">
        <v>42.349999999999994</v>
      </c>
      <c r="VI84" s="1">
        <v>0.8571428571428571</v>
      </c>
      <c r="VJ84" s="589"/>
      <c r="VK84" s="1"/>
      <c r="VL84" s="593">
        <v>8.2000000000000011</v>
      </c>
      <c r="VM84" s="1">
        <v>0.66666666666666663</v>
      </c>
      <c r="VN84" s="597"/>
      <c r="VO84" s="1"/>
      <c r="VP84" s="601">
        <v>-10.6</v>
      </c>
      <c r="VQ84" s="1">
        <v>0.66666666666666663</v>
      </c>
      <c r="VR84" s="603"/>
      <c r="VS84" s="1"/>
      <c r="VT84" s="607"/>
      <c r="VU84" s="1"/>
      <c r="VV84" s="609">
        <v>-31.100000000000009</v>
      </c>
      <c r="VW84" s="1">
        <v>0.55555555555555558</v>
      </c>
      <c r="VX84" s="613">
        <v>16.3</v>
      </c>
      <c r="VY84" s="1">
        <v>0.8571428571428571</v>
      </c>
      <c r="VZ84" s="617">
        <v>34.066666666666663</v>
      </c>
      <c r="WA84" s="1">
        <v>0.7</v>
      </c>
      <c r="WB84" s="619">
        <v>-129.43333333333334</v>
      </c>
      <c r="WC84" s="1">
        <v>0.33333333333333331</v>
      </c>
      <c r="WD84" s="624">
        <v>-18.066666666666663</v>
      </c>
      <c r="WE84" s="1">
        <v>0.66666666666666663</v>
      </c>
      <c r="WF84" s="626">
        <v>-62.249999999999993</v>
      </c>
      <c r="WG84" s="1">
        <v>0.6</v>
      </c>
      <c r="WH84" s="630">
        <v>9.9833333333333307</v>
      </c>
      <c r="WI84" s="1">
        <v>0.83333333333333337</v>
      </c>
      <c r="WJ84" s="636">
        <v>0.36666666666666481</v>
      </c>
      <c r="WK84" s="1">
        <v>0.66666666666666663</v>
      </c>
      <c r="WL84" s="638">
        <v>-29.65</v>
      </c>
      <c r="WM84" s="1">
        <v>0.5</v>
      </c>
      <c r="WN84" s="642">
        <v>-17.616666666666667</v>
      </c>
      <c r="WO84" s="1">
        <v>0.4</v>
      </c>
      <c r="WP84" s="646"/>
      <c r="WQ84" s="1"/>
      <c r="WR84" s="652"/>
      <c r="WS84" s="1"/>
      <c r="WT84" s="659">
        <v>-18.200000000000006</v>
      </c>
      <c r="WU84" s="1">
        <v>0.55555555555555558</v>
      </c>
      <c r="WV84" s="659">
        <v>-31.000000000000004</v>
      </c>
      <c r="WW84" s="1">
        <v>0.4</v>
      </c>
      <c r="WX84" s="672"/>
      <c r="WY84" s="1"/>
      <c r="WZ84" s="677"/>
      <c r="XA84" s="1"/>
      <c r="XB84" s="681"/>
      <c r="XC84" s="1"/>
      <c r="XD84" s="683"/>
      <c r="XE84" s="1"/>
      <c r="XF84" s="687">
        <v>-15.350000000000001</v>
      </c>
      <c r="XG84" s="1">
        <v>0</v>
      </c>
      <c r="XH84" s="689"/>
      <c r="XI84" s="1"/>
      <c r="XJ84" s="696"/>
      <c r="XK84" s="1"/>
      <c r="XL84" s="696"/>
      <c r="XM84" s="1"/>
      <c r="XN84" s="696"/>
      <c r="XO84" s="1"/>
      <c r="XP84" s="700"/>
      <c r="XQ84" s="1"/>
      <c r="XR84" s="705"/>
      <c r="XS84" s="1"/>
      <c r="XT84" s="709"/>
      <c r="XU84" s="1"/>
      <c r="XV84" s="715">
        <v>-43.55</v>
      </c>
      <c r="XW84" s="1">
        <v>0.33333333333333331</v>
      </c>
    </row>
    <row r="85" spans="2:647" x14ac:dyDescent="0.25">
      <c r="B85" s="755"/>
      <c r="C85" s="762"/>
      <c r="D85" s="765" t="s">
        <v>38</v>
      </c>
      <c r="E85" s="765"/>
      <c r="F85" s="482">
        <v>0.7</v>
      </c>
      <c r="G85" s="475" t="s">
        <v>44</v>
      </c>
      <c r="H85" s="6"/>
      <c r="I85" s="6"/>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6"/>
      <c r="BX85" s="6"/>
      <c r="BY85" s="6"/>
      <c r="BZ85" s="6"/>
      <c r="CA85" s="6"/>
      <c r="CB85" s="6"/>
      <c r="CC85" s="6"/>
      <c r="CD85" s="6"/>
      <c r="CE85" s="6"/>
      <c r="CF85" s="6"/>
      <c r="CG85" s="6"/>
      <c r="CH85" s="6"/>
      <c r="CI85" s="6"/>
      <c r="CJ85" s="6"/>
      <c r="CK85" s="6"/>
      <c r="CL85" s="6"/>
      <c r="CM85" s="6"/>
      <c r="CN85" s="6"/>
      <c r="CO85" s="6"/>
      <c r="CP85" s="6"/>
      <c r="CQ85" s="6"/>
      <c r="CR85" s="6"/>
      <c r="CS85" s="6"/>
      <c r="CT85" s="6"/>
      <c r="CU85" s="6"/>
      <c r="CV85" s="6"/>
      <c r="CW85" s="6"/>
      <c r="CX85" s="6"/>
      <c r="CY85" s="6"/>
      <c r="CZ85" s="6"/>
      <c r="DA85" s="6"/>
      <c r="DB85" s="6"/>
      <c r="DC85" s="6"/>
      <c r="DD85" s="6"/>
      <c r="DE85" s="6"/>
      <c r="DF85" s="6"/>
      <c r="DG85" s="6"/>
      <c r="DH85" s="6"/>
      <c r="DI85" s="6"/>
      <c r="DJ85" s="6"/>
      <c r="DK85" s="6"/>
      <c r="DL85" s="6"/>
      <c r="DM85" s="6"/>
      <c r="DN85" s="6"/>
      <c r="DO85" s="6"/>
      <c r="DP85" s="6"/>
      <c r="DQ85" s="6"/>
      <c r="DR85" s="6"/>
      <c r="DS85" s="6"/>
      <c r="DT85" s="6"/>
      <c r="DU85" s="6"/>
      <c r="DV85" s="6"/>
      <c r="DW85" s="6"/>
      <c r="DX85" s="6"/>
      <c r="DY85" s="6"/>
      <c r="DZ85" s="6"/>
      <c r="EA85" s="6"/>
      <c r="EB85" s="6"/>
      <c r="EC85" s="6"/>
      <c r="ED85" s="6"/>
      <c r="EE85" s="6"/>
      <c r="EF85" s="6"/>
      <c r="EG85" s="6"/>
      <c r="EH85" s="6"/>
      <c r="EI85" s="6"/>
      <c r="EJ85" s="6"/>
      <c r="EK85" s="6"/>
      <c r="EL85" s="6"/>
      <c r="EM85" s="6"/>
      <c r="EN85" s="6"/>
      <c r="EO85" s="6"/>
      <c r="EP85" s="6"/>
      <c r="EQ85" s="6"/>
      <c r="ER85" s="487"/>
      <c r="ES85" s="1"/>
      <c r="ET85" s="487"/>
      <c r="EU85" s="1"/>
      <c r="EV85" s="487"/>
      <c r="EW85" s="1"/>
      <c r="EX85" s="487"/>
      <c r="EY85" s="1"/>
      <c r="EZ85" s="487"/>
      <c r="FA85" s="1"/>
      <c r="FB85" s="487"/>
      <c r="FC85" s="1"/>
      <c r="FD85" s="487"/>
      <c r="FE85" s="1"/>
      <c r="FF85" s="487"/>
      <c r="FG85" s="1"/>
      <c r="FH85" s="487"/>
      <c r="FI85" s="1"/>
      <c r="FJ85" s="487"/>
      <c r="FK85" s="1"/>
      <c r="FL85" s="487"/>
      <c r="FM85" s="1"/>
      <c r="FN85" s="487"/>
      <c r="FO85" s="1"/>
      <c r="FP85" s="487"/>
      <c r="FQ85" s="1"/>
      <c r="FR85" s="487"/>
      <c r="FS85" s="1"/>
      <c r="FT85" s="487"/>
      <c r="FU85" s="1"/>
      <c r="FV85" s="487"/>
      <c r="FW85" s="1"/>
      <c r="FX85" s="487"/>
      <c r="FY85" s="1"/>
      <c r="FZ85" s="487"/>
      <c r="GA85" s="1"/>
      <c r="GB85" s="487"/>
      <c r="GC85" s="1"/>
      <c r="GD85" s="487"/>
      <c r="GE85" s="1"/>
      <c r="GF85" s="487"/>
      <c r="GG85" s="1"/>
      <c r="GH85" s="487"/>
      <c r="GI85" s="1"/>
      <c r="GJ85" s="487"/>
      <c r="GK85" s="1"/>
      <c r="GL85" s="487"/>
      <c r="GM85" s="1"/>
      <c r="GN85" s="487"/>
      <c r="GO85" s="1"/>
      <c r="GP85" s="487"/>
      <c r="GQ85" s="1"/>
      <c r="GR85" s="487"/>
      <c r="GS85" s="1"/>
      <c r="GT85" s="487"/>
      <c r="GU85" s="1"/>
      <c r="GV85" s="487"/>
      <c r="GW85" s="1"/>
      <c r="GX85" s="487"/>
      <c r="GY85" s="1"/>
      <c r="GZ85" s="487"/>
      <c r="HA85" s="1"/>
      <c r="HB85" s="487"/>
      <c r="HC85" s="1"/>
      <c r="HD85" s="487"/>
      <c r="HE85" s="1"/>
      <c r="HF85" s="487"/>
      <c r="HG85" s="1"/>
      <c r="HH85" s="487"/>
      <c r="HI85" s="1"/>
      <c r="HJ85" s="487"/>
      <c r="HK85" s="1"/>
      <c r="HL85" s="487"/>
      <c r="HM85" s="1"/>
      <c r="HN85" s="487"/>
      <c r="HO85" s="1"/>
      <c r="HP85" s="487">
        <v>2.2999999999999994</v>
      </c>
      <c r="HQ85" s="1">
        <v>0.5</v>
      </c>
      <c r="HR85" s="487">
        <v>14.214285714285714</v>
      </c>
      <c r="HS85" s="1">
        <v>1</v>
      </c>
      <c r="HT85" s="487">
        <v>-24.585714285714289</v>
      </c>
      <c r="HU85" s="1">
        <v>0.4</v>
      </c>
      <c r="HV85" s="487">
        <v>-32.257142857142867</v>
      </c>
      <c r="HW85" s="1">
        <v>0.33333333333333331</v>
      </c>
      <c r="HX85" s="487"/>
      <c r="HY85" s="1"/>
      <c r="HZ85" s="487">
        <v>-2.0428571428571414</v>
      </c>
      <c r="IA85" s="1">
        <v>0.75</v>
      </c>
      <c r="IB85" s="487">
        <v>9</v>
      </c>
      <c r="IC85" s="1">
        <v>0.75</v>
      </c>
      <c r="ID85" s="487">
        <v>6.5428571428571436</v>
      </c>
      <c r="IE85" s="1">
        <v>0.75</v>
      </c>
      <c r="IF85" s="487">
        <v>-53.25714285714286</v>
      </c>
      <c r="IG85" s="1">
        <v>0.4</v>
      </c>
      <c r="IH85" s="487">
        <v>-41.314285714285717</v>
      </c>
      <c r="II85" s="1">
        <v>0.5</v>
      </c>
      <c r="IJ85" s="487">
        <v>-11.642857142857144</v>
      </c>
      <c r="IK85" s="1">
        <v>0.625</v>
      </c>
      <c r="IL85" s="487"/>
      <c r="IM85" s="1"/>
      <c r="IN85" s="487"/>
      <c r="IO85" s="1"/>
      <c r="IP85" s="487">
        <v>-44.471428571428575</v>
      </c>
      <c r="IQ85" s="1">
        <v>0.33333333333333331</v>
      </c>
      <c r="IR85" s="487">
        <v>7.2428571428571438</v>
      </c>
      <c r="IS85" s="1">
        <v>1</v>
      </c>
      <c r="IT85" s="487">
        <v>4.2857142857142865</v>
      </c>
      <c r="IU85" s="1">
        <v>0.5</v>
      </c>
      <c r="IV85" s="487">
        <v>7.0857142857142863</v>
      </c>
      <c r="IW85" s="1">
        <v>1</v>
      </c>
      <c r="IX85" s="487">
        <v>-0.15714285714285761</v>
      </c>
      <c r="IY85" s="1">
        <v>0.5</v>
      </c>
      <c r="IZ85" s="487">
        <v>8.6857142857142851</v>
      </c>
      <c r="JA85" s="1">
        <v>0.8</v>
      </c>
      <c r="JB85" s="487">
        <v>-4.8571428571428541</v>
      </c>
      <c r="JC85" s="1">
        <v>0.44444444444444442</v>
      </c>
      <c r="JD85" s="487">
        <v>7.0857142857142863</v>
      </c>
      <c r="JE85" s="1">
        <v>1</v>
      </c>
      <c r="JF85" s="487">
        <v>-12.457142857142856</v>
      </c>
      <c r="JG85" s="1">
        <v>0.5714285714285714</v>
      </c>
      <c r="JH85" s="487">
        <v>-4.4285714285714279</v>
      </c>
      <c r="JI85" s="1">
        <v>0.6</v>
      </c>
      <c r="JJ85" s="487">
        <v>-1.0571428571428578</v>
      </c>
      <c r="JK85" s="1">
        <v>0.66666666666666663</v>
      </c>
      <c r="JL85" s="487"/>
      <c r="JM85" s="1"/>
      <c r="JN85" s="487"/>
      <c r="JO85" s="1"/>
      <c r="JP85" s="487">
        <v>16.700000000000003</v>
      </c>
      <c r="JQ85" s="1">
        <v>0.7142857142857143</v>
      </c>
      <c r="JR85" s="487">
        <v>4.6571428571428575</v>
      </c>
      <c r="JS85" s="1">
        <v>1</v>
      </c>
      <c r="JT85" s="487">
        <v>12.800000000000002</v>
      </c>
      <c r="JU85" s="1">
        <v>0.66666666666666663</v>
      </c>
      <c r="JV85" s="487">
        <v>-14.957142857142857</v>
      </c>
      <c r="JW85" s="1">
        <v>0.4</v>
      </c>
      <c r="JX85" s="487"/>
      <c r="JY85" s="1"/>
      <c r="JZ85" s="487">
        <v>28.400000000000002</v>
      </c>
      <c r="KA85" s="1">
        <v>1</v>
      </c>
      <c r="KB85" s="487">
        <v>14.257142857142858</v>
      </c>
      <c r="KC85" s="1">
        <v>1</v>
      </c>
      <c r="KD85" s="487">
        <v>24.5</v>
      </c>
      <c r="KE85" s="1">
        <v>1</v>
      </c>
      <c r="KF85" s="487">
        <v>-7.3714285714285719</v>
      </c>
      <c r="KG85" s="1">
        <v>0.5</v>
      </c>
      <c r="KH85" s="487">
        <v>32</v>
      </c>
      <c r="KI85" s="1">
        <v>0.83333333333333337</v>
      </c>
      <c r="KJ85" s="487">
        <v>12.414285714285716</v>
      </c>
      <c r="KK85" s="1">
        <v>0.75</v>
      </c>
      <c r="KL85" s="487">
        <v>14.200000000000003</v>
      </c>
      <c r="KM85" s="1">
        <v>1</v>
      </c>
      <c r="KN85" s="487">
        <v>22.18571428571429</v>
      </c>
      <c r="KO85" s="1">
        <v>0.7</v>
      </c>
      <c r="KP85" s="487"/>
      <c r="KQ85" s="1"/>
      <c r="KR85" s="487">
        <v>-29.071428571428577</v>
      </c>
      <c r="KS85" s="1">
        <v>0.375</v>
      </c>
      <c r="KT85" s="487"/>
      <c r="KU85" s="1"/>
      <c r="KV85" s="487">
        <v>2.1428571428571428</v>
      </c>
      <c r="KW85" s="1">
        <v>0.5</v>
      </c>
      <c r="KX85" s="487">
        <v>21.557142857142857</v>
      </c>
      <c r="KY85" s="1">
        <v>1</v>
      </c>
      <c r="KZ85" s="487">
        <v>7.7</v>
      </c>
      <c r="LA85" s="1">
        <v>1</v>
      </c>
      <c r="LB85" s="487">
        <v>-25.1</v>
      </c>
      <c r="LC85" s="1">
        <v>0</v>
      </c>
      <c r="LD85" s="487">
        <v>30.228571428571431</v>
      </c>
      <c r="LE85" s="1">
        <v>1</v>
      </c>
      <c r="LF85" s="487">
        <v>-17.771428571428569</v>
      </c>
      <c r="LG85" s="1">
        <v>0.5</v>
      </c>
      <c r="LH85" s="487">
        <v>-18.971428571428572</v>
      </c>
      <c r="LI85" s="1">
        <v>0.5</v>
      </c>
      <c r="LJ85" s="487"/>
      <c r="LK85" s="1"/>
      <c r="LL85" s="487">
        <v>32.914285714285718</v>
      </c>
      <c r="LM85" s="1">
        <v>0.83333333333333337</v>
      </c>
      <c r="LN85" s="487">
        <v>-55.785714285714285</v>
      </c>
      <c r="LO85" s="1">
        <v>0.5</v>
      </c>
      <c r="LP85" s="487">
        <v>-50.75714285714286</v>
      </c>
      <c r="LQ85" s="1">
        <v>0</v>
      </c>
      <c r="LR85" s="487">
        <v>18.757142857142856</v>
      </c>
      <c r="LS85" s="1">
        <v>1</v>
      </c>
      <c r="LT85" s="487">
        <v>36.728571428571435</v>
      </c>
      <c r="LU85" s="1">
        <v>0.88888888888888884</v>
      </c>
      <c r="LV85" s="487"/>
      <c r="LW85" s="1"/>
      <c r="LX85" s="487"/>
      <c r="LY85" s="1"/>
      <c r="LZ85" s="487"/>
      <c r="MA85" s="1"/>
      <c r="MB85" s="487">
        <v>7.3428571428571425</v>
      </c>
      <c r="MC85" s="1">
        <v>1</v>
      </c>
      <c r="MD85" s="487"/>
      <c r="ME85" s="1"/>
      <c r="MF85" s="487">
        <v>-14.800000000000002</v>
      </c>
      <c r="MG85" s="1">
        <v>0.5</v>
      </c>
      <c r="MH85" s="487">
        <v>7.8571428571428577</v>
      </c>
      <c r="MI85" s="1">
        <v>1</v>
      </c>
      <c r="MJ85" s="487">
        <v>-25.600000000000005</v>
      </c>
      <c r="MK85" s="1">
        <v>0</v>
      </c>
      <c r="ML85" s="487">
        <v>21.028571428571428</v>
      </c>
      <c r="MM85" s="1">
        <v>0.8</v>
      </c>
      <c r="MN85" s="487">
        <v>-18.05714285714286</v>
      </c>
      <c r="MO85" s="1">
        <v>0.5</v>
      </c>
      <c r="MP85" s="487">
        <v>-43.957142857142863</v>
      </c>
      <c r="MQ85" s="1">
        <v>0.33333333333333331</v>
      </c>
      <c r="MR85" s="487">
        <v>-10.214285714285714</v>
      </c>
      <c r="MS85" s="1">
        <v>0.66666666666666663</v>
      </c>
      <c r="MT85" s="487">
        <v>-42.342857142857149</v>
      </c>
      <c r="MU85" s="1">
        <v>0.5</v>
      </c>
      <c r="MV85" s="487">
        <v>13.242857142857144</v>
      </c>
      <c r="MW85" s="1">
        <v>0.83333333333333337</v>
      </c>
      <c r="MX85" s="487">
        <v>-63.571428571428577</v>
      </c>
      <c r="MY85" s="1">
        <v>0.25</v>
      </c>
      <c r="MZ85" s="487">
        <v>-3.4714285714285724</v>
      </c>
      <c r="NA85" s="1">
        <v>0.75</v>
      </c>
      <c r="NB85" s="487">
        <v>4.8142857142857149</v>
      </c>
      <c r="NC85" s="1">
        <v>0.8</v>
      </c>
      <c r="ND85" s="487"/>
      <c r="NE85" s="1"/>
      <c r="NF85" s="487">
        <v>-43.185714285714283</v>
      </c>
      <c r="NG85" s="1">
        <v>0.33333333333333331</v>
      </c>
      <c r="NH85" s="487">
        <v>-43.185714285714283</v>
      </c>
      <c r="NI85" s="1">
        <v>0.33333333333333331</v>
      </c>
      <c r="NJ85" s="487">
        <v>-10.971428571428572</v>
      </c>
      <c r="NK85" s="1">
        <v>0.66666666666666663</v>
      </c>
      <c r="NL85" s="487">
        <v>20.671428571428571</v>
      </c>
      <c r="NM85" s="1">
        <v>0.83333333333333337</v>
      </c>
      <c r="NN85" s="487"/>
      <c r="NO85" s="1"/>
      <c r="NP85" s="487">
        <v>-18.085714285714285</v>
      </c>
      <c r="NQ85" s="1">
        <v>0.5</v>
      </c>
      <c r="NR85" s="487">
        <v>-50.142857142857139</v>
      </c>
      <c r="NS85" s="1">
        <v>0</v>
      </c>
      <c r="NT85" s="487">
        <v>7.1142857142857157</v>
      </c>
      <c r="NU85" s="1">
        <v>1</v>
      </c>
      <c r="NV85" s="487">
        <v>14.257142857142858</v>
      </c>
      <c r="NW85" s="1">
        <v>1</v>
      </c>
      <c r="NX85" s="487"/>
      <c r="NY85" s="1"/>
      <c r="NZ85" s="487">
        <v>14.185714285714287</v>
      </c>
      <c r="OA85" s="1">
        <v>1</v>
      </c>
      <c r="OB85" s="487">
        <v>7.5714285714285721</v>
      </c>
      <c r="OC85" s="1">
        <v>1</v>
      </c>
      <c r="OD85" s="487"/>
      <c r="OE85" s="1"/>
      <c r="OF85" s="487">
        <v>-0.95714285714285841</v>
      </c>
      <c r="OG85" s="1">
        <v>0.5</v>
      </c>
      <c r="OH85" s="487">
        <v>-42.94285714285715</v>
      </c>
      <c r="OI85" s="1">
        <v>0.33333333333333331</v>
      </c>
      <c r="OJ85" s="487"/>
      <c r="OK85" s="1"/>
      <c r="OL85" s="487">
        <v>-17.342857142857149</v>
      </c>
      <c r="OM85" s="1">
        <v>0.66666666666666663</v>
      </c>
      <c r="ON85" s="487">
        <v>14.585714285714287</v>
      </c>
      <c r="OO85" s="1">
        <v>1</v>
      </c>
      <c r="OP85" s="487">
        <v>-68.114285714285728</v>
      </c>
      <c r="OQ85" s="1">
        <v>0.55555555555555558</v>
      </c>
      <c r="OR85" s="487">
        <v>-63.342857142857149</v>
      </c>
      <c r="OS85" s="1">
        <v>0.4</v>
      </c>
      <c r="OT85" s="487">
        <v>-16.085714285714289</v>
      </c>
      <c r="OU85" s="1">
        <v>0.7142857142857143</v>
      </c>
      <c r="OV85" s="487"/>
      <c r="OW85" s="1"/>
      <c r="OX85" s="487">
        <v>-2.7571428571428593</v>
      </c>
      <c r="OY85" s="1">
        <v>0.8</v>
      </c>
      <c r="OZ85" s="487"/>
      <c r="PA85" s="1"/>
      <c r="PB85" s="487">
        <v>5.0000000000000018</v>
      </c>
      <c r="PC85" s="1">
        <v>0.66666666666666663</v>
      </c>
      <c r="PD85" s="487">
        <v>-28.485714285714284</v>
      </c>
      <c r="PE85" s="1">
        <v>0.6</v>
      </c>
      <c r="PF85" s="487">
        <v>-2.5999999999999979</v>
      </c>
      <c r="PG85" s="1">
        <v>0.75</v>
      </c>
      <c r="PH85" s="487">
        <v>-3.0714285714285672</v>
      </c>
      <c r="PI85" s="1">
        <v>0.75</v>
      </c>
      <c r="PJ85" s="487"/>
      <c r="PK85" s="1"/>
      <c r="PL85" s="487"/>
      <c r="PM85" s="1"/>
      <c r="PN85" s="487">
        <v>43.55714285714285</v>
      </c>
      <c r="PO85" s="1">
        <v>1</v>
      </c>
      <c r="PP85" s="487"/>
      <c r="PQ85" s="1"/>
      <c r="PR85" s="487"/>
      <c r="PS85" s="1"/>
      <c r="PT85" s="487"/>
      <c r="PU85" s="1"/>
      <c r="PV85" s="487">
        <v>-3.3571428571428581</v>
      </c>
      <c r="PW85" s="1">
        <v>0.75</v>
      </c>
      <c r="PX85" s="487">
        <v>10.728571428571431</v>
      </c>
      <c r="PY85" s="1">
        <v>0.8571428571428571</v>
      </c>
      <c r="PZ85" s="487">
        <v>14.971428571428573</v>
      </c>
      <c r="QA85" s="1">
        <v>0.75</v>
      </c>
      <c r="QB85" s="487">
        <v>-85.84285714285717</v>
      </c>
      <c r="QC85" s="1">
        <v>0.42857142857142855</v>
      </c>
      <c r="QD85" s="487">
        <v>43.000000000000007</v>
      </c>
      <c r="QE85" s="1">
        <v>1</v>
      </c>
      <c r="QF85" s="487">
        <v>-10.22857142857143</v>
      </c>
      <c r="QG85" s="1">
        <v>0.66666666666666663</v>
      </c>
      <c r="QH85" s="487">
        <v>-6.1714285714285726</v>
      </c>
      <c r="QI85" s="1">
        <v>0.6</v>
      </c>
      <c r="QJ85" s="487">
        <v>-54.7</v>
      </c>
      <c r="QK85" s="1">
        <v>0.5</v>
      </c>
      <c r="QL85" s="487">
        <v>41.557142857142878</v>
      </c>
      <c r="QM85" s="1">
        <v>0.9</v>
      </c>
      <c r="QN85" s="487">
        <v>-37.44285714285715</v>
      </c>
      <c r="QO85" s="1">
        <v>0.5714285714285714</v>
      </c>
      <c r="QP85" s="487">
        <v>-29.614285714285717</v>
      </c>
      <c r="QQ85" s="1">
        <v>0.25</v>
      </c>
      <c r="QR85" s="487">
        <v>-36.271428571428572</v>
      </c>
      <c r="QS85" s="1">
        <v>0.5</v>
      </c>
      <c r="QT85" s="487"/>
      <c r="QU85" s="1"/>
      <c r="QV85" s="487">
        <v>20.000000000000007</v>
      </c>
      <c r="QW85" s="1">
        <v>0.8</v>
      </c>
      <c r="QX85" s="487">
        <v>-0.35714285714285715</v>
      </c>
      <c r="QY85" s="1">
        <v>0</v>
      </c>
      <c r="QZ85" s="487"/>
      <c r="RA85" s="1"/>
      <c r="RB85" s="487">
        <v>-5.0285714285714285</v>
      </c>
      <c r="RC85" s="1">
        <v>0.66666666666666663</v>
      </c>
      <c r="RD85" s="487">
        <v>25.51428571428572</v>
      </c>
      <c r="RE85" s="1">
        <v>0.83333333333333337</v>
      </c>
      <c r="RF85" s="487">
        <v>-7.8285714285714318</v>
      </c>
      <c r="RG85" s="1">
        <v>0.625</v>
      </c>
      <c r="RH85" s="487">
        <v>-76.042857142857159</v>
      </c>
      <c r="RI85" s="1">
        <v>0.2857142857142857</v>
      </c>
      <c r="RJ85" s="487">
        <v>-1.7428571428571427</v>
      </c>
      <c r="RK85" s="1">
        <v>0.5</v>
      </c>
      <c r="RL85" s="487">
        <v>-43.271428571428572</v>
      </c>
      <c r="RM85" s="1">
        <v>0.33333333333333331</v>
      </c>
      <c r="RN85" s="487">
        <v>-49.642857142857146</v>
      </c>
      <c r="RO85" s="1">
        <v>0.375</v>
      </c>
      <c r="RP85" s="487">
        <v>-36.628571428571433</v>
      </c>
      <c r="RQ85" s="1">
        <v>0.4</v>
      </c>
      <c r="RR85" s="487">
        <v>7.0428571428571427</v>
      </c>
      <c r="RS85" s="1">
        <v>1</v>
      </c>
      <c r="RT85" s="487">
        <v>27.014285714285716</v>
      </c>
      <c r="RU85" s="1">
        <v>0.8</v>
      </c>
      <c r="RV85" s="487">
        <v>-63.171428571428571</v>
      </c>
      <c r="RW85" s="1">
        <v>0.4</v>
      </c>
      <c r="RX85" s="487">
        <v>-26.785714285714288</v>
      </c>
      <c r="RY85" s="1">
        <v>0.42857142857142855</v>
      </c>
      <c r="RZ85" s="487">
        <v>29.099999999999998</v>
      </c>
      <c r="SA85" s="1">
        <v>1</v>
      </c>
      <c r="SB85" s="487">
        <v>13.942857142857143</v>
      </c>
      <c r="SC85" s="1">
        <v>1</v>
      </c>
      <c r="SD85" s="487"/>
      <c r="SE85" s="1"/>
      <c r="SF85" s="487"/>
      <c r="SG85" s="1"/>
      <c r="SH85" s="487">
        <v>-37.771428571428572</v>
      </c>
      <c r="SI85" s="1">
        <v>0.375</v>
      </c>
      <c r="SJ85" s="487">
        <v>-22.071428571428573</v>
      </c>
      <c r="SK85" s="1">
        <v>0.66666666666666663</v>
      </c>
      <c r="SL85" s="487">
        <v>-0.57142857142856818</v>
      </c>
      <c r="SM85" s="1">
        <v>0.66666666666666663</v>
      </c>
      <c r="SN85" s="487">
        <v>-20.200000000000003</v>
      </c>
      <c r="SO85" s="1">
        <v>0.5</v>
      </c>
      <c r="SP85" s="487">
        <v>-58.414285714285718</v>
      </c>
      <c r="SQ85" s="1">
        <v>0.2</v>
      </c>
      <c r="SR85" s="487">
        <v>7.0142857142857151</v>
      </c>
      <c r="SS85" s="1">
        <v>1</v>
      </c>
      <c r="ST85" s="487">
        <v>24.542857142857144</v>
      </c>
      <c r="SU85" s="1">
        <v>0.8</v>
      </c>
      <c r="SV85" s="487">
        <v>-12.914285714285715</v>
      </c>
      <c r="SW85" s="1">
        <v>0.4</v>
      </c>
      <c r="SX85" s="487"/>
      <c r="SY85" s="1"/>
      <c r="SZ85" s="487">
        <v>-16.357142857142861</v>
      </c>
      <c r="TA85" s="1">
        <v>0.5</v>
      </c>
      <c r="TB85" s="487">
        <v>-47</v>
      </c>
      <c r="TC85" s="1">
        <v>0.5</v>
      </c>
      <c r="TD85" s="487">
        <v>15.971428571428572</v>
      </c>
      <c r="TE85" s="1">
        <v>0.8571428571428571</v>
      </c>
      <c r="TF85" s="487"/>
      <c r="TG85" s="1"/>
      <c r="TH85" s="488">
        <v>5.7428571428571438</v>
      </c>
      <c r="TI85" s="1">
        <v>0.5</v>
      </c>
      <c r="TJ85" s="489"/>
      <c r="TK85" s="1"/>
      <c r="TL85" s="490">
        <v>28.614285714285717</v>
      </c>
      <c r="TM85" s="1">
        <v>1</v>
      </c>
      <c r="TN85" s="495"/>
      <c r="TO85" s="1"/>
      <c r="TP85" s="500">
        <v>-26.771428571428572</v>
      </c>
      <c r="TQ85" s="1">
        <v>0.55555555555555558</v>
      </c>
      <c r="TR85" s="511">
        <v>-91.44285714285715</v>
      </c>
      <c r="TS85" s="1">
        <v>0</v>
      </c>
      <c r="TT85" s="515">
        <v>-30.342857142857149</v>
      </c>
      <c r="TU85" s="1">
        <v>0.5</v>
      </c>
      <c r="TV85" s="518">
        <v>-29.328571428571433</v>
      </c>
      <c r="TW85" s="1">
        <v>0.6</v>
      </c>
      <c r="TX85" s="521">
        <v>-26.528571428571425</v>
      </c>
      <c r="TY85" s="1">
        <v>0.66666666666666663</v>
      </c>
      <c r="TZ85" s="524">
        <v>-7.5285714285714258</v>
      </c>
      <c r="UA85" s="1">
        <v>0.6</v>
      </c>
      <c r="UB85" s="527">
        <v>-58.214285714285715</v>
      </c>
      <c r="UC85" s="1">
        <v>0.25</v>
      </c>
      <c r="UD85" s="530">
        <v>-3.7142857142857166</v>
      </c>
      <c r="UE85" s="1">
        <v>0.75</v>
      </c>
      <c r="UF85" s="533"/>
      <c r="UG85" s="1"/>
      <c r="UH85" s="536"/>
      <c r="UI85" s="1"/>
      <c r="UJ85" s="539">
        <v>4.2142857142857162</v>
      </c>
      <c r="UK85" s="1">
        <v>0.8</v>
      </c>
      <c r="UL85" s="540">
        <v>-63.157142857142865</v>
      </c>
      <c r="UM85" s="1">
        <v>0.44444444444444442</v>
      </c>
      <c r="UN85" s="543">
        <v>1.7428571428571435</v>
      </c>
      <c r="UO85" s="1">
        <v>0.5</v>
      </c>
      <c r="UP85" s="544">
        <v>-19.971428571428579</v>
      </c>
      <c r="UQ85" s="1">
        <v>0.6</v>
      </c>
      <c r="UR85" s="551"/>
      <c r="US85" s="1"/>
      <c r="UT85" s="551">
        <v>29.428571428571434</v>
      </c>
      <c r="UU85" s="1">
        <v>1</v>
      </c>
      <c r="UV85" s="562"/>
      <c r="UW85" s="1"/>
      <c r="UX85" s="566">
        <v>-60.742857142857154</v>
      </c>
      <c r="UY85" s="1">
        <v>0.33333333333333331</v>
      </c>
      <c r="UZ85" s="568"/>
      <c r="VA85" s="1"/>
      <c r="VB85" s="572">
        <v>21.12857142857143</v>
      </c>
      <c r="VC85" s="1">
        <v>1</v>
      </c>
      <c r="VD85" s="576">
        <v>-6.514285714285724</v>
      </c>
      <c r="VE85" s="1">
        <v>0.77777777777777779</v>
      </c>
      <c r="VF85" s="580"/>
      <c r="VG85" s="1"/>
      <c r="VH85" s="584">
        <v>27.814285714285713</v>
      </c>
      <c r="VI85" s="1">
        <v>0.8</v>
      </c>
      <c r="VJ85" s="589"/>
      <c r="VK85" s="1"/>
      <c r="VL85" s="593">
        <v>-15.471428571428573</v>
      </c>
      <c r="VM85" s="1">
        <v>0.4</v>
      </c>
      <c r="VN85" s="597"/>
      <c r="VO85" s="1"/>
      <c r="VP85" s="601">
        <v>-3.3571428571428568</v>
      </c>
      <c r="VQ85" s="1">
        <v>0.75</v>
      </c>
      <c r="VR85" s="603"/>
      <c r="VS85" s="1"/>
      <c r="VT85" s="607"/>
      <c r="VU85" s="1"/>
      <c r="VV85" s="609">
        <v>-9.0142857142857125</v>
      </c>
      <c r="VW85" s="1">
        <v>0.66666666666666663</v>
      </c>
      <c r="VX85" s="613">
        <v>1.9571428571428562</v>
      </c>
      <c r="VY85" s="1">
        <v>0.8</v>
      </c>
      <c r="VZ85" s="617">
        <v>18.857142857142861</v>
      </c>
      <c r="WA85" s="1">
        <v>0.625</v>
      </c>
      <c r="WB85" s="619">
        <v>-92.800000000000011</v>
      </c>
      <c r="WC85" s="1">
        <v>0.375</v>
      </c>
      <c r="WD85" s="624">
        <v>-40.585714285714289</v>
      </c>
      <c r="WE85" s="1">
        <v>0.63636363636363635</v>
      </c>
      <c r="WF85" s="626">
        <v>-38.928571428571431</v>
      </c>
      <c r="WG85" s="1">
        <v>0.625</v>
      </c>
      <c r="WH85" s="630">
        <v>-5.7142857142857135</v>
      </c>
      <c r="WI85" s="1">
        <v>0.75</v>
      </c>
      <c r="WJ85" s="636">
        <v>51.442857142857143</v>
      </c>
      <c r="WK85" s="1">
        <v>0.9</v>
      </c>
      <c r="WL85" s="638">
        <v>-37.071428571428569</v>
      </c>
      <c r="WM85" s="1">
        <v>0.4</v>
      </c>
      <c r="WN85" s="642">
        <v>-22.557142857142857</v>
      </c>
      <c r="WO85" s="1">
        <v>0.5</v>
      </c>
      <c r="WP85" s="646"/>
      <c r="WQ85" s="1"/>
      <c r="WR85" s="652"/>
      <c r="WS85" s="1"/>
      <c r="WT85" s="659">
        <v>-18.8</v>
      </c>
      <c r="WU85" s="1">
        <v>0.55555555555555558</v>
      </c>
      <c r="WV85" s="659">
        <v>-51.528571428571425</v>
      </c>
      <c r="WW85" s="1">
        <v>0.2857142857142857</v>
      </c>
      <c r="WX85" s="672"/>
      <c r="WY85" s="1"/>
      <c r="WZ85" s="677"/>
      <c r="XA85" s="1"/>
      <c r="XB85" s="681"/>
      <c r="XC85" s="1"/>
      <c r="XD85" s="683"/>
      <c r="XE85" s="1"/>
      <c r="XF85" s="687">
        <v>-20.457142857142859</v>
      </c>
      <c r="XG85" s="1">
        <v>0.25</v>
      </c>
      <c r="XH85" s="689"/>
      <c r="XI85" s="1"/>
      <c r="XJ85" s="696"/>
      <c r="XK85" s="1"/>
      <c r="XL85" s="696"/>
      <c r="XM85" s="1"/>
      <c r="XN85" s="696"/>
      <c r="XO85" s="1"/>
      <c r="XP85" s="700"/>
      <c r="XQ85" s="1"/>
      <c r="XR85" s="705"/>
      <c r="XS85" s="1"/>
      <c r="XT85" s="709"/>
      <c r="XU85" s="1"/>
      <c r="XV85" s="715">
        <v>-70.98571428571428</v>
      </c>
      <c r="XW85" s="1">
        <v>0.2</v>
      </c>
    </row>
    <row r="86" spans="2:647" x14ac:dyDescent="0.25">
      <c r="B86" s="755"/>
      <c r="C86" s="762"/>
      <c r="D86" s="765" t="s">
        <v>41</v>
      </c>
      <c r="E86" s="765"/>
      <c r="F86" s="482">
        <v>0.8</v>
      </c>
      <c r="G86" s="475" t="s">
        <v>39</v>
      </c>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c r="BJ86" s="6"/>
      <c r="BK86" s="6"/>
      <c r="BL86" s="6"/>
      <c r="BM86" s="6"/>
      <c r="BN86" s="6"/>
      <c r="BO86" s="6"/>
      <c r="BP86" s="6"/>
      <c r="BQ86" s="6"/>
      <c r="BR86" s="6"/>
      <c r="BS86" s="6"/>
      <c r="BT86" s="6"/>
      <c r="BU86" s="6"/>
      <c r="BV86" s="6"/>
      <c r="BW86" s="6"/>
      <c r="BX86" s="6"/>
      <c r="BY86" s="6"/>
      <c r="BZ86" s="6"/>
      <c r="CA86" s="6"/>
      <c r="CB86" s="6"/>
      <c r="CC86" s="6"/>
      <c r="CD86" s="6"/>
      <c r="CE86" s="6"/>
      <c r="CF86" s="6"/>
      <c r="CG86" s="6"/>
      <c r="CH86" s="6"/>
      <c r="CI86" s="6"/>
      <c r="CJ86" s="6"/>
      <c r="CK86" s="6"/>
      <c r="CL86" s="6"/>
      <c r="CM86" s="6"/>
      <c r="CN86" s="6"/>
      <c r="CO86" s="6"/>
      <c r="CP86" s="6"/>
      <c r="CQ86" s="6"/>
      <c r="CR86" s="6"/>
      <c r="CS86" s="6"/>
      <c r="CT86" s="6"/>
      <c r="CU86" s="6"/>
      <c r="CV86" s="6"/>
      <c r="CW86" s="6"/>
      <c r="CX86" s="6"/>
      <c r="CY86" s="6"/>
      <c r="CZ86" s="6"/>
      <c r="DA86" s="6"/>
      <c r="DB86" s="6"/>
      <c r="DC86" s="6"/>
      <c r="DD86" s="6"/>
      <c r="DE86" s="6"/>
      <c r="DF86" s="6"/>
      <c r="DG86" s="6"/>
      <c r="DH86" s="6"/>
      <c r="DI86" s="6"/>
      <c r="DJ86" s="6"/>
      <c r="DK86" s="6"/>
      <c r="DL86" s="6"/>
      <c r="DM86" s="6"/>
      <c r="DN86" s="6"/>
      <c r="DO86" s="6"/>
      <c r="DP86" s="6"/>
      <c r="DQ86" s="6"/>
      <c r="DR86" s="6"/>
      <c r="DS86" s="6"/>
      <c r="DT86" s="6"/>
      <c r="DU86" s="6"/>
      <c r="DV86" s="6"/>
      <c r="DW86" s="6"/>
      <c r="DX86" s="6"/>
      <c r="DY86" s="6"/>
      <c r="DZ86" s="6"/>
      <c r="EA86" s="6"/>
      <c r="EB86" s="6"/>
      <c r="EC86" s="6"/>
      <c r="ED86" s="6"/>
      <c r="EE86" s="6"/>
      <c r="EF86" s="6"/>
      <c r="EG86" s="6"/>
      <c r="EH86" s="6"/>
      <c r="EI86" s="6"/>
      <c r="EJ86" s="6"/>
      <c r="EK86" s="6"/>
      <c r="EL86" s="6"/>
      <c r="EM86" s="6"/>
      <c r="EN86" s="6"/>
      <c r="EO86" s="6"/>
      <c r="EP86" s="6"/>
      <c r="EQ86" s="6"/>
      <c r="ER86" s="487"/>
      <c r="ES86" s="1"/>
      <c r="ET86" s="487"/>
      <c r="EU86" s="1"/>
      <c r="EV86" s="487"/>
      <c r="EW86" s="1"/>
      <c r="EX86" s="487"/>
      <c r="EY86" s="1"/>
      <c r="EZ86" s="487"/>
      <c r="FA86" s="1"/>
      <c r="FB86" s="487"/>
      <c r="FC86" s="1"/>
      <c r="FD86" s="487"/>
      <c r="FE86" s="1"/>
      <c r="FF86" s="487"/>
      <c r="FG86" s="1"/>
      <c r="FH86" s="487"/>
      <c r="FI86" s="1"/>
      <c r="FJ86" s="487"/>
      <c r="FK86" s="1"/>
      <c r="FL86" s="487"/>
      <c r="FM86" s="1"/>
      <c r="FN86" s="487"/>
      <c r="FO86" s="1"/>
      <c r="FP86" s="487"/>
      <c r="FQ86" s="1"/>
      <c r="FR86" s="487"/>
      <c r="FS86" s="1"/>
      <c r="FT86" s="487"/>
      <c r="FU86" s="1"/>
      <c r="FV86" s="487"/>
      <c r="FW86" s="1"/>
      <c r="FX86" s="487"/>
      <c r="FY86" s="1"/>
      <c r="FZ86" s="487"/>
      <c r="GA86" s="1"/>
      <c r="GB86" s="487"/>
      <c r="GC86" s="1"/>
      <c r="GD86" s="487"/>
      <c r="GE86" s="1"/>
      <c r="GF86" s="487"/>
      <c r="GG86" s="1"/>
      <c r="GH86" s="487"/>
      <c r="GI86" s="1"/>
      <c r="GJ86" s="487"/>
      <c r="GK86" s="1"/>
      <c r="GL86" s="487"/>
      <c r="GM86" s="1"/>
      <c r="GN86" s="487"/>
      <c r="GO86" s="1"/>
      <c r="GP86" s="487"/>
      <c r="GQ86" s="1"/>
      <c r="GR86" s="487"/>
      <c r="GS86" s="1"/>
      <c r="GT86" s="487"/>
      <c r="GU86" s="1"/>
      <c r="GV86" s="487"/>
      <c r="GW86" s="1"/>
      <c r="GX86" s="487"/>
      <c r="GY86" s="1"/>
      <c r="GZ86" s="487"/>
      <c r="HA86" s="1"/>
      <c r="HB86" s="487"/>
      <c r="HC86" s="1"/>
      <c r="HD86" s="487"/>
      <c r="HE86" s="1"/>
      <c r="HF86" s="487"/>
      <c r="HG86" s="1"/>
      <c r="HH86" s="487"/>
      <c r="HI86" s="1"/>
      <c r="HJ86" s="487"/>
      <c r="HK86" s="1"/>
      <c r="HL86" s="487"/>
      <c r="HM86" s="1"/>
      <c r="HN86" s="487"/>
      <c r="HO86" s="1"/>
      <c r="HP86" s="487"/>
      <c r="HQ86" s="1"/>
      <c r="HR86" s="487"/>
      <c r="HS86" s="1"/>
      <c r="HT86" s="487"/>
      <c r="HU86" s="1"/>
      <c r="HV86" s="487">
        <v>15.987499999999999</v>
      </c>
      <c r="HW86" s="1">
        <v>1</v>
      </c>
      <c r="HX86" s="487"/>
      <c r="HY86" s="1"/>
      <c r="HZ86" s="487">
        <v>-11.025</v>
      </c>
      <c r="IA86" s="1">
        <v>0</v>
      </c>
      <c r="IB86" s="487">
        <v>-22.124999999999996</v>
      </c>
      <c r="IC86" s="1">
        <v>0</v>
      </c>
      <c r="ID86" s="487">
        <v>-11.137499999999999</v>
      </c>
      <c r="IE86" s="1">
        <v>0</v>
      </c>
      <c r="IF86" s="487">
        <v>-2.9249999999999998</v>
      </c>
      <c r="IG86" s="1">
        <v>0.5</v>
      </c>
      <c r="IH86" s="487">
        <v>-22.175000000000001</v>
      </c>
      <c r="II86" s="1">
        <v>0</v>
      </c>
      <c r="IJ86" s="487">
        <v>8.2125000000000004</v>
      </c>
      <c r="IK86" s="1">
        <v>1</v>
      </c>
      <c r="IL86" s="487"/>
      <c r="IM86" s="1"/>
      <c r="IN86" s="487">
        <v>-6.25E-2</v>
      </c>
      <c r="IO86" s="1">
        <v>0</v>
      </c>
      <c r="IP86" s="487"/>
      <c r="IQ86" s="1"/>
      <c r="IR86" s="487">
        <v>4.6875</v>
      </c>
      <c r="IS86" s="1">
        <v>1</v>
      </c>
      <c r="IT86" s="487">
        <v>-3.2374999999999998</v>
      </c>
      <c r="IU86" s="1">
        <v>0.5</v>
      </c>
      <c r="IV86" s="487">
        <v>-11.25</v>
      </c>
      <c r="IW86" s="1">
        <v>0</v>
      </c>
      <c r="IX86" s="487"/>
      <c r="IY86" s="1"/>
      <c r="IZ86" s="487">
        <v>-11.399999999999999</v>
      </c>
      <c r="JA86" s="1">
        <v>0</v>
      </c>
      <c r="JB86" s="487">
        <v>-3.1624999999999992</v>
      </c>
      <c r="JC86" s="1">
        <v>0.5</v>
      </c>
      <c r="JD86" s="487"/>
      <c r="JE86" s="1"/>
      <c r="JF86" s="487">
        <v>-11.174999999999999</v>
      </c>
      <c r="JG86" s="1">
        <v>0</v>
      </c>
      <c r="JH86" s="487">
        <v>-3.3874999999999997</v>
      </c>
      <c r="JI86" s="1">
        <v>0.5</v>
      </c>
      <c r="JJ86" s="487">
        <v>-2.4125000000000005</v>
      </c>
      <c r="JK86" s="1">
        <v>0.66666666666666663</v>
      </c>
      <c r="JL86" s="487"/>
      <c r="JM86" s="1"/>
      <c r="JN86" s="487"/>
      <c r="JO86" s="1"/>
      <c r="JP86" s="487">
        <v>0.19999999999999998</v>
      </c>
      <c r="JQ86" s="1">
        <v>1</v>
      </c>
      <c r="JR86" s="487">
        <v>4.3125</v>
      </c>
      <c r="JS86" s="1">
        <v>1</v>
      </c>
      <c r="JT86" s="487"/>
      <c r="JU86" s="1"/>
      <c r="JV86" s="487">
        <v>-11.387499999999999</v>
      </c>
      <c r="JW86" s="1">
        <v>0</v>
      </c>
      <c r="JX86" s="487"/>
      <c r="JY86" s="1"/>
      <c r="JZ86" s="487">
        <v>8.0374999999999996</v>
      </c>
      <c r="KA86" s="1">
        <v>1</v>
      </c>
      <c r="KB86" s="487">
        <v>8.1374999999999993</v>
      </c>
      <c r="KC86" s="1">
        <v>1</v>
      </c>
      <c r="KD86" s="487">
        <v>19.312499999999996</v>
      </c>
      <c r="KE86" s="1">
        <v>1</v>
      </c>
      <c r="KF86" s="487">
        <v>5.5375000000000005</v>
      </c>
      <c r="KG86" s="1">
        <v>0.66666666666666663</v>
      </c>
      <c r="KH86" s="487">
        <v>-11.1625</v>
      </c>
      <c r="KI86" s="1">
        <v>0</v>
      </c>
      <c r="KJ86" s="487">
        <v>11.3375</v>
      </c>
      <c r="KK86" s="1">
        <v>1</v>
      </c>
      <c r="KL86" s="487"/>
      <c r="KM86" s="1"/>
      <c r="KN86" s="487">
        <v>8.1875</v>
      </c>
      <c r="KO86" s="1">
        <v>1</v>
      </c>
      <c r="KP86" s="487"/>
      <c r="KQ86" s="1"/>
      <c r="KR86" s="487">
        <v>-11.399999999999999</v>
      </c>
      <c r="KS86" s="1">
        <v>0</v>
      </c>
      <c r="KT86" s="487"/>
      <c r="KU86" s="1"/>
      <c r="KV86" s="487"/>
      <c r="KW86" s="1"/>
      <c r="KX86" s="487">
        <v>8.0500000000000007</v>
      </c>
      <c r="KY86" s="1">
        <v>1</v>
      </c>
      <c r="KZ86" s="487"/>
      <c r="LA86" s="1"/>
      <c r="LB86" s="487"/>
      <c r="LC86" s="1"/>
      <c r="LD86" s="487"/>
      <c r="LE86" s="1"/>
      <c r="LF86" s="487"/>
      <c r="LG86" s="1"/>
      <c r="LH86" s="487">
        <v>8.1875</v>
      </c>
      <c r="LI86" s="1">
        <v>1</v>
      </c>
      <c r="LJ86" s="487"/>
      <c r="LK86" s="1"/>
      <c r="LL86" s="487"/>
      <c r="LM86" s="1"/>
      <c r="LN86" s="487">
        <v>-36.224999999999994</v>
      </c>
      <c r="LO86" s="1">
        <v>0.2</v>
      </c>
      <c r="LP86" s="487"/>
      <c r="LQ86" s="1"/>
      <c r="LR86" s="487">
        <v>-11.612499999999999</v>
      </c>
      <c r="LS86" s="1">
        <v>0</v>
      </c>
      <c r="LT86" s="487">
        <v>-5.4749999999999996</v>
      </c>
      <c r="LU86" s="1">
        <v>0.5</v>
      </c>
      <c r="LV86" s="487"/>
      <c r="LW86" s="1"/>
      <c r="LX86" s="487"/>
      <c r="LY86" s="1"/>
      <c r="LZ86" s="487"/>
      <c r="MA86" s="1"/>
      <c r="MB86" s="487"/>
      <c r="MC86" s="1"/>
      <c r="MD86" s="487"/>
      <c r="ME86" s="1"/>
      <c r="MF86" s="487"/>
      <c r="MG86" s="1"/>
      <c r="MH86" s="487"/>
      <c r="MI86" s="1"/>
      <c r="MJ86" s="487"/>
      <c r="MK86" s="1"/>
      <c r="ML86" s="487">
        <v>-10.899999999999999</v>
      </c>
      <c r="MM86" s="1">
        <v>0.33333333333333331</v>
      </c>
      <c r="MN86" s="487">
        <v>7.7875000000000005</v>
      </c>
      <c r="MO86" s="1">
        <v>1</v>
      </c>
      <c r="MP86" s="487">
        <v>-10.6875</v>
      </c>
      <c r="MQ86" s="1">
        <v>0</v>
      </c>
      <c r="MR86" s="487"/>
      <c r="MS86" s="1"/>
      <c r="MT86" s="487">
        <v>-22.337499999999995</v>
      </c>
      <c r="MU86" s="1">
        <v>0</v>
      </c>
      <c r="MV86" s="487">
        <v>4.5125000000000002</v>
      </c>
      <c r="MW86" s="1">
        <v>0.66666666666666663</v>
      </c>
      <c r="MX86" s="487">
        <v>-15.024999999999999</v>
      </c>
      <c r="MY86" s="1">
        <v>0.33333333333333331</v>
      </c>
      <c r="MZ86" s="487">
        <v>-10.924999999999999</v>
      </c>
      <c r="NA86" s="1">
        <v>0</v>
      </c>
      <c r="NB86" s="487">
        <v>8</v>
      </c>
      <c r="NC86" s="1">
        <v>1</v>
      </c>
      <c r="ND86" s="487"/>
      <c r="NE86" s="1"/>
      <c r="NF86" s="487"/>
      <c r="NG86" s="1"/>
      <c r="NH86" s="487"/>
      <c r="NI86" s="1"/>
      <c r="NJ86" s="487"/>
      <c r="NK86" s="1"/>
      <c r="NL86" s="487">
        <v>-2.7124999999999999</v>
      </c>
      <c r="NM86" s="1">
        <v>0.5</v>
      </c>
      <c r="NN86" s="487"/>
      <c r="NO86" s="1"/>
      <c r="NP86" s="487">
        <v>7.9624999999999995</v>
      </c>
      <c r="NQ86" s="1">
        <v>1</v>
      </c>
      <c r="NR86" s="487"/>
      <c r="NS86" s="1"/>
      <c r="NT86" s="487"/>
      <c r="NU86" s="1"/>
      <c r="NV86" s="487">
        <v>-22.437500000000004</v>
      </c>
      <c r="NW86" s="1">
        <v>0</v>
      </c>
      <c r="NX86" s="487"/>
      <c r="NY86" s="1"/>
      <c r="NZ86" s="487"/>
      <c r="OA86" s="1"/>
      <c r="OB86" s="487"/>
      <c r="OC86" s="1"/>
      <c r="OD86" s="487"/>
      <c r="OE86" s="1"/>
      <c r="OF86" s="487"/>
      <c r="OG86" s="1"/>
      <c r="OH86" s="487"/>
      <c r="OI86" s="1"/>
      <c r="OJ86" s="487"/>
      <c r="OK86" s="1"/>
      <c r="OL86" s="487">
        <v>8.5374999999999996</v>
      </c>
      <c r="OM86" s="1">
        <v>1</v>
      </c>
      <c r="ON86" s="487">
        <v>-11.274999999999999</v>
      </c>
      <c r="OO86" s="1">
        <v>0</v>
      </c>
      <c r="OP86" s="487">
        <v>1.4624999999999977</v>
      </c>
      <c r="OQ86" s="1">
        <v>0.6</v>
      </c>
      <c r="OR86" s="487"/>
      <c r="OS86" s="1"/>
      <c r="OT86" s="487"/>
      <c r="OU86" s="1"/>
      <c r="OV86" s="487"/>
      <c r="OW86" s="1"/>
      <c r="OX86" s="487">
        <v>8.1374999999999993</v>
      </c>
      <c r="OY86" s="1">
        <v>1</v>
      </c>
      <c r="OZ86" s="487"/>
      <c r="PA86" s="1"/>
      <c r="PB86" s="487">
        <v>-19.324999999999999</v>
      </c>
      <c r="PC86" s="1">
        <v>0</v>
      </c>
      <c r="PD86" s="487"/>
      <c r="PE86" s="1"/>
      <c r="PF86" s="487">
        <v>-12.887499999999999</v>
      </c>
      <c r="PG86" s="1">
        <v>0</v>
      </c>
      <c r="PH86" s="487"/>
      <c r="PI86" s="1"/>
      <c r="PJ86" s="487"/>
      <c r="PK86" s="1"/>
      <c r="PL86" s="487"/>
      <c r="PM86" s="1"/>
      <c r="PN86" s="487">
        <v>-11.149999999999999</v>
      </c>
      <c r="PO86" s="1">
        <v>0</v>
      </c>
      <c r="PP86" s="487"/>
      <c r="PQ86" s="1"/>
      <c r="PR86" s="487"/>
      <c r="PS86" s="1"/>
      <c r="PT86" s="487"/>
      <c r="PU86" s="1"/>
      <c r="PV86" s="487">
        <v>-11.174999999999999</v>
      </c>
      <c r="PW86" s="1">
        <v>0</v>
      </c>
      <c r="PX86" s="487">
        <v>8.4375</v>
      </c>
      <c r="PY86" s="1">
        <v>1</v>
      </c>
      <c r="PZ86" s="487">
        <v>-3.3250000000000002</v>
      </c>
      <c r="QA86" s="1">
        <v>0.5</v>
      </c>
      <c r="QB86" s="487">
        <v>-10.837499999999999</v>
      </c>
      <c r="QC86" s="1">
        <v>0</v>
      </c>
      <c r="QD86" s="487"/>
      <c r="QE86" s="1"/>
      <c r="QF86" s="487"/>
      <c r="QG86" s="1"/>
      <c r="QH86" s="487">
        <v>-2.8000000000000003</v>
      </c>
      <c r="QI86" s="1">
        <v>0.5</v>
      </c>
      <c r="QJ86" s="487">
        <v>-33.974999999999994</v>
      </c>
      <c r="QK86" s="1">
        <v>0</v>
      </c>
      <c r="QL86" s="487">
        <v>8.6499999999999986</v>
      </c>
      <c r="QM86" s="1">
        <v>1</v>
      </c>
      <c r="QN86" s="487">
        <v>-1.9999999999999996</v>
      </c>
      <c r="QO86" s="1">
        <v>0.5</v>
      </c>
      <c r="QP86" s="487">
        <v>8.4749999999999996</v>
      </c>
      <c r="QQ86" s="1">
        <v>1</v>
      </c>
      <c r="QR86" s="487">
        <v>-11</v>
      </c>
      <c r="QS86" s="1">
        <v>0</v>
      </c>
      <c r="QT86" s="487"/>
      <c r="QU86" s="1"/>
      <c r="QV86" s="487">
        <v>-22.012499999999999</v>
      </c>
      <c r="QW86" s="1">
        <v>0</v>
      </c>
      <c r="QX86" s="487"/>
      <c r="QY86" s="1"/>
      <c r="QZ86" s="487"/>
      <c r="RA86" s="1"/>
      <c r="RB86" s="487"/>
      <c r="RC86" s="1"/>
      <c r="RD86" s="487">
        <v>8.0249999999999986</v>
      </c>
      <c r="RE86" s="1">
        <v>1</v>
      </c>
      <c r="RF86" s="487">
        <v>8.1124999999999989</v>
      </c>
      <c r="RG86" s="1">
        <v>1</v>
      </c>
      <c r="RH86" s="487">
        <v>-11.012499999999999</v>
      </c>
      <c r="RI86" s="1">
        <v>0</v>
      </c>
      <c r="RJ86" s="487">
        <v>8</v>
      </c>
      <c r="RK86" s="1">
        <v>1</v>
      </c>
      <c r="RL86" s="487">
        <v>8.0500000000000007</v>
      </c>
      <c r="RM86" s="1">
        <v>1</v>
      </c>
      <c r="RN86" s="487">
        <v>-26.349999999999998</v>
      </c>
      <c r="RO86" s="1">
        <v>0</v>
      </c>
      <c r="RP86" s="487"/>
      <c r="RQ86" s="1"/>
      <c r="RR86" s="487"/>
      <c r="RS86" s="1"/>
      <c r="RT86" s="487"/>
      <c r="RU86" s="1"/>
      <c r="RV86" s="487"/>
      <c r="RW86" s="1"/>
      <c r="RX86" s="487">
        <v>4.9249999999999989</v>
      </c>
      <c r="RY86" s="1">
        <v>0.5</v>
      </c>
      <c r="RZ86" s="487"/>
      <c r="SA86" s="1"/>
      <c r="SB86" s="487">
        <v>-10.725</v>
      </c>
      <c r="SC86" s="1">
        <v>0</v>
      </c>
      <c r="SD86" s="487"/>
      <c r="SE86" s="1"/>
      <c r="SF86" s="487"/>
      <c r="SG86" s="1"/>
      <c r="SH86" s="487">
        <v>-33.15</v>
      </c>
      <c r="SI86" s="1">
        <v>0</v>
      </c>
      <c r="SJ86" s="487">
        <v>4.7124999999999995</v>
      </c>
      <c r="SK86" s="1">
        <v>0.66666666666666663</v>
      </c>
      <c r="SL86" s="487">
        <v>-10.762499999999999</v>
      </c>
      <c r="SM86" s="1">
        <v>0</v>
      </c>
      <c r="SN86" s="487">
        <v>-10.674999999999999</v>
      </c>
      <c r="SO86" s="1">
        <v>0</v>
      </c>
      <c r="SP86" s="487">
        <v>8.0249999999999986</v>
      </c>
      <c r="SQ86" s="1">
        <v>1</v>
      </c>
      <c r="SR86" s="487">
        <v>8.1624999999999996</v>
      </c>
      <c r="SS86" s="1">
        <v>1</v>
      </c>
      <c r="ST86" s="487"/>
      <c r="SU86" s="1"/>
      <c r="SV86" s="487">
        <v>-10.9</v>
      </c>
      <c r="SW86" s="1">
        <v>0</v>
      </c>
      <c r="SX86" s="487"/>
      <c r="SY86" s="1"/>
      <c r="SZ86" s="487">
        <v>-11.25</v>
      </c>
      <c r="TA86" s="1">
        <v>0</v>
      </c>
      <c r="TB86" s="487"/>
      <c r="TC86" s="1"/>
      <c r="TD86" s="487">
        <v>-11.112500000000001</v>
      </c>
      <c r="TE86" s="1">
        <v>0</v>
      </c>
      <c r="TF86" s="487"/>
      <c r="TG86" s="1"/>
      <c r="TH86" s="488"/>
      <c r="TI86" s="1"/>
      <c r="TJ86" s="489"/>
      <c r="TK86" s="1"/>
      <c r="TL86" s="490"/>
      <c r="TM86" s="1"/>
      <c r="TN86" s="495"/>
      <c r="TO86" s="1"/>
      <c r="TP86" s="500"/>
      <c r="TQ86" s="1"/>
      <c r="TR86" s="511"/>
      <c r="TS86" s="1"/>
      <c r="TT86" s="515"/>
      <c r="TU86" s="1"/>
      <c r="TV86" s="518">
        <v>-6.9499999999999993</v>
      </c>
      <c r="TW86" s="1">
        <v>0.5</v>
      </c>
      <c r="TX86" s="521"/>
      <c r="TY86" s="1"/>
      <c r="TZ86" s="524"/>
      <c r="UA86" s="1"/>
      <c r="UB86" s="527">
        <v>-11.262499999999999</v>
      </c>
      <c r="UC86" s="1">
        <v>0</v>
      </c>
      <c r="UD86" s="530">
        <v>-10.924999999999999</v>
      </c>
      <c r="UE86" s="1">
        <v>0</v>
      </c>
      <c r="UF86" s="533"/>
      <c r="UG86" s="1"/>
      <c r="UH86" s="536"/>
      <c r="UI86" s="1"/>
      <c r="UJ86" s="539"/>
      <c r="UK86" s="1"/>
      <c r="UL86" s="540">
        <v>-11.324999999999999</v>
      </c>
      <c r="UM86" s="1">
        <v>0</v>
      </c>
      <c r="UN86" s="543">
        <v>-3.7124999999999995</v>
      </c>
      <c r="UO86" s="1">
        <v>0.25</v>
      </c>
      <c r="UP86" s="544">
        <v>8.4874999999999989</v>
      </c>
      <c r="UQ86" s="1">
        <v>1</v>
      </c>
      <c r="UR86" s="551"/>
      <c r="US86" s="1"/>
      <c r="UT86" s="551">
        <v>8.1374999999999993</v>
      </c>
      <c r="UU86" s="1">
        <v>1</v>
      </c>
      <c r="UV86" s="562"/>
      <c r="UW86" s="1"/>
      <c r="UX86" s="566"/>
      <c r="UY86" s="1"/>
      <c r="UZ86" s="568"/>
      <c r="VA86" s="1"/>
      <c r="VB86" s="572"/>
      <c r="VC86" s="1"/>
      <c r="VD86" s="576">
        <v>16.175000000000001</v>
      </c>
      <c r="VE86" s="1">
        <v>1</v>
      </c>
      <c r="VF86" s="580"/>
      <c r="VG86" s="1"/>
      <c r="VH86" s="584">
        <v>-11.012499999999999</v>
      </c>
      <c r="VI86" s="1">
        <v>0</v>
      </c>
      <c r="VJ86" s="589"/>
      <c r="VK86" s="1"/>
      <c r="VL86" s="593">
        <v>10.124999999999998</v>
      </c>
      <c r="VM86" s="1">
        <v>0.66666666666666663</v>
      </c>
      <c r="VN86" s="597"/>
      <c r="VO86" s="1"/>
      <c r="VP86" s="601"/>
      <c r="VQ86" s="1"/>
      <c r="VR86" s="603"/>
      <c r="VS86" s="1"/>
      <c r="VT86" s="607"/>
      <c r="VU86" s="1"/>
      <c r="VV86" s="609">
        <v>5.3124999999999982</v>
      </c>
      <c r="VW86" s="1">
        <v>0.66666666666666663</v>
      </c>
      <c r="VX86" s="613">
        <v>-11.062499999999998</v>
      </c>
      <c r="VY86" s="1">
        <v>0</v>
      </c>
      <c r="VZ86" s="617">
        <v>-11.225</v>
      </c>
      <c r="WA86" s="1">
        <v>0.33333333333333331</v>
      </c>
      <c r="WB86" s="619">
        <v>-2.4000000000000008</v>
      </c>
      <c r="WC86" s="1">
        <v>0.5</v>
      </c>
      <c r="WD86" s="624">
        <v>-2.8375000000000004</v>
      </c>
      <c r="WE86" s="1">
        <v>0.5</v>
      </c>
      <c r="WF86" s="626"/>
      <c r="WG86" s="1"/>
      <c r="WH86" s="630">
        <v>-3.0500000000000003</v>
      </c>
      <c r="WI86" s="1">
        <v>0.5</v>
      </c>
      <c r="WJ86" s="636">
        <v>-2.587499999999999</v>
      </c>
      <c r="WK86" s="1">
        <v>0.5</v>
      </c>
      <c r="WL86" s="638">
        <v>-11.587499999999999</v>
      </c>
      <c r="WM86" s="1">
        <v>0</v>
      </c>
      <c r="WN86" s="642">
        <v>8.0124999999999993</v>
      </c>
      <c r="WO86" s="1">
        <v>1</v>
      </c>
      <c r="WP86" s="646"/>
      <c r="WQ86" s="1"/>
      <c r="WR86" s="652"/>
      <c r="WS86" s="1"/>
      <c r="WT86" s="659"/>
      <c r="WU86" s="1"/>
      <c r="WV86" s="659"/>
      <c r="WW86" s="1"/>
      <c r="WX86" s="672"/>
      <c r="WY86" s="1"/>
      <c r="WZ86" s="677"/>
      <c r="XA86" s="1"/>
      <c r="XB86" s="681"/>
      <c r="XC86" s="1"/>
      <c r="XD86" s="683"/>
      <c r="XE86" s="1"/>
      <c r="XF86" s="687"/>
      <c r="XG86" s="1"/>
      <c r="XH86" s="689"/>
      <c r="XI86" s="1"/>
      <c r="XJ86" s="696"/>
      <c r="XK86" s="1"/>
      <c r="XL86" s="696"/>
      <c r="XM86" s="1"/>
      <c r="XN86" s="696"/>
      <c r="XO86" s="1"/>
      <c r="XP86" s="700"/>
      <c r="XQ86" s="1"/>
      <c r="XR86" s="705"/>
      <c r="XS86" s="1"/>
      <c r="XT86" s="709"/>
      <c r="XU86" s="1"/>
      <c r="XV86" s="715"/>
      <c r="XW86" s="1"/>
    </row>
    <row r="87" spans="2:647" x14ac:dyDescent="0.25">
      <c r="B87" s="755"/>
      <c r="C87" s="762"/>
      <c r="D87" s="765" t="s">
        <v>43</v>
      </c>
      <c r="E87" s="765"/>
      <c r="F87" s="482">
        <v>0.9</v>
      </c>
      <c r="G87" s="475" t="s">
        <v>40</v>
      </c>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c r="BA87" s="6"/>
      <c r="BB87" s="6"/>
      <c r="BC87" s="6"/>
      <c r="BD87" s="6"/>
      <c r="BE87" s="6"/>
      <c r="BF87" s="6"/>
      <c r="BG87" s="6"/>
      <c r="BH87" s="6"/>
      <c r="BI87" s="6"/>
      <c r="BJ87" s="6"/>
      <c r="BK87" s="6"/>
      <c r="BL87" s="6"/>
      <c r="BM87" s="6"/>
      <c r="BN87" s="6"/>
      <c r="BO87" s="6"/>
      <c r="BP87" s="6"/>
      <c r="BQ87" s="6"/>
      <c r="BR87" s="6"/>
      <c r="BS87" s="6"/>
      <c r="BT87" s="6"/>
      <c r="BU87" s="6"/>
      <c r="BV87" s="6"/>
      <c r="BW87" s="6"/>
      <c r="BX87" s="6"/>
      <c r="BY87" s="6"/>
      <c r="BZ87" s="6"/>
      <c r="CA87" s="6"/>
      <c r="CB87" s="6"/>
      <c r="CC87" s="6"/>
      <c r="CD87" s="6"/>
      <c r="CE87" s="6"/>
      <c r="CF87" s="6"/>
      <c r="CG87" s="6"/>
      <c r="CH87" s="6"/>
      <c r="CI87" s="6"/>
      <c r="CJ87" s="6"/>
      <c r="CK87" s="6"/>
      <c r="CL87" s="6"/>
      <c r="CM87" s="6"/>
      <c r="CN87" s="6"/>
      <c r="CO87" s="6"/>
      <c r="CP87" s="6"/>
      <c r="CQ87" s="6"/>
      <c r="CR87" s="6"/>
      <c r="CS87" s="6"/>
      <c r="CT87" s="6"/>
      <c r="CU87" s="6"/>
      <c r="CV87" s="6"/>
      <c r="CW87" s="6"/>
      <c r="CX87" s="6"/>
      <c r="CY87" s="6"/>
      <c r="CZ87" s="6"/>
      <c r="DA87" s="6"/>
      <c r="DB87" s="6"/>
      <c r="DC87" s="6"/>
      <c r="DD87" s="6"/>
      <c r="DE87" s="6"/>
      <c r="DF87" s="6"/>
      <c r="DG87" s="6"/>
      <c r="DH87" s="6"/>
      <c r="DI87" s="6"/>
      <c r="DJ87" s="6"/>
      <c r="DK87" s="6"/>
      <c r="DL87" s="6"/>
      <c r="DM87" s="6"/>
      <c r="DN87" s="6"/>
      <c r="DO87" s="6"/>
      <c r="DP87" s="6"/>
      <c r="DQ87" s="6"/>
      <c r="DR87" s="6"/>
      <c r="DS87" s="6"/>
      <c r="DT87" s="6"/>
      <c r="DU87" s="6"/>
      <c r="DV87" s="6"/>
      <c r="DW87" s="6"/>
      <c r="DX87" s="6"/>
      <c r="DY87" s="6"/>
      <c r="DZ87" s="6"/>
      <c r="EA87" s="6"/>
      <c r="EB87" s="6"/>
      <c r="EC87" s="6"/>
      <c r="ED87" s="6"/>
      <c r="EE87" s="6"/>
      <c r="EF87" s="6"/>
      <c r="EG87" s="6"/>
      <c r="EH87" s="6"/>
      <c r="EI87" s="6"/>
      <c r="EJ87" s="6"/>
      <c r="EK87" s="6"/>
      <c r="EL87" s="6"/>
      <c r="EM87" s="6"/>
      <c r="EN87" s="6"/>
      <c r="EO87" s="6"/>
      <c r="EP87" s="6"/>
      <c r="EQ87" s="6"/>
      <c r="ER87" s="487"/>
      <c r="ES87" s="1"/>
      <c r="ET87" s="487"/>
      <c r="EU87" s="1"/>
      <c r="EV87" s="487"/>
      <c r="EW87" s="1"/>
      <c r="EX87" s="487"/>
      <c r="EY87" s="1"/>
      <c r="EZ87" s="487"/>
      <c r="FA87" s="1"/>
      <c r="FB87" s="487"/>
      <c r="FC87" s="1"/>
      <c r="FD87" s="487"/>
      <c r="FE87" s="1"/>
      <c r="FF87" s="487"/>
      <c r="FG87" s="1"/>
      <c r="FH87" s="487"/>
      <c r="FI87" s="1"/>
      <c r="FJ87" s="487"/>
      <c r="FK87" s="1"/>
      <c r="FL87" s="487"/>
      <c r="FM87" s="1"/>
      <c r="FN87" s="487"/>
      <c r="FO87" s="1"/>
      <c r="FP87" s="487"/>
      <c r="FQ87" s="1"/>
      <c r="FR87" s="487"/>
      <c r="FS87" s="1"/>
      <c r="FT87" s="487"/>
      <c r="FU87" s="1"/>
      <c r="FV87" s="487"/>
      <c r="FW87" s="1"/>
      <c r="FX87" s="487"/>
      <c r="FY87" s="1"/>
      <c r="FZ87" s="487"/>
      <c r="GA87" s="1"/>
      <c r="GB87" s="487"/>
      <c r="GC87" s="1"/>
      <c r="GD87" s="487"/>
      <c r="GE87" s="1"/>
      <c r="GF87" s="487"/>
      <c r="GG87" s="1"/>
      <c r="GH87" s="487"/>
      <c r="GI87" s="1"/>
      <c r="GJ87" s="487"/>
      <c r="GK87" s="1"/>
      <c r="GL87" s="487"/>
      <c r="GM87" s="1"/>
      <c r="GN87" s="487"/>
      <c r="GO87" s="1"/>
      <c r="GP87" s="487"/>
      <c r="GQ87" s="1"/>
      <c r="GR87" s="487"/>
      <c r="GS87" s="1"/>
      <c r="GT87" s="487"/>
      <c r="GU87" s="1"/>
      <c r="GV87" s="487"/>
      <c r="GW87" s="1"/>
      <c r="GX87" s="487"/>
      <c r="GY87" s="1"/>
      <c r="GZ87" s="487"/>
      <c r="HA87" s="1"/>
      <c r="HB87" s="487"/>
      <c r="HC87" s="1"/>
      <c r="HD87" s="487"/>
      <c r="HE87" s="1"/>
      <c r="HF87" s="487"/>
      <c r="HG87" s="1"/>
      <c r="HH87" s="487"/>
      <c r="HI87" s="1"/>
      <c r="HJ87" s="487"/>
      <c r="HK87" s="1"/>
      <c r="HL87" s="487"/>
      <c r="HM87" s="1"/>
      <c r="HN87" s="487"/>
      <c r="HO87" s="1"/>
      <c r="HP87" s="487"/>
      <c r="HQ87" s="1"/>
      <c r="HR87" s="487"/>
      <c r="HS87" s="1"/>
      <c r="HT87" s="487"/>
      <c r="HU87" s="1"/>
      <c r="HV87" s="487">
        <v>-26.6</v>
      </c>
      <c r="HW87" s="1">
        <v>0.375</v>
      </c>
      <c r="HX87" s="487"/>
      <c r="HY87" s="1"/>
      <c r="HZ87" s="487">
        <v>-19.133333333333333</v>
      </c>
      <c r="IA87" s="1">
        <v>0.5</v>
      </c>
      <c r="IB87" s="487">
        <v>-15.500000000000004</v>
      </c>
      <c r="IC87" s="1">
        <v>0.5</v>
      </c>
      <c r="ID87" s="487">
        <v>-4.8222222222222202</v>
      </c>
      <c r="IE87" s="1">
        <v>0.4</v>
      </c>
      <c r="IF87" s="487">
        <v>-51.899999999999991</v>
      </c>
      <c r="IG87" s="1">
        <v>0.3</v>
      </c>
      <c r="IH87" s="487">
        <v>-50.022222222222226</v>
      </c>
      <c r="II87" s="1">
        <v>0.4</v>
      </c>
      <c r="IJ87" s="487">
        <v>-66.277777777777786</v>
      </c>
      <c r="IK87" s="1">
        <v>0.375</v>
      </c>
      <c r="IL87" s="487"/>
      <c r="IM87" s="1"/>
      <c r="IN87" s="487">
        <v>-7.7777777777777779E-2</v>
      </c>
      <c r="IO87" s="1">
        <v>0</v>
      </c>
      <c r="IP87" s="487">
        <v>-49.388888888888886</v>
      </c>
      <c r="IQ87" s="1">
        <v>0.25</v>
      </c>
      <c r="IR87" s="487">
        <v>4.7555555555555555</v>
      </c>
      <c r="IS87" s="1">
        <v>1</v>
      </c>
      <c r="IT87" s="487">
        <v>-3.1888888888888891</v>
      </c>
      <c r="IU87" s="1">
        <v>0.33333333333333331</v>
      </c>
      <c r="IV87" s="487">
        <v>6.8111111111111109</v>
      </c>
      <c r="IW87" s="1">
        <v>1</v>
      </c>
      <c r="IX87" s="487">
        <v>-4.8777777777777782</v>
      </c>
      <c r="IY87" s="1">
        <v>0.5</v>
      </c>
      <c r="IZ87" s="487">
        <v>62.688888888888883</v>
      </c>
      <c r="JA87" s="1">
        <v>0.66666666666666663</v>
      </c>
      <c r="JB87" s="487">
        <v>-31.833333333333336</v>
      </c>
      <c r="JC87" s="1">
        <v>0.22222222222222221</v>
      </c>
      <c r="JD87" s="487">
        <v>22.844444444444441</v>
      </c>
      <c r="JE87" s="1">
        <v>1</v>
      </c>
      <c r="JF87" s="487">
        <v>-24.566666666666666</v>
      </c>
      <c r="JG87" s="1">
        <v>0.42857142857142855</v>
      </c>
      <c r="JH87" s="487">
        <v>11.655555555555553</v>
      </c>
      <c r="JI87" s="1">
        <v>0.4</v>
      </c>
      <c r="JJ87" s="487">
        <v>-34.166666666666664</v>
      </c>
      <c r="JK87" s="1">
        <v>0.25</v>
      </c>
      <c r="JL87" s="487"/>
      <c r="JM87" s="1"/>
      <c r="JN87" s="487"/>
      <c r="JO87" s="1"/>
      <c r="JP87" s="487">
        <v>13.844444444444443</v>
      </c>
      <c r="JQ87" s="1">
        <v>0.625</v>
      </c>
      <c r="JR87" s="487">
        <v>4.5222222222222221</v>
      </c>
      <c r="JS87" s="1">
        <v>1</v>
      </c>
      <c r="JT87" s="487">
        <v>30.7</v>
      </c>
      <c r="JU87" s="1">
        <v>0.66666666666666663</v>
      </c>
      <c r="JV87" s="487">
        <v>-42.566666666666663</v>
      </c>
      <c r="JW87" s="1">
        <v>0.33333333333333331</v>
      </c>
      <c r="JX87" s="487"/>
      <c r="JY87" s="1"/>
      <c r="JZ87" s="487">
        <v>39.79999999999999</v>
      </c>
      <c r="KA87" s="1">
        <v>0.75</v>
      </c>
      <c r="KB87" s="487">
        <v>8.8888888888888893</v>
      </c>
      <c r="KC87" s="1">
        <v>1</v>
      </c>
      <c r="KD87" s="487">
        <v>32.644444444444446</v>
      </c>
      <c r="KE87" s="1">
        <v>0.5</v>
      </c>
      <c r="KF87" s="487">
        <v>30.922222222222221</v>
      </c>
      <c r="KG87" s="1">
        <v>0.66666666666666663</v>
      </c>
      <c r="KH87" s="487">
        <v>35.355555555555554</v>
      </c>
      <c r="KI87" s="1">
        <v>0.66666666666666663</v>
      </c>
      <c r="KJ87" s="487">
        <v>-8.1777777777777771</v>
      </c>
      <c r="KK87" s="1">
        <v>0.33333333333333331</v>
      </c>
      <c r="KL87" s="487">
        <v>39.255555555555553</v>
      </c>
      <c r="KM87" s="1">
        <v>1</v>
      </c>
      <c r="KN87" s="487">
        <v>-20.911111111111111</v>
      </c>
      <c r="KO87" s="1">
        <v>0.33333333333333331</v>
      </c>
      <c r="KP87" s="487"/>
      <c r="KQ87" s="1"/>
      <c r="KR87" s="487">
        <v>-57.766666666666666</v>
      </c>
      <c r="KS87" s="1">
        <v>0.125</v>
      </c>
      <c r="KT87" s="487"/>
      <c r="KU87" s="1"/>
      <c r="KV87" s="487">
        <v>-4.4777777777777779</v>
      </c>
      <c r="KW87" s="1">
        <v>0.5</v>
      </c>
      <c r="KX87" s="487">
        <v>38.74444444444444</v>
      </c>
      <c r="KY87" s="1">
        <v>1</v>
      </c>
      <c r="KZ87" s="487">
        <v>30.922222222222221</v>
      </c>
      <c r="LA87" s="1">
        <v>1</v>
      </c>
      <c r="LB87" s="487">
        <v>65.166666666666671</v>
      </c>
      <c r="LC87" s="1">
        <v>1</v>
      </c>
      <c r="LD87" s="487">
        <v>31.977777777777774</v>
      </c>
      <c r="LE87" s="1">
        <v>1</v>
      </c>
      <c r="LF87" s="487">
        <v>103.75555555555555</v>
      </c>
      <c r="LG87" s="1">
        <v>1</v>
      </c>
      <c r="LH87" s="487">
        <v>84.633333333333312</v>
      </c>
      <c r="LI87" s="1">
        <v>0.66666666666666663</v>
      </c>
      <c r="LJ87" s="487"/>
      <c r="LK87" s="1"/>
      <c r="LL87" s="487">
        <v>-81.822222222222223</v>
      </c>
      <c r="LM87" s="1">
        <v>0.42857142857142855</v>
      </c>
      <c r="LN87" s="487">
        <v>-228.77777777777774</v>
      </c>
      <c r="LO87" s="1">
        <v>0.1111111111111111</v>
      </c>
      <c r="LP87" s="487">
        <v>-32.13333333333334</v>
      </c>
      <c r="LQ87" s="1">
        <v>0.33333333333333331</v>
      </c>
      <c r="LR87" s="487">
        <v>115.66666666666666</v>
      </c>
      <c r="LS87" s="1">
        <v>1</v>
      </c>
      <c r="LT87" s="487">
        <v>225.26666666666668</v>
      </c>
      <c r="LU87" s="1">
        <v>0.8</v>
      </c>
      <c r="LV87" s="487"/>
      <c r="LW87" s="1"/>
      <c r="LX87" s="487"/>
      <c r="LY87" s="1"/>
      <c r="LZ87" s="487"/>
      <c r="MA87" s="1"/>
      <c r="MB87" s="487">
        <v>56.455555555555556</v>
      </c>
      <c r="MC87" s="1">
        <v>1</v>
      </c>
      <c r="MD87" s="487"/>
      <c r="ME87" s="1"/>
      <c r="MF87" s="487">
        <v>-68.811111111111103</v>
      </c>
      <c r="MG87" s="1">
        <v>0</v>
      </c>
      <c r="MH87" s="487">
        <v>-30.155555555555555</v>
      </c>
      <c r="MI87" s="1">
        <v>0</v>
      </c>
      <c r="MJ87" s="487">
        <v>-63.166666666666664</v>
      </c>
      <c r="MK87" s="1">
        <v>0</v>
      </c>
      <c r="ML87" s="487">
        <v>-155.93333333333334</v>
      </c>
      <c r="MM87" s="1">
        <v>0</v>
      </c>
      <c r="MN87" s="487">
        <v>-76.933333333333337</v>
      </c>
      <c r="MO87" s="1">
        <v>0</v>
      </c>
      <c r="MP87" s="487">
        <v>-57.233333333333334</v>
      </c>
      <c r="MQ87" s="1">
        <v>0.33333333333333331</v>
      </c>
      <c r="MR87" s="487">
        <v>32.355555555555554</v>
      </c>
      <c r="MS87" s="1">
        <v>0.66666666666666663</v>
      </c>
      <c r="MT87" s="487">
        <v>3.9777777777777796</v>
      </c>
      <c r="MU87" s="1">
        <v>0.33333333333333331</v>
      </c>
      <c r="MV87" s="487">
        <v>101.62222222222223</v>
      </c>
      <c r="MW87" s="1">
        <v>0.75</v>
      </c>
      <c r="MX87" s="487">
        <v>-78.666666666666657</v>
      </c>
      <c r="MY87" s="1">
        <v>0.2</v>
      </c>
      <c r="MZ87" s="487">
        <v>-10.088888888888887</v>
      </c>
      <c r="NA87" s="1">
        <v>0.42857142857142855</v>
      </c>
      <c r="NB87" s="487">
        <v>-53.188888888888883</v>
      </c>
      <c r="NC87" s="1">
        <v>0.33333333333333331</v>
      </c>
      <c r="ND87" s="487"/>
      <c r="NE87" s="1"/>
      <c r="NF87" s="487">
        <v>-118.22222222222223</v>
      </c>
      <c r="NG87" s="1">
        <v>0.2</v>
      </c>
      <c r="NH87" s="487">
        <v>-118.22222222222223</v>
      </c>
      <c r="NI87" s="1">
        <v>0.2</v>
      </c>
      <c r="NJ87" s="487">
        <v>-35.766666666666666</v>
      </c>
      <c r="NK87" s="1">
        <v>0.5</v>
      </c>
      <c r="NL87" s="487">
        <v>18.133333333333333</v>
      </c>
      <c r="NM87" s="1">
        <v>0.66666666666666663</v>
      </c>
      <c r="NN87" s="487"/>
      <c r="NO87" s="1"/>
      <c r="NP87" s="487">
        <v>14.8</v>
      </c>
      <c r="NQ87" s="1">
        <v>1</v>
      </c>
      <c r="NR87" s="487">
        <v>22.62222222222222</v>
      </c>
      <c r="NS87" s="1">
        <v>1</v>
      </c>
      <c r="NT87" s="487">
        <v>18.155555555555555</v>
      </c>
      <c r="NU87" s="1">
        <v>1</v>
      </c>
      <c r="NV87" s="487">
        <v>43.588888888888896</v>
      </c>
      <c r="NW87" s="1">
        <v>1</v>
      </c>
      <c r="NX87" s="487"/>
      <c r="NY87" s="1"/>
      <c r="NZ87" s="487">
        <v>50.5</v>
      </c>
      <c r="OA87" s="1">
        <v>1</v>
      </c>
      <c r="OB87" s="487">
        <v>32.877777777777773</v>
      </c>
      <c r="OC87" s="1">
        <v>0.66666666666666663</v>
      </c>
      <c r="OD87" s="487"/>
      <c r="OE87" s="1"/>
      <c r="OF87" s="487">
        <v>14.377777777777778</v>
      </c>
      <c r="OG87" s="1">
        <v>0.5</v>
      </c>
      <c r="OH87" s="487">
        <v>-165.35555555555558</v>
      </c>
      <c r="OI87" s="1">
        <v>0</v>
      </c>
      <c r="OJ87" s="487"/>
      <c r="OK87" s="1"/>
      <c r="OL87" s="487">
        <v>-64.577777777777783</v>
      </c>
      <c r="OM87" s="1">
        <v>0.33333333333333331</v>
      </c>
      <c r="ON87" s="487">
        <v>94.955555555555563</v>
      </c>
      <c r="OO87" s="1">
        <v>1</v>
      </c>
      <c r="OP87" s="487">
        <v>-222.82222222222219</v>
      </c>
      <c r="OQ87" s="1">
        <v>0.18181818181818182</v>
      </c>
      <c r="OR87" s="487">
        <v>-204.97777777777773</v>
      </c>
      <c r="OS87" s="1">
        <v>0.14285714285714285</v>
      </c>
      <c r="OT87" s="487">
        <v>19.233333333333331</v>
      </c>
      <c r="OU87" s="1">
        <v>0.5</v>
      </c>
      <c r="OV87" s="487"/>
      <c r="OW87" s="1"/>
      <c r="OX87" s="487">
        <v>30.388888888888889</v>
      </c>
      <c r="OY87" s="1">
        <v>0.66666666666666663</v>
      </c>
      <c r="OZ87" s="487"/>
      <c r="PA87" s="1"/>
      <c r="PB87" s="487">
        <v>-109.64444444444442</v>
      </c>
      <c r="PC87" s="1">
        <v>0.16666666666666666</v>
      </c>
      <c r="PD87" s="487">
        <v>-17.611111111111111</v>
      </c>
      <c r="PE87" s="1">
        <v>0.5</v>
      </c>
      <c r="PF87" s="487">
        <v>-16.511111111111106</v>
      </c>
      <c r="PG87" s="1">
        <v>0.6</v>
      </c>
      <c r="PH87" s="487">
        <v>57.211111111111109</v>
      </c>
      <c r="PI87" s="1">
        <v>0.4</v>
      </c>
      <c r="PJ87" s="487"/>
      <c r="PK87" s="1"/>
      <c r="PL87" s="487"/>
      <c r="PM87" s="1"/>
      <c r="PN87" s="487">
        <v>3.9444444444444451</v>
      </c>
      <c r="PO87" s="1">
        <v>0.5</v>
      </c>
      <c r="PP87" s="487">
        <v>-46.5</v>
      </c>
      <c r="PQ87" s="1">
        <v>0</v>
      </c>
      <c r="PR87" s="487"/>
      <c r="PS87" s="1"/>
      <c r="PT87" s="487">
        <v>43.555555555555557</v>
      </c>
      <c r="PU87" s="1">
        <v>1</v>
      </c>
      <c r="PV87" s="487">
        <v>-31.366666666666667</v>
      </c>
      <c r="PW87" s="1">
        <v>0.25</v>
      </c>
      <c r="PX87" s="487">
        <v>-170.51111111111112</v>
      </c>
      <c r="PY87" s="1">
        <v>0.16666666666666666</v>
      </c>
      <c r="PZ87" s="487">
        <v>57.344444444444441</v>
      </c>
      <c r="QA87" s="1">
        <v>0.5</v>
      </c>
      <c r="QB87" s="487">
        <v>-296.42222222222216</v>
      </c>
      <c r="QC87" s="1">
        <v>0</v>
      </c>
      <c r="QD87" s="487">
        <v>50.955555555555556</v>
      </c>
      <c r="QE87" s="1">
        <v>0.6</v>
      </c>
      <c r="QF87" s="487">
        <v>-13.955555555555561</v>
      </c>
      <c r="QG87" s="1">
        <v>0.4</v>
      </c>
      <c r="QH87" s="487">
        <v>-8.3111111111111136</v>
      </c>
      <c r="QI87" s="1">
        <v>0.66666666666666663</v>
      </c>
      <c r="QJ87" s="487">
        <v>-14.900000000000004</v>
      </c>
      <c r="QK87" s="1">
        <v>0.2857142857142857</v>
      </c>
      <c r="QL87" s="487">
        <v>-111.0333333333333</v>
      </c>
      <c r="QM87" s="1">
        <v>0.375</v>
      </c>
      <c r="QN87" s="487">
        <v>23.055555555555554</v>
      </c>
      <c r="QO87" s="1">
        <v>1</v>
      </c>
      <c r="QP87" s="487">
        <v>-48.399999999999991</v>
      </c>
      <c r="QQ87" s="1">
        <v>0.16666666666666666</v>
      </c>
      <c r="QR87" s="487">
        <v>-14.011111111111118</v>
      </c>
      <c r="QS87" s="1">
        <v>0.4</v>
      </c>
      <c r="QT87" s="487"/>
      <c r="QU87" s="1"/>
      <c r="QV87" s="487">
        <v>-49.144444444444446</v>
      </c>
      <c r="QW87" s="1">
        <v>0.3</v>
      </c>
      <c r="QX87" s="487">
        <v>-7.3555555555555552</v>
      </c>
      <c r="QY87" s="1">
        <v>0</v>
      </c>
      <c r="QZ87" s="487"/>
      <c r="RA87" s="1"/>
      <c r="RB87" s="487">
        <v>3.1777777777777771</v>
      </c>
      <c r="RC87" s="1">
        <v>0.66666666666666663</v>
      </c>
      <c r="RD87" s="487">
        <v>68.099999999999994</v>
      </c>
      <c r="RE87" s="1">
        <v>1</v>
      </c>
      <c r="RF87" s="487">
        <v>-27.722222222222221</v>
      </c>
      <c r="RG87" s="1">
        <v>0.4</v>
      </c>
      <c r="RH87" s="487">
        <v>-102.43333333333334</v>
      </c>
      <c r="RI87" s="1">
        <v>0.1111111111111111</v>
      </c>
      <c r="RJ87" s="487">
        <v>-2.1777777777777785</v>
      </c>
      <c r="RK87" s="1">
        <v>0.5</v>
      </c>
      <c r="RL87" s="487">
        <v>26.711111111111116</v>
      </c>
      <c r="RM87" s="1">
        <v>0.66666666666666663</v>
      </c>
      <c r="RN87" s="487">
        <v>-28.055555555555554</v>
      </c>
      <c r="RO87" s="1">
        <v>0.33333333333333331</v>
      </c>
      <c r="RP87" s="487">
        <v>-77.055555555555543</v>
      </c>
      <c r="RQ87" s="1">
        <v>0.25</v>
      </c>
      <c r="RR87" s="487">
        <v>-5.4222222222222216</v>
      </c>
      <c r="RS87" s="1">
        <v>0</v>
      </c>
      <c r="RT87" s="487">
        <v>-20.366666666666664</v>
      </c>
      <c r="RU87" s="1">
        <v>0.5</v>
      </c>
      <c r="RV87" s="487">
        <v>-114.69999999999999</v>
      </c>
      <c r="RW87" s="1">
        <v>0.25</v>
      </c>
      <c r="RX87" s="487">
        <v>-27.56666666666667</v>
      </c>
      <c r="RY87" s="1">
        <v>0.33333333333333331</v>
      </c>
      <c r="RZ87" s="487">
        <v>53.733333333333334</v>
      </c>
      <c r="SA87" s="1">
        <v>1</v>
      </c>
      <c r="SB87" s="487">
        <v>8.8888888888888893</v>
      </c>
      <c r="SC87" s="1">
        <v>0.5</v>
      </c>
      <c r="SD87" s="487"/>
      <c r="SE87" s="1"/>
      <c r="SF87" s="487"/>
      <c r="SG87" s="1"/>
      <c r="SH87" s="487">
        <v>-115.96666666666665</v>
      </c>
      <c r="SI87" s="1">
        <v>0.16666666666666666</v>
      </c>
      <c r="SJ87" s="487">
        <v>57.644444444444439</v>
      </c>
      <c r="SK87" s="1">
        <v>0.625</v>
      </c>
      <c r="SL87" s="487">
        <v>-28.488888888888887</v>
      </c>
      <c r="SM87" s="1">
        <v>0.33333333333333331</v>
      </c>
      <c r="SN87" s="487">
        <v>3.4222222222222221</v>
      </c>
      <c r="SO87" s="1">
        <v>0.5</v>
      </c>
      <c r="SP87" s="487">
        <v>-28.433333333333334</v>
      </c>
      <c r="SQ87" s="1">
        <v>0.33333333333333331</v>
      </c>
      <c r="SR87" s="487">
        <v>22.855555555555554</v>
      </c>
      <c r="SS87" s="1">
        <v>1</v>
      </c>
      <c r="ST87" s="487">
        <v>19.244444444444444</v>
      </c>
      <c r="SU87" s="1">
        <v>0.75</v>
      </c>
      <c r="SV87" s="487">
        <v>19.877777777777776</v>
      </c>
      <c r="SW87" s="1">
        <v>0.66666666666666663</v>
      </c>
      <c r="SX87" s="487"/>
      <c r="SY87" s="1"/>
      <c r="SZ87" s="487">
        <v>-53.644444444444446</v>
      </c>
      <c r="TA87" s="1">
        <v>0.25</v>
      </c>
      <c r="TB87" s="487">
        <v>-8.6666666666666679</v>
      </c>
      <c r="TC87" s="1">
        <v>0.6</v>
      </c>
      <c r="TD87" s="487">
        <v>80.74444444444444</v>
      </c>
      <c r="TE87" s="1">
        <v>0.7142857142857143</v>
      </c>
      <c r="TF87" s="487"/>
      <c r="TG87" s="1"/>
      <c r="TH87" s="488">
        <v>3.8444444444444441</v>
      </c>
      <c r="TI87" s="1">
        <v>0.5</v>
      </c>
      <c r="TJ87" s="489"/>
      <c r="TK87" s="1"/>
      <c r="TL87" s="490">
        <v>33.744444444444447</v>
      </c>
      <c r="TM87" s="1">
        <v>0.66666666666666663</v>
      </c>
      <c r="TN87" s="495"/>
      <c r="TO87" s="1"/>
      <c r="TP87" s="500">
        <v>7.988888888888888</v>
      </c>
      <c r="TQ87" s="1">
        <v>0.5</v>
      </c>
      <c r="TR87" s="511">
        <v>-162.56666666666666</v>
      </c>
      <c r="TS87" s="1">
        <v>0</v>
      </c>
      <c r="TT87" s="515">
        <v>-18.133333333333333</v>
      </c>
      <c r="TU87" s="1">
        <v>0.5</v>
      </c>
      <c r="TV87" s="518">
        <v>-20.499999999999996</v>
      </c>
      <c r="TW87" s="1">
        <v>0.2</v>
      </c>
      <c r="TX87" s="521">
        <v>-42.855555555555554</v>
      </c>
      <c r="TY87" s="1">
        <v>0.2</v>
      </c>
      <c r="TZ87" s="524">
        <v>28.111111111111114</v>
      </c>
      <c r="UA87" s="1">
        <v>0.6</v>
      </c>
      <c r="UB87" s="527">
        <v>-70.833333333333329</v>
      </c>
      <c r="UC87" s="1">
        <v>0</v>
      </c>
      <c r="UD87" s="530">
        <v>22.1</v>
      </c>
      <c r="UE87" s="1">
        <v>0.8</v>
      </c>
      <c r="UF87" s="533"/>
      <c r="UG87" s="1"/>
      <c r="UH87" s="536">
        <v>0.85555555555555551</v>
      </c>
      <c r="UI87" s="1">
        <v>1</v>
      </c>
      <c r="UJ87" s="539">
        <v>51.366666666666667</v>
      </c>
      <c r="UK87" s="1">
        <v>1</v>
      </c>
      <c r="UL87" s="540">
        <v>10.344444444444445</v>
      </c>
      <c r="UM87" s="1">
        <v>0.42857142857142855</v>
      </c>
      <c r="UN87" s="543">
        <v>6.2444444444444445</v>
      </c>
      <c r="UO87" s="1">
        <v>0.375</v>
      </c>
      <c r="UP87" s="544">
        <v>-8.8777777777777711</v>
      </c>
      <c r="UQ87" s="1">
        <v>0.6</v>
      </c>
      <c r="UR87" s="551"/>
      <c r="US87" s="1"/>
      <c r="UT87" s="551">
        <v>-9.1333333333333311</v>
      </c>
      <c r="UU87" s="1">
        <v>0.25</v>
      </c>
      <c r="UV87" s="562"/>
      <c r="UW87" s="1"/>
      <c r="UX87" s="566">
        <v>-105.1111111111111</v>
      </c>
      <c r="UY87" s="1">
        <v>0.125</v>
      </c>
      <c r="UZ87" s="568"/>
      <c r="VA87" s="1"/>
      <c r="VB87" s="572">
        <v>-1.6444444444444446</v>
      </c>
      <c r="VC87" s="1">
        <v>0.5</v>
      </c>
      <c r="VD87" s="576">
        <v>-45.222222222222221</v>
      </c>
      <c r="VE87" s="1">
        <v>0.5</v>
      </c>
      <c r="VF87" s="580"/>
      <c r="VG87" s="1"/>
      <c r="VH87" s="584">
        <v>42.077777777777776</v>
      </c>
      <c r="VI87" s="1">
        <v>0.7142857142857143</v>
      </c>
      <c r="VJ87" s="589"/>
      <c r="VK87" s="1"/>
      <c r="VL87" s="593">
        <v>-22.24444444444444</v>
      </c>
      <c r="VM87" s="1">
        <v>0.33333333333333331</v>
      </c>
      <c r="VN87" s="597"/>
      <c r="VO87" s="1"/>
      <c r="VP87" s="601">
        <v>-45.12222222222222</v>
      </c>
      <c r="VQ87" s="1">
        <v>0.33333333333333331</v>
      </c>
      <c r="VR87" s="603"/>
      <c r="VS87" s="1"/>
      <c r="VT87" s="607"/>
      <c r="VU87" s="1"/>
      <c r="VV87" s="609">
        <v>-132.71111111111111</v>
      </c>
      <c r="VW87" s="1">
        <v>0</v>
      </c>
      <c r="VX87" s="613">
        <v>-18.000000000000007</v>
      </c>
      <c r="VY87" s="1">
        <v>0.7142857142857143</v>
      </c>
      <c r="VZ87" s="617">
        <v>57.655555555555544</v>
      </c>
      <c r="WA87" s="1">
        <v>0.6</v>
      </c>
      <c r="WB87" s="619">
        <v>-226.39999999999998</v>
      </c>
      <c r="WC87" s="1">
        <v>0.1111111111111111</v>
      </c>
      <c r="WD87" s="624">
        <v>92.177777777777763</v>
      </c>
      <c r="WE87" s="1">
        <v>0.66666666666666663</v>
      </c>
      <c r="WF87" s="626">
        <v>-84.1</v>
      </c>
      <c r="WG87" s="1">
        <v>0.5</v>
      </c>
      <c r="WH87" s="630">
        <v>-3.5777777777777775</v>
      </c>
      <c r="WI87" s="1">
        <v>0.5</v>
      </c>
      <c r="WJ87" s="636">
        <v>-13.911111111111115</v>
      </c>
      <c r="WK87" s="1">
        <v>0.55555555555555558</v>
      </c>
      <c r="WL87" s="638">
        <v>-30.688888888888894</v>
      </c>
      <c r="WM87" s="1">
        <v>0.33333333333333331</v>
      </c>
      <c r="WN87" s="642">
        <v>-41.744444444444447</v>
      </c>
      <c r="WO87" s="1">
        <v>0.2</v>
      </c>
      <c r="WP87" s="646"/>
      <c r="WQ87" s="1"/>
      <c r="WR87" s="652"/>
      <c r="WS87" s="1"/>
      <c r="WT87" s="659">
        <v>16.133333333333333</v>
      </c>
      <c r="WU87" s="1">
        <v>0.44444444444444442</v>
      </c>
      <c r="WV87" s="659">
        <v>-9.1555555555555515</v>
      </c>
      <c r="WW87" s="1">
        <v>0.4</v>
      </c>
      <c r="WX87" s="672"/>
      <c r="WY87" s="1"/>
      <c r="WZ87" s="677"/>
      <c r="XA87" s="1"/>
      <c r="XB87" s="681"/>
      <c r="XC87" s="1"/>
      <c r="XD87" s="683"/>
      <c r="XE87" s="1"/>
      <c r="XF87" s="687">
        <v>-15.644444444444442</v>
      </c>
      <c r="XG87" s="1">
        <v>0</v>
      </c>
      <c r="XH87" s="689"/>
      <c r="XI87" s="1"/>
      <c r="XJ87" s="696"/>
      <c r="XK87" s="1"/>
      <c r="XL87" s="696"/>
      <c r="XM87" s="1"/>
      <c r="XN87" s="696"/>
      <c r="XO87" s="1"/>
      <c r="XP87" s="700"/>
      <c r="XQ87" s="1"/>
      <c r="XR87" s="705"/>
      <c r="XS87" s="1"/>
      <c r="XT87" s="709"/>
      <c r="XU87" s="1"/>
      <c r="XV87" s="715">
        <v>-48.67777777777777</v>
      </c>
      <c r="XW87" s="1">
        <v>0.33333333333333331</v>
      </c>
    </row>
    <row r="88" spans="2:647" x14ac:dyDescent="0.25">
      <c r="B88" s="755"/>
      <c r="C88" s="762"/>
      <c r="D88" s="765" t="s">
        <v>45</v>
      </c>
      <c r="E88" s="765"/>
      <c r="F88" s="482">
        <v>1.3</v>
      </c>
      <c r="G88" s="475" t="s">
        <v>52</v>
      </c>
      <c r="H88" s="6"/>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6"/>
      <c r="BC88" s="6"/>
      <c r="BD88" s="6"/>
      <c r="BE88" s="6"/>
      <c r="BF88" s="6"/>
      <c r="BG88" s="6"/>
      <c r="BH88" s="6"/>
      <c r="BI88" s="6"/>
      <c r="BJ88" s="6"/>
      <c r="BK88" s="6"/>
      <c r="BL88" s="6"/>
      <c r="BM88" s="6"/>
      <c r="BN88" s="6"/>
      <c r="BO88" s="6"/>
      <c r="BP88" s="6"/>
      <c r="BQ88" s="6"/>
      <c r="BR88" s="6"/>
      <c r="BS88" s="6"/>
      <c r="BT88" s="6"/>
      <c r="BU88" s="6"/>
      <c r="BV88" s="6"/>
      <c r="BW88" s="6"/>
      <c r="BX88" s="6"/>
      <c r="BY88" s="6"/>
      <c r="BZ88" s="6"/>
      <c r="CA88" s="6"/>
      <c r="CB88" s="6"/>
      <c r="CC88" s="6"/>
      <c r="CD88" s="6"/>
      <c r="CE88" s="6"/>
      <c r="CF88" s="6"/>
      <c r="CG88" s="6"/>
      <c r="CH88" s="6"/>
      <c r="CI88" s="6"/>
      <c r="CJ88" s="6"/>
      <c r="CK88" s="6"/>
      <c r="CL88" s="6"/>
      <c r="CM88" s="6"/>
      <c r="CN88" s="6"/>
      <c r="CO88" s="6"/>
      <c r="CP88" s="6"/>
      <c r="CQ88" s="6"/>
      <c r="CR88" s="6"/>
      <c r="CS88" s="6"/>
      <c r="CT88" s="6"/>
      <c r="CU88" s="6"/>
      <c r="CV88" s="6"/>
      <c r="CW88" s="6"/>
      <c r="CX88" s="6"/>
      <c r="CY88" s="6"/>
      <c r="CZ88" s="6"/>
      <c r="DA88" s="6"/>
      <c r="DB88" s="6"/>
      <c r="DC88" s="6"/>
      <c r="DD88" s="6"/>
      <c r="DE88" s="6"/>
      <c r="DF88" s="6"/>
      <c r="DG88" s="6"/>
      <c r="DH88" s="6"/>
      <c r="DI88" s="6"/>
      <c r="DJ88" s="6"/>
      <c r="DK88" s="6"/>
      <c r="DL88" s="6"/>
      <c r="DM88" s="6"/>
      <c r="DN88" s="6"/>
      <c r="DO88" s="6"/>
      <c r="DP88" s="6"/>
      <c r="DQ88" s="6"/>
      <c r="DR88" s="6"/>
      <c r="DS88" s="6"/>
      <c r="DT88" s="6"/>
      <c r="DU88" s="6"/>
      <c r="DV88" s="6"/>
      <c r="DW88" s="6"/>
      <c r="DX88" s="6"/>
      <c r="DY88" s="6"/>
      <c r="DZ88" s="6"/>
      <c r="EA88" s="6"/>
      <c r="EB88" s="6"/>
      <c r="EC88" s="6"/>
      <c r="ED88" s="6"/>
      <c r="EE88" s="6"/>
      <c r="EF88" s="6"/>
      <c r="EG88" s="6"/>
      <c r="EH88" s="6"/>
      <c r="EI88" s="6"/>
      <c r="EJ88" s="6"/>
      <c r="EK88" s="6"/>
      <c r="EL88" s="6"/>
      <c r="EM88" s="6"/>
      <c r="EN88" s="6"/>
      <c r="EO88" s="6"/>
      <c r="EP88" s="6"/>
      <c r="EQ88" s="6"/>
      <c r="ER88" s="487"/>
      <c r="ES88" s="1"/>
      <c r="ET88" s="487"/>
      <c r="EU88" s="1"/>
      <c r="EV88" s="487"/>
      <c r="EW88" s="1"/>
      <c r="EX88" s="487"/>
      <c r="EY88" s="1"/>
      <c r="EZ88" s="487"/>
      <c r="FA88" s="1"/>
      <c r="FB88" s="487"/>
      <c r="FC88" s="1"/>
      <c r="FD88" s="487"/>
      <c r="FE88" s="1"/>
      <c r="FF88" s="487"/>
      <c r="FG88" s="1"/>
      <c r="FH88" s="487"/>
      <c r="FI88" s="1"/>
      <c r="FJ88" s="487"/>
      <c r="FK88" s="1"/>
      <c r="FL88" s="487"/>
      <c r="FM88" s="1"/>
      <c r="FN88" s="487"/>
      <c r="FO88" s="1"/>
      <c r="FP88" s="487"/>
      <c r="FQ88" s="1"/>
      <c r="FR88" s="487"/>
      <c r="FS88" s="1"/>
      <c r="FT88" s="487"/>
      <c r="FU88" s="1"/>
      <c r="FV88" s="487"/>
      <c r="FW88" s="1"/>
      <c r="FX88" s="487"/>
      <c r="FY88" s="1"/>
      <c r="FZ88" s="487"/>
      <c r="GA88" s="1"/>
      <c r="GB88" s="487"/>
      <c r="GC88" s="1"/>
      <c r="GD88" s="487"/>
      <c r="GE88" s="1"/>
      <c r="GF88" s="487"/>
      <c r="GG88" s="1"/>
      <c r="GH88" s="487"/>
      <c r="GI88" s="1"/>
      <c r="GJ88" s="487"/>
      <c r="GK88" s="1"/>
      <c r="GL88" s="487"/>
      <c r="GM88" s="1"/>
      <c r="GN88" s="487"/>
      <c r="GO88" s="1"/>
      <c r="GP88" s="487"/>
      <c r="GQ88" s="1"/>
      <c r="GR88" s="487"/>
      <c r="GS88" s="1"/>
      <c r="GT88" s="487"/>
      <c r="GU88" s="1"/>
      <c r="GV88" s="487"/>
      <c r="GW88" s="1"/>
      <c r="GX88" s="487"/>
      <c r="GY88" s="1"/>
      <c r="GZ88" s="487"/>
      <c r="HA88" s="1"/>
      <c r="HB88" s="487"/>
      <c r="HC88" s="1"/>
      <c r="HD88" s="487"/>
      <c r="HE88" s="1"/>
      <c r="HF88" s="487"/>
      <c r="HG88" s="1"/>
      <c r="HH88" s="487"/>
      <c r="HI88" s="1"/>
      <c r="HJ88" s="487"/>
      <c r="HK88" s="1"/>
      <c r="HL88" s="487"/>
      <c r="HM88" s="1"/>
      <c r="HN88" s="487"/>
      <c r="HO88" s="1"/>
      <c r="HP88" s="487"/>
      <c r="HQ88" s="1"/>
      <c r="HR88" s="487"/>
      <c r="HS88" s="1"/>
      <c r="HT88" s="487"/>
      <c r="HU88" s="1"/>
      <c r="HV88" s="487"/>
      <c r="HW88" s="1"/>
      <c r="HX88" s="487"/>
      <c r="HY88" s="1"/>
      <c r="HZ88" s="487"/>
      <c r="IA88" s="1"/>
      <c r="IB88" s="487"/>
      <c r="IC88" s="1"/>
      <c r="ID88" s="487"/>
      <c r="IE88" s="1"/>
      <c r="IF88" s="487"/>
      <c r="IG88" s="1"/>
      <c r="IH88" s="487"/>
      <c r="II88" s="1"/>
      <c r="IJ88" s="487"/>
      <c r="IK88" s="1"/>
      <c r="IL88" s="487"/>
      <c r="IM88" s="1"/>
      <c r="IN88" s="487"/>
      <c r="IO88" s="1"/>
      <c r="IP88" s="487">
        <v>-15.830769230769231</v>
      </c>
      <c r="IQ88" s="1">
        <v>0</v>
      </c>
      <c r="IR88" s="487">
        <v>-7.3</v>
      </c>
      <c r="IS88" s="1">
        <v>0</v>
      </c>
      <c r="IT88" s="487">
        <v>-10.376923076923076</v>
      </c>
      <c r="IU88" s="1">
        <v>0.33333333333333331</v>
      </c>
      <c r="IV88" s="487">
        <v>-7.9153846153846148</v>
      </c>
      <c r="IW88" s="1">
        <v>0</v>
      </c>
      <c r="IX88" s="487">
        <v>-5.1538461538461542</v>
      </c>
      <c r="IY88" s="1">
        <v>0.5</v>
      </c>
      <c r="IZ88" s="487">
        <v>-16.153846153846153</v>
      </c>
      <c r="JA88" s="1">
        <v>0</v>
      </c>
      <c r="JB88" s="487">
        <v>-19</v>
      </c>
      <c r="JC88" s="1">
        <v>0.16666666666666666</v>
      </c>
      <c r="JD88" s="487">
        <v>22.784615384615385</v>
      </c>
      <c r="JE88" s="1">
        <v>1</v>
      </c>
      <c r="JF88" s="487">
        <v>-15.46153846153846</v>
      </c>
      <c r="JG88" s="1">
        <v>0</v>
      </c>
      <c r="JH88" s="487">
        <v>-9.3923076923076927</v>
      </c>
      <c r="JI88" s="1">
        <v>0.2</v>
      </c>
      <c r="JJ88" s="487">
        <v>-18.330769230769231</v>
      </c>
      <c r="JK88" s="1">
        <v>0</v>
      </c>
      <c r="JL88" s="487"/>
      <c r="JM88" s="1"/>
      <c r="JN88" s="487"/>
      <c r="JO88" s="1"/>
      <c r="JP88" s="487">
        <v>1.7153846153846164</v>
      </c>
      <c r="JQ88" s="1">
        <v>0.375</v>
      </c>
      <c r="JR88" s="487">
        <v>-6.8692307692307688</v>
      </c>
      <c r="JS88" s="1">
        <v>0</v>
      </c>
      <c r="JT88" s="487">
        <v>-15.692307692307693</v>
      </c>
      <c r="JU88" s="1">
        <v>0</v>
      </c>
      <c r="JV88" s="487">
        <v>-16.261538461538464</v>
      </c>
      <c r="JW88" s="1">
        <v>0.2</v>
      </c>
      <c r="JX88" s="487"/>
      <c r="JY88" s="1"/>
      <c r="JZ88" s="487">
        <v>23.8</v>
      </c>
      <c r="KA88" s="1">
        <v>0.5</v>
      </c>
      <c r="KB88" s="487">
        <v>9.2923076923076913</v>
      </c>
      <c r="KC88" s="1">
        <v>1</v>
      </c>
      <c r="KD88" s="487">
        <v>23.784615384615382</v>
      </c>
      <c r="KE88" s="1">
        <v>0.5</v>
      </c>
      <c r="KF88" s="487">
        <v>49.730769230769234</v>
      </c>
      <c r="KG88" s="1">
        <v>0.75</v>
      </c>
      <c r="KH88" s="487">
        <v>-15.05384615384615</v>
      </c>
      <c r="KI88" s="1">
        <v>0</v>
      </c>
      <c r="KJ88" s="487">
        <v>-15.430769230769233</v>
      </c>
      <c r="KK88" s="1">
        <v>0</v>
      </c>
      <c r="KL88" s="487">
        <v>15.023076923076923</v>
      </c>
      <c r="KM88" s="1">
        <v>0.5</v>
      </c>
      <c r="KN88" s="487">
        <v>-16.323076923076922</v>
      </c>
      <c r="KO88" s="1">
        <v>0</v>
      </c>
      <c r="KP88" s="487"/>
      <c r="KQ88" s="1"/>
      <c r="KR88" s="487">
        <v>-15.084615384615384</v>
      </c>
      <c r="KS88" s="170">
        <v>0</v>
      </c>
      <c r="KT88" s="487"/>
      <c r="KU88" s="8"/>
      <c r="KV88" s="487">
        <v>6.0923076923076911</v>
      </c>
      <c r="KW88" s="8">
        <v>0.25</v>
      </c>
      <c r="KX88" s="487">
        <v>20.969230769230766</v>
      </c>
      <c r="KY88" s="8">
        <v>0.5</v>
      </c>
      <c r="KZ88" s="487">
        <v>8.092307692307692</v>
      </c>
      <c r="LA88" s="8">
        <v>0.33333333333333331</v>
      </c>
      <c r="LB88" s="487">
        <v>14.153846153846152</v>
      </c>
      <c r="LC88" s="8">
        <v>0.5</v>
      </c>
      <c r="LD88" s="487">
        <v>-15.523076923076923</v>
      </c>
      <c r="LE88" s="8">
        <v>0</v>
      </c>
      <c r="LF88" s="487">
        <v>14.407692307692304</v>
      </c>
      <c r="LG88" s="8">
        <v>0.5</v>
      </c>
      <c r="LH88" s="487">
        <v>-16.676923076923075</v>
      </c>
      <c r="LI88" s="8">
        <v>0</v>
      </c>
      <c r="LJ88" s="487"/>
      <c r="LK88" s="8"/>
      <c r="LL88" s="487">
        <v>-6.9230769230769216</v>
      </c>
      <c r="LM88" s="8">
        <v>0.33333333333333331</v>
      </c>
      <c r="LN88" s="487">
        <v>-15.446153846153846</v>
      </c>
      <c r="LO88" s="8">
        <v>0</v>
      </c>
      <c r="LP88" s="487">
        <v>-15.530769230769229</v>
      </c>
      <c r="LQ88" s="8">
        <v>0</v>
      </c>
      <c r="LR88" s="487">
        <v>23.138461538461538</v>
      </c>
      <c r="LS88" s="8">
        <v>0.5</v>
      </c>
      <c r="LT88" s="487">
        <v>-18.115384615384617</v>
      </c>
      <c r="LU88" s="8">
        <v>0</v>
      </c>
      <c r="LV88" s="487"/>
      <c r="LW88" s="8"/>
      <c r="LX88" s="487"/>
      <c r="LY88" s="8"/>
      <c r="LZ88" s="487"/>
      <c r="MA88" s="8"/>
      <c r="MB88" s="487">
        <v>22.884615384615383</v>
      </c>
      <c r="MC88" s="1">
        <v>1</v>
      </c>
      <c r="MD88" s="487"/>
      <c r="ME88" s="1"/>
      <c r="MF88" s="487">
        <v>16.192307692307693</v>
      </c>
      <c r="MG88" s="1">
        <v>0.5</v>
      </c>
      <c r="MH88" s="487">
        <v>-7.0153846153846144</v>
      </c>
      <c r="MI88" s="1">
        <v>0</v>
      </c>
      <c r="MJ88" s="487">
        <v>-6.6230769230769226</v>
      </c>
      <c r="MK88" s="1">
        <v>0</v>
      </c>
      <c r="ML88" s="487">
        <v>18.484615384615385</v>
      </c>
      <c r="MM88" s="1">
        <v>0.5</v>
      </c>
      <c r="MN88" s="487">
        <v>-14.32307692307692</v>
      </c>
      <c r="MO88" s="1">
        <v>0</v>
      </c>
      <c r="MP88" s="487">
        <v>-17.807692307692307</v>
      </c>
      <c r="MQ88" s="1">
        <v>0</v>
      </c>
      <c r="MR88" s="487">
        <v>3.0076923076923077</v>
      </c>
      <c r="MS88" s="1">
        <v>0.33333333333333331</v>
      </c>
      <c r="MT88" s="487">
        <v>-17.376923076923077</v>
      </c>
      <c r="MU88" s="1">
        <v>0</v>
      </c>
      <c r="MV88" s="487">
        <v>-17.776923076923076</v>
      </c>
      <c r="MW88" s="1">
        <v>0</v>
      </c>
      <c r="MX88" s="487">
        <v>-18.538461538461537</v>
      </c>
      <c r="MY88" s="1">
        <v>0</v>
      </c>
      <c r="MZ88" s="487">
        <v>-15.499999999999998</v>
      </c>
      <c r="NA88" s="1">
        <v>0</v>
      </c>
      <c r="NB88" s="487">
        <v>-16.407692307692304</v>
      </c>
      <c r="NC88" s="1">
        <v>0</v>
      </c>
      <c r="ND88" s="487"/>
      <c r="NE88" s="1"/>
      <c r="NF88" s="487">
        <v>-15.661538461538461</v>
      </c>
      <c r="NG88" s="1">
        <v>0</v>
      </c>
      <c r="NH88" s="487">
        <v>-15.661538461538461</v>
      </c>
      <c r="NI88" s="1">
        <v>0</v>
      </c>
      <c r="NJ88" s="487">
        <v>-14.59230769230769</v>
      </c>
      <c r="NK88" s="1">
        <v>0</v>
      </c>
      <c r="NL88" s="487">
        <v>12.32307692307692</v>
      </c>
      <c r="NM88" s="1">
        <v>0.33333333333333331</v>
      </c>
      <c r="NN88" s="487"/>
      <c r="NO88" s="1"/>
      <c r="NP88" s="487">
        <v>21.007692307692306</v>
      </c>
      <c r="NQ88" s="1">
        <v>1</v>
      </c>
      <c r="NR88" s="487">
        <v>-7.0307692307692307</v>
      </c>
      <c r="NS88" s="1">
        <v>0</v>
      </c>
      <c r="NT88" s="487">
        <v>-6.8615384615384611</v>
      </c>
      <c r="NU88" s="1">
        <v>0</v>
      </c>
      <c r="NV88" s="487">
        <v>-13.015384615384614</v>
      </c>
      <c r="NW88" s="1">
        <v>0</v>
      </c>
      <c r="NX88" s="487"/>
      <c r="NY88" s="1"/>
      <c r="NZ88" s="487">
        <v>21.23076923076923</v>
      </c>
      <c r="OA88" s="1">
        <v>1</v>
      </c>
      <c r="OB88" s="487">
        <v>-15.753846153846153</v>
      </c>
      <c r="OC88" s="1">
        <v>0</v>
      </c>
      <c r="OD88" s="487"/>
      <c r="OE88" s="1"/>
      <c r="OF88" s="487">
        <v>13.80769230769231</v>
      </c>
      <c r="OG88" s="1">
        <v>0.5</v>
      </c>
      <c r="OH88" s="487">
        <v>-18.03846153846154</v>
      </c>
      <c r="OI88" s="1">
        <v>0</v>
      </c>
      <c r="OJ88" s="487"/>
      <c r="OK88" s="1"/>
      <c r="OL88" s="487">
        <v>-18.046153846153846</v>
      </c>
      <c r="OM88" s="1">
        <v>0</v>
      </c>
      <c r="ON88" s="487">
        <v>-16.446153846153848</v>
      </c>
      <c r="OO88" s="1">
        <v>0</v>
      </c>
      <c r="OP88" s="487">
        <v>-18.346153846153843</v>
      </c>
      <c r="OQ88" s="1">
        <v>0</v>
      </c>
      <c r="OR88" s="487">
        <v>-17.176923076923075</v>
      </c>
      <c r="OS88" s="1">
        <v>0</v>
      </c>
      <c r="OT88" s="487">
        <v>-19.569230769230771</v>
      </c>
      <c r="OU88" s="1">
        <v>0</v>
      </c>
      <c r="OV88" s="487"/>
      <c r="OW88" s="1"/>
      <c r="OX88" s="487">
        <v>-18.26923076923077</v>
      </c>
      <c r="OY88" s="1">
        <v>0</v>
      </c>
      <c r="OZ88" s="487"/>
      <c r="PA88" s="1"/>
      <c r="PB88" s="487">
        <v>-19.830769230769231</v>
      </c>
      <c r="PC88" s="1">
        <v>0</v>
      </c>
      <c r="PD88" s="487">
        <v>18.846153846153847</v>
      </c>
      <c r="PE88" s="1">
        <v>0.5</v>
      </c>
      <c r="PF88" s="487">
        <v>-16.784615384615385</v>
      </c>
      <c r="PG88" s="1">
        <v>0</v>
      </c>
      <c r="PH88" s="487">
        <v>51.146153846153844</v>
      </c>
      <c r="PI88" s="1">
        <v>0.75</v>
      </c>
      <c r="PJ88" s="487"/>
      <c r="PK88" s="1"/>
      <c r="PL88" s="487"/>
      <c r="PM88" s="1"/>
      <c r="PN88" s="487">
        <v>-17.599999999999998</v>
      </c>
      <c r="PO88" s="1">
        <v>0</v>
      </c>
      <c r="PP88" s="487">
        <v>-7.615384615384615</v>
      </c>
      <c r="PQ88" s="1">
        <v>0</v>
      </c>
      <c r="PR88" s="487"/>
      <c r="PS88" s="1"/>
      <c r="PT88" s="487">
        <v>21.915384615384614</v>
      </c>
      <c r="PU88" s="1">
        <v>1</v>
      </c>
      <c r="PV88" s="487">
        <v>-17.23076923076923</v>
      </c>
      <c r="PW88" s="1">
        <v>0</v>
      </c>
      <c r="PX88" s="487">
        <v>27.038461538461537</v>
      </c>
      <c r="PY88" s="1">
        <v>0.4</v>
      </c>
      <c r="PZ88" s="487">
        <v>-0.13076923076923208</v>
      </c>
      <c r="QA88" s="1">
        <v>0.25</v>
      </c>
      <c r="QB88" s="487">
        <v>-21.18461538461538</v>
      </c>
      <c r="QC88" s="1">
        <v>0</v>
      </c>
      <c r="QD88" s="487">
        <v>-19.869230769230768</v>
      </c>
      <c r="QE88" s="1">
        <v>0</v>
      </c>
      <c r="QF88" s="487">
        <v>-16.238461538461539</v>
      </c>
      <c r="QG88" s="1">
        <v>0</v>
      </c>
      <c r="QH88" s="487">
        <v>-16.661538461538463</v>
      </c>
      <c r="QI88" s="1">
        <v>0</v>
      </c>
      <c r="QJ88" s="487">
        <v>-17.45384615384615</v>
      </c>
      <c r="QK88" s="1">
        <v>0</v>
      </c>
      <c r="QL88" s="487">
        <v>-17.376923076923077</v>
      </c>
      <c r="QM88" s="1">
        <v>0</v>
      </c>
      <c r="QN88" s="487">
        <v>31.476923076923079</v>
      </c>
      <c r="QO88" s="1">
        <v>1</v>
      </c>
      <c r="QP88" s="487">
        <v>-15.707692307692309</v>
      </c>
      <c r="QQ88" s="1">
        <v>0.16666666666666666</v>
      </c>
      <c r="QR88" s="487">
        <v>-9.2923076923076895</v>
      </c>
      <c r="QS88" s="1">
        <v>0.2</v>
      </c>
      <c r="QT88" s="487"/>
      <c r="QU88" s="1"/>
      <c r="QV88" s="487">
        <v>-17.261538461538461</v>
      </c>
      <c r="QW88" s="1">
        <v>0</v>
      </c>
      <c r="QX88" s="487">
        <v>-7.5</v>
      </c>
      <c r="QY88" s="1">
        <v>0</v>
      </c>
      <c r="QZ88" s="487"/>
      <c r="RA88" s="1"/>
      <c r="RB88" s="487">
        <v>-17.138461538461538</v>
      </c>
      <c r="RC88" s="1">
        <v>0</v>
      </c>
      <c r="RD88" s="487">
        <v>36.907692307692301</v>
      </c>
      <c r="RE88" s="1">
        <v>0.75</v>
      </c>
      <c r="RF88" s="487">
        <v>-5.8999999999999995</v>
      </c>
      <c r="RG88" s="1">
        <v>0.5</v>
      </c>
      <c r="RH88" s="487">
        <v>-13.323076923076924</v>
      </c>
      <c r="RI88" s="1">
        <v>0.25</v>
      </c>
      <c r="RJ88" s="487">
        <v>-16.753846153846155</v>
      </c>
      <c r="RK88" s="1">
        <v>0</v>
      </c>
      <c r="RL88" s="487">
        <v>29.315384615384612</v>
      </c>
      <c r="RM88" s="1">
        <v>0.5</v>
      </c>
      <c r="RN88" s="487">
        <v>-16.515384615384615</v>
      </c>
      <c r="RO88" s="1">
        <v>0.16666666666666666</v>
      </c>
      <c r="RP88" s="487">
        <v>-17.092307692307692</v>
      </c>
      <c r="RQ88" s="1">
        <v>0</v>
      </c>
      <c r="RR88" s="487">
        <v>-7.8307692307692305</v>
      </c>
      <c r="RS88" s="1">
        <v>0</v>
      </c>
      <c r="RT88" s="487">
        <v>-19.176923076923075</v>
      </c>
      <c r="RU88" s="1">
        <v>0</v>
      </c>
      <c r="RV88" s="487">
        <v>-17.323076923076925</v>
      </c>
      <c r="RW88" s="1">
        <v>0</v>
      </c>
      <c r="RX88" s="487">
        <v>-16.5</v>
      </c>
      <c r="RY88" s="1">
        <v>0</v>
      </c>
      <c r="RZ88" s="487">
        <v>31.553846153846148</v>
      </c>
      <c r="SA88" s="1">
        <v>1</v>
      </c>
      <c r="SB88" s="487">
        <v>-15.6</v>
      </c>
      <c r="SC88" s="1">
        <v>0</v>
      </c>
      <c r="SD88" s="487"/>
      <c r="SE88" s="1"/>
      <c r="SF88" s="487"/>
      <c r="SG88" s="1"/>
      <c r="SH88" s="487">
        <v>-18.161538461538459</v>
      </c>
      <c r="SI88" s="1">
        <v>0</v>
      </c>
      <c r="SJ88" s="487">
        <v>-16.738461538461536</v>
      </c>
      <c r="SK88" s="1">
        <v>0</v>
      </c>
      <c r="SL88" s="487">
        <v>-16.446153846153845</v>
      </c>
      <c r="SM88" s="1">
        <v>0</v>
      </c>
      <c r="SN88" s="487">
        <v>-17.361538461538462</v>
      </c>
      <c r="SO88" s="1">
        <v>0</v>
      </c>
      <c r="SP88" s="487">
        <v>-17.584615384615383</v>
      </c>
      <c r="SQ88" s="1">
        <v>0</v>
      </c>
      <c r="SR88" s="487">
        <v>22.053846153846155</v>
      </c>
      <c r="SS88" s="1">
        <v>1</v>
      </c>
      <c r="ST88" s="487">
        <v>-3.7923076923076904</v>
      </c>
      <c r="SU88" s="1">
        <v>0.33333333333333331</v>
      </c>
      <c r="SV88" s="487">
        <v>30.330769230769228</v>
      </c>
      <c r="SW88" s="1">
        <v>0.66666666666666663</v>
      </c>
      <c r="SX88" s="487"/>
      <c r="SY88" s="1"/>
      <c r="SZ88" s="487">
        <v>-15.738461538461536</v>
      </c>
      <c r="TA88" s="1">
        <v>0</v>
      </c>
      <c r="TB88" s="487">
        <v>5.7769230769230768</v>
      </c>
      <c r="TC88" s="1">
        <v>0.33333333333333331</v>
      </c>
      <c r="TD88" s="487">
        <v>-17.338461538461537</v>
      </c>
      <c r="TE88" s="1">
        <v>0</v>
      </c>
      <c r="TF88" s="487"/>
      <c r="TG88" s="1"/>
      <c r="TH88" s="488">
        <v>3.8461538461538458</v>
      </c>
      <c r="TI88" s="1">
        <v>0.5</v>
      </c>
      <c r="TJ88" s="489"/>
      <c r="TK88" s="1"/>
      <c r="TL88" s="490">
        <v>7.1923076923076916</v>
      </c>
      <c r="TM88" s="1">
        <v>0.33333333333333331</v>
      </c>
      <c r="TN88" s="495"/>
      <c r="TO88" s="1"/>
      <c r="TP88" s="500">
        <v>28.907692307692304</v>
      </c>
      <c r="TQ88" s="1">
        <v>0.5</v>
      </c>
      <c r="TR88" s="511">
        <v>-16.869230769230768</v>
      </c>
      <c r="TS88" s="1">
        <v>0</v>
      </c>
      <c r="TT88" s="515">
        <v>-16.407692307692304</v>
      </c>
      <c r="TU88" s="1">
        <v>0</v>
      </c>
      <c r="TV88" s="518">
        <v>-8.5230769230769212</v>
      </c>
      <c r="TW88" s="1">
        <v>0.2</v>
      </c>
      <c r="TX88" s="521">
        <v>-16.776923076923079</v>
      </c>
      <c r="TY88" s="1">
        <v>0</v>
      </c>
      <c r="TZ88" s="524">
        <v>-17.630769230769229</v>
      </c>
      <c r="UA88" s="1">
        <v>0</v>
      </c>
      <c r="UB88" s="527">
        <v>-19.315384615384616</v>
      </c>
      <c r="UC88" s="1">
        <v>0</v>
      </c>
      <c r="UD88" s="530">
        <v>21.592307692307692</v>
      </c>
      <c r="UE88" s="1">
        <v>0.4</v>
      </c>
      <c r="UF88" s="533"/>
      <c r="UG88" s="1"/>
      <c r="UH88" s="536">
        <v>22.630769230769232</v>
      </c>
      <c r="UI88" s="1">
        <v>1</v>
      </c>
      <c r="UJ88" s="539">
        <v>-16.338461538461541</v>
      </c>
      <c r="UK88" s="1">
        <v>0</v>
      </c>
      <c r="UL88" s="540">
        <v>-16.976923076923075</v>
      </c>
      <c r="UM88" s="1">
        <v>0</v>
      </c>
      <c r="UN88" s="543">
        <v>-17.046153846153846</v>
      </c>
      <c r="UO88" s="1">
        <v>0</v>
      </c>
      <c r="UP88" s="544">
        <v>-17.176923076923075</v>
      </c>
      <c r="UQ88" s="1">
        <v>0</v>
      </c>
      <c r="UR88" s="551"/>
      <c r="US88" s="1"/>
      <c r="UT88" s="551">
        <v>-17.161538461538459</v>
      </c>
      <c r="UU88" s="1">
        <v>0</v>
      </c>
      <c r="UV88" s="562"/>
      <c r="UW88" s="1"/>
      <c r="UX88" s="566">
        <v>-16.861538461538462</v>
      </c>
      <c r="UY88" s="1">
        <v>0</v>
      </c>
      <c r="UZ88" s="568"/>
      <c r="VA88" s="1"/>
      <c r="VB88" s="572">
        <v>-18.438461538461539</v>
      </c>
      <c r="VC88" s="1">
        <v>0</v>
      </c>
      <c r="VD88" s="576">
        <v>-17.18461538461538</v>
      </c>
      <c r="VE88" s="1">
        <v>0</v>
      </c>
      <c r="VF88" s="580"/>
      <c r="VG88" s="1"/>
      <c r="VH88" s="584">
        <v>-17.330769230769231</v>
      </c>
      <c r="VI88" s="1">
        <v>0</v>
      </c>
      <c r="VJ88" s="589"/>
      <c r="VK88" s="1"/>
      <c r="VL88" s="593">
        <v>-16.776923076923076</v>
      </c>
      <c r="VM88" s="1">
        <v>0</v>
      </c>
      <c r="VN88" s="597"/>
      <c r="VO88" s="1"/>
      <c r="VP88" s="601">
        <v>-16.753846153846155</v>
      </c>
      <c r="VQ88" s="1">
        <v>0</v>
      </c>
      <c r="VR88" s="603"/>
      <c r="VS88" s="1"/>
      <c r="VT88" s="607"/>
      <c r="VU88" s="1"/>
      <c r="VV88" s="609">
        <v>-16.838461538461537</v>
      </c>
      <c r="VW88" s="1">
        <v>0</v>
      </c>
      <c r="VX88" s="613">
        <v>42.976923076923072</v>
      </c>
      <c r="VY88" s="1">
        <v>0.66666666666666663</v>
      </c>
      <c r="VZ88" s="617">
        <v>1.8538461538461526</v>
      </c>
      <c r="WA88" s="1">
        <v>0.5</v>
      </c>
      <c r="WB88" s="619">
        <v>-17.792307692307688</v>
      </c>
      <c r="WC88" s="1">
        <v>0</v>
      </c>
      <c r="WD88" s="624">
        <v>4.2769230769230759</v>
      </c>
      <c r="WE88" s="1">
        <v>0.25</v>
      </c>
      <c r="WF88" s="626">
        <v>-18.884615384615387</v>
      </c>
      <c r="WG88" s="1">
        <v>0</v>
      </c>
      <c r="WH88" s="630">
        <v>-17.692307692307693</v>
      </c>
      <c r="WI88" s="1">
        <v>0</v>
      </c>
      <c r="WJ88" s="636">
        <v>-0.80769230769230826</v>
      </c>
      <c r="WK88" s="1">
        <v>0.33333333333333331</v>
      </c>
      <c r="WL88" s="638">
        <v>-16.976923076923075</v>
      </c>
      <c r="WM88" s="1">
        <v>0</v>
      </c>
      <c r="WN88" s="642">
        <v>-19.592307692307692</v>
      </c>
      <c r="WO88" s="1">
        <v>0</v>
      </c>
      <c r="WP88" s="646"/>
      <c r="WQ88" s="1"/>
      <c r="WR88" s="652"/>
      <c r="WS88" s="1"/>
      <c r="WT88" s="659">
        <v>-14.184615384615382</v>
      </c>
      <c r="WU88" s="1">
        <v>0.33333333333333331</v>
      </c>
      <c r="WV88" s="659">
        <v>21.638461538461538</v>
      </c>
      <c r="WW88" s="1">
        <v>0.4</v>
      </c>
      <c r="WX88" s="672"/>
      <c r="WY88" s="1"/>
      <c r="WZ88" s="677"/>
      <c r="XA88" s="1"/>
      <c r="XB88" s="681"/>
      <c r="XC88" s="1"/>
      <c r="XD88" s="683"/>
      <c r="XE88" s="1"/>
      <c r="XF88" s="687">
        <v>-15.36153846153846</v>
      </c>
      <c r="XG88" s="1">
        <v>0</v>
      </c>
      <c r="XH88" s="689"/>
      <c r="XI88" s="1"/>
      <c r="XJ88" s="696"/>
      <c r="XK88" s="1"/>
      <c r="XL88" s="696"/>
      <c r="XM88" s="1"/>
      <c r="XN88" s="696"/>
      <c r="XO88" s="1"/>
      <c r="XP88" s="700"/>
      <c r="XQ88" s="1"/>
      <c r="XR88" s="705"/>
      <c r="XS88" s="1"/>
      <c r="XT88" s="709"/>
      <c r="XU88" s="1"/>
      <c r="XV88" s="715">
        <v>-16.776923076923076</v>
      </c>
      <c r="XW88" s="1">
        <v>0</v>
      </c>
    </row>
    <row r="89" spans="2:647" x14ac:dyDescent="0.25">
      <c r="B89" s="755"/>
      <c r="C89" s="762"/>
      <c r="D89" s="766" t="s">
        <v>48</v>
      </c>
      <c r="E89" s="766"/>
      <c r="F89" s="482">
        <v>1.4</v>
      </c>
      <c r="G89" s="475" t="s">
        <v>49</v>
      </c>
      <c r="H89" s="6"/>
      <c r="I89" s="6"/>
      <c r="J89" s="6"/>
      <c r="K89" s="6"/>
      <c r="L89" s="6"/>
      <c r="M89" s="6"/>
      <c r="N89" s="6"/>
      <c r="O89" s="6"/>
      <c r="P89" s="6"/>
      <c r="Q89" s="6"/>
      <c r="R89" s="6"/>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c r="BH89" s="6"/>
      <c r="BI89" s="6"/>
      <c r="BJ89" s="6"/>
      <c r="BK89" s="6"/>
      <c r="BL89" s="6"/>
      <c r="BM89" s="6"/>
      <c r="BN89" s="6"/>
      <c r="BO89" s="6"/>
      <c r="BP89" s="6"/>
      <c r="BQ89" s="6"/>
      <c r="BR89" s="6"/>
      <c r="BS89" s="6"/>
      <c r="BT89" s="6"/>
      <c r="BU89" s="6"/>
      <c r="BV89" s="6"/>
      <c r="BW89" s="6"/>
      <c r="BX89" s="6"/>
      <c r="BY89" s="6"/>
      <c r="BZ89" s="6"/>
      <c r="CA89" s="6"/>
      <c r="CB89" s="6"/>
      <c r="CC89" s="6"/>
      <c r="CD89" s="6"/>
      <c r="CE89" s="6"/>
      <c r="CF89" s="6"/>
      <c r="CG89" s="6"/>
      <c r="CH89" s="6"/>
      <c r="CI89" s="6"/>
      <c r="CJ89" s="6"/>
      <c r="CK89" s="6"/>
      <c r="CL89" s="6"/>
      <c r="CM89" s="6"/>
      <c r="CN89" s="6"/>
      <c r="CO89" s="6"/>
      <c r="CP89" s="6"/>
      <c r="CQ89" s="6"/>
      <c r="CR89" s="6"/>
      <c r="CS89" s="6"/>
      <c r="CT89" s="6"/>
      <c r="CU89" s="6"/>
      <c r="CV89" s="6"/>
      <c r="CW89" s="6"/>
      <c r="CX89" s="6"/>
      <c r="CY89" s="6"/>
      <c r="CZ89" s="6"/>
      <c r="DA89" s="6"/>
      <c r="DB89" s="6"/>
      <c r="DC89" s="6"/>
      <c r="DD89" s="6"/>
      <c r="DE89" s="6"/>
      <c r="DF89" s="6"/>
      <c r="DG89" s="6"/>
      <c r="DH89" s="6"/>
      <c r="DI89" s="6"/>
      <c r="DJ89" s="6"/>
      <c r="DK89" s="6"/>
      <c r="DL89" s="6"/>
      <c r="DM89" s="6"/>
      <c r="DN89" s="6"/>
      <c r="DO89" s="6"/>
      <c r="DP89" s="6"/>
      <c r="DQ89" s="6"/>
      <c r="DR89" s="6"/>
      <c r="DS89" s="6"/>
      <c r="DT89" s="6"/>
      <c r="DU89" s="6"/>
      <c r="DV89" s="6"/>
      <c r="DW89" s="6"/>
      <c r="DX89" s="6"/>
      <c r="DY89" s="6"/>
      <c r="DZ89" s="6"/>
      <c r="EA89" s="6"/>
      <c r="EB89" s="6"/>
      <c r="EC89" s="6"/>
      <c r="ED89" s="6"/>
      <c r="EE89" s="6"/>
      <c r="EF89" s="6"/>
      <c r="EG89" s="6"/>
      <c r="EH89" s="6"/>
      <c r="EI89" s="6"/>
      <c r="EJ89" s="6"/>
      <c r="EK89" s="6"/>
      <c r="EL89" s="6"/>
      <c r="EM89" s="6"/>
      <c r="EN89" s="6"/>
      <c r="EO89" s="6"/>
      <c r="EP89" s="6"/>
      <c r="EQ89" s="6"/>
      <c r="ER89" s="487"/>
      <c r="ES89" s="1"/>
      <c r="ET89" s="487"/>
      <c r="EU89" s="1"/>
      <c r="EV89" s="487"/>
      <c r="EW89" s="1"/>
      <c r="EX89" s="487"/>
      <c r="EY89" s="1"/>
      <c r="EZ89" s="487"/>
      <c r="FA89" s="1"/>
      <c r="FB89" s="487"/>
      <c r="FC89" s="1"/>
      <c r="FD89" s="487"/>
      <c r="FE89" s="1"/>
      <c r="FF89" s="487"/>
      <c r="FG89" s="1"/>
      <c r="FH89" s="487"/>
      <c r="FI89" s="1"/>
      <c r="FJ89" s="487"/>
      <c r="FK89" s="1"/>
      <c r="FL89" s="487"/>
      <c r="FM89" s="1"/>
      <c r="FN89" s="487"/>
      <c r="FO89" s="1"/>
      <c r="FP89" s="487"/>
      <c r="FQ89" s="1"/>
      <c r="FR89" s="487"/>
      <c r="FS89" s="1"/>
      <c r="FT89" s="487"/>
      <c r="FU89" s="1"/>
      <c r="FV89" s="487"/>
      <c r="FW89" s="1"/>
      <c r="FX89" s="487"/>
      <c r="FY89" s="1"/>
      <c r="FZ89" s="487"/>
      <c r="GA89" s="1"/>
      <c r="GB89" s="487"/>
      <c r="GC89" s="1"/>
      <c r="GD89" s="487"/>
      <c r="GE89" s="1"/>
      <c r="GF89" s="487"/>
      <c r="GG89" s="1"/>
      <c r="GH89" s="487"/>
      <c r="GI89" s="1"/>
      <c r="GJ89" s="487"/>
      <c r="GK89" s="1"/>
      <c r="GL89" s="487"/>
      <c r="GM89" s="1"/>
      <c r="GN89" s="487"/>
      <c r="GO89" s="1"/>
      <c r="GP89" s="487"/>
      <c r="GQ89" s="1"/>
      <c r="GR89" s="487"/>
      <c r="GS89" s="1"/>
      <c r="GT89" s="487"/>
      <c r="GU89" s="1"/>
      <c r="GV89" s="487"/>
      <c r="GW89" s="1"/>
      <c r="GX89" s="487"/>
      <c r="GY89" s="1"/>
      <c r="GZ89" s="487"/>
      <c r="HA89" s="1"/>
      <c r="HB89" s="487"/>
      <c r="HC89" s="1"/>
      <c r="HD89" s="487"/>
      <c r="HE89" s="1"/>
      <c r="HF89" s="487"/>
      <c r="HG89" s="1"/>
      <c r="HH89" s="487"/>
      <c r="HI89" s="1"/>
      <c r="HJ89" s="487"/>
      <c r="HK89" s="1"/>
      <c r="HL89" s="487"/>
      <c r="HM89" s="1"/>
      <c r="HN89" s="487"/>
      <c r="HO89" s="1"/>
      <c r="HP89" s="487"/>
      <c r="HQ89" s="1"/>
      <c r="HR89" s="487"/>
      <c r="HS89" s="1"/>
      <c r="HT89" s="487"/>
      <c r="HU89" s="1"/>
      <c r="HV89" s="487"/>
      <c r="HW89" s="1"/>
      <c r="HX89" s="487"/>
      <c r="HY89" s="1"/>
      <c r="HZ89" s="487"/>
      <c r="IA89" s="1"/>
      <c r="IB89" s="487"/>
      <c r="IC89" s="1"/>
      <c r="ID89" s="487"/>
      <c r="IE89" s="1"/>
      <c r="IF89" s="487"/>
      <c r="IG89" s="1"/>
      <c r="IH89" s="487"/>
      <c r="II89" s="1"/>
      <c r="IJ89" s="487"/>
      <c r="IK89" s="1"/>
      <c r="IL89" s="487"/>
      <c r="IM89" s="1"/>
      <c r="IN89" s="487"/>
      <c r="IO89" s="1"/>
      <c r="IP89" s="487"/>
      <c r="IQ89" s="1"/>
      <c r="IR89" s="487"/>
      <c r="IS89" s="1"/>
      <c r="IT89" s="487"/>
      <c r="IU89" s="1"/>
      <c r="IV89" s="487"/>
      <c r="IW89" s="1"/>
      <c r="IX89" s="487"/>
      <c r="IY89" s="1"/>
      <c r="IZ89" s="487"/>
      <c r="JA89" s="1"/>
      <c r="JB89" s="487"/>
      <c r="JC89" s="1"/>
      <c r="JD89" s="487"/>
      <c r="JE89" s="1"/>
      <c r="JF89" s="487"/>
      <c r="JG89" s="1"/>
      <c r="JH89" s="487"/>
      <c r="JI89" s="1"/>
      <c r="JJ89" s="487"/>
      <c r="JK89" s="1"/>
      <c r="JL89" s="487"/>
      <c r="JM89" s="1"/>
      <c r="JN89" s="487"/>
      <c r="JO89" s="1"/>
      <c r="JP89" s="487"/>
      <c r="JQ89" s="1"/>
      <c r="JR89" s="487"/>
      <c r="JS89" s="1"/>
      <c r="JT89" s="487"/>
      <c r="JU89" s="1"/>
      <c r="JV89" s="487"/>
      <c r="JW89" s="1"/>
      <c r="JX89" s="487"/>
      <c r="JY89" s="1"/>
      <c r="JZ89" s="487"/>
      <c r="KA89" s="1"/>
      <c r="KB89" s="487"/>
      <c r="KC89" s="1"/>
      <c r="KD89" s="487"/>
      <c r="KE89" s="1"/>
      <c r="KF89" s="487"/>
      <c r="KG89" s="1"/>
      <c r="KH89" s="487"/>
      <c r="KI89" s="1"/>
      <c r="KJ89" s="487"/>
      <c r="KK89" s="1"/>
      <c r="KL89" s="487"/>
      <c r="KM89" s="1"/>
      <c r="KN89" s="487"/>
      <c r="KO89" s="1"/>
      <c r="KP89" s="487"/>
      <c r="KQ89" s="1"/>
      <c r="KR89" s="487"/>
      <c r="KS89" s="1"/>
      <c r="KT89" s="487"/>
      <c r="KU89" s="1"/>
      <c r="KV89" s="487"/>
      <c r="KW89" s="1"/>
      <c r="KX89" s="487"/>
      <c r="KY89" s="1"/>
      <c r="KZ89" s="487"/>
      <c r="LA89" s="1"/>
      <c r="LB89" s="487"/>
      <c r="LC89" s="1"/>
      <c r="LD89" s="487"/>
      <c r="LE89" s="1"/>
      <c r="LF89" s="487"/>
      <c r="LG89" s="1"/>
      <c r="LH89" s="487">
        <v>16.485714285714284</v>
      </c>
      <c r="LI89" s="1">
        <v>1</v>
      </c>
      <c r="LJ89" s="487"/>
      <c r="LK89" s="1"/>
      <c r="LL89" s="487">
        <v>-40.385714285714293</v>
      </c>
      <c r="LM89" s="1">
        <v>0.25</v>
      </c>
      <c r="LN89" s="487">
        <v>-23.428571428571434</v>
      </c>
      <c r="LO89" s="1">
        <v>0.33333333333333331</v>
      </c>
      <c r="LP89" s="487">
        <v>8.15</v>
      </c>
      <c r="LQ89" s="1">
        <v>1</v>
      </c>
      <c r="LR89" s="487">
        <v>37.814285714285717</v>
      </c>
      <c r="LS89" s="1">
        <v>1</v>
      </c>
      <c r="LT89" s="487">
        <v>16.928571428571431</v>
      </c>
      <c r="LU89" s="1">
        <v>1</v>
      </c>
      <c r="LV89" s="487"/>
      <c r="LW89" s="1"/>
      <c r="LX89" s="487"/>
      <c r="LY89" s="1"/>
      <c r="LZ89" s="487">
        <v>8.1642857142857146</v>
      </c>
      <c r="MA89" s="1">
        <v>1</v>
      </c>
      <c r="MB89" s="487">
        <v>-16.328571428571429</v>
      </c>
      <c r="MC89" s="1">
        <v>0</v>
      </c>
      <c r="MD89" s="487"/>
      <c r="ME89" s="1"/>
      <c r="MF89" s="487">
        <v>8.0857142857142872</v>
      </c>
      <c r="MG89" s="1">
        <v>1</v>
      </c>
      <c r="MH89" s="487"/>
      <c r="MI89" s="1"/>
      <c r="MJ89" s="487">
        <v>16.214285714285715</v>
      </c>
      <c r="MK89" s="1">
        <v>1</v>
      </c>
      <c r="ML89" s="487"/>
      <c r="MM89" s="1"/>
      <c r="MN89" s="487">
        <v>8.1642857142857146</v>
      </c>
      <c r="MO89" s="1">
        <v>1</v>
      </c>
      <c r="MP89" s="487">
        <v>-25.957142857142863</v>
      </c>
      <c r="MQ89" s="1">
        <v>0.33333333333333331</v>
      </c>
      <c r="MR89" s="487">
        <v>-7.9928571428571429</v>
      </c>
      <c r="MS89" s="1">
        <v>0.5</v>
      </c>
      <c r="MT89" s="487"/>
      <c r="MU89" s="1"/>
      <c r="MV89" s="487"/>
      <c r="MW89" s="1"/>
      <c r="MX89" s="487">
        <v>-23.914285714285718</v>
      </c>
      <c r="MY89" s="1">
        <v>0.33333333333333331</v>
      </c>
      <c r="MZ89" s="487">
        <v>-16.685714285714287</v>
      </c>
      <c r="NA89" s="1">
        <v>0</v>
      </c>
      <c r="NB89" s="487">
        <v>17.078571428571429</v>
      </c>
      <c r="NC89" s="1">
        <v>1</v>
      </c>
      <c r="ND89" s="487"/>
      <c r="NE89" s="1"/>
      <c r="NF89" s="487">
        <v>7.7285714285714295</v>
      </c>
      <c r="NG89" s="1">
        <v>1</v>
      </c>
      <c r="NH89" s="487">
        <v>7.7285714285714295</v>
      </c>
      <c r="NI89" s="1">
        <v>1</v>
      </c>
      <c r="NJ89" s="487"/>
      <c r="NK89" s="1"/>
      <c r="NL89" s="487">
        <v>-7.8571428571428577</v>
      </c>
      <c r="NM89" s="1">
        <v>0.5</v>
      </c>
      <c r="NN89" s="487"/>
      <c r="NO89" s="1"/>
      <c r="NP89" s="487">
        <v>-10.192857142857143</v>
      </c>
      <c r="NQ89" s="1">
        <v>0.33333333333333331</v>
      </c>
      <c r="NR89" s="487">
        <v>-32.6</v>
      </c>
      <c r="NS89" s="1">
        <v>0</v>
      </c>
      <c r="NT89" s="487">
        <v>8.1</v>
      </c>
      <c r="NU89" s="1">
        <v>0.75</v>
      </c>
      <c r="NV89" s="487">
        <v>-32.564285714285717</v>
      </c>
      <c r="NW89" s="1">
        <v>0</v>
      </c>
      <c r="NX89" s="487">
        <v>-3.5714285714286226E-2</v>
      </c>
      <c r="NY89" s="1">
        <v>0.66666666666666663</v>
      </c>
      <c r="NZ89" s="487"/>
      <c r="OA89" s="1"/>
      <c r="OB89" s="487"/>
      <c r="OC89" s="1"/>
      <c r="OD89" s="487"/>
      <c r="OE89" s="1"/>
      <c r="OF89" s="487">
        <v>-32.00714285714286</v>
      </c>
      <c r="OG89" s="1">
        <v>0.4</v>
      </c>
      <c r="OH89" s="487">
        <v>-16.464285714285715</v>
      </c>
      <c r="OI89" s="1">
        <v>0</v>
      </c>
      <c r="OJ89" s="487"/>
      <c r="OK89" s="1"/>
      <c r="OL89" s="487">
        <v>3.4785714285714286</v>
      </c>
      <c r="OM89" s="1">
        <v>1</v>
      </c>
      <c r="ON89" s="487">
        <v>32.671428571428571</v>
      </c>
      <c r="OO89" s="1">
        <v>1</v>
      </c>
      <c r="OP89" s="487">
        <v>0.3142857142857165</v>
      </c>
      <c r="OQ89" s="1">
        <v>0.66666666666666663</v>
      </c>
      <c r="OR89" s="487">
        <v>-8.0357142857142865</v>
      </c>
      <c r="OS89" s="1">
        <v>0.5</v>
      </c>
      <c r="OT89" s="487">
        <v>-8.6428571428571423</v>
      </c>
      <c r="OU89" s="1">
        <v>0.5</v>
      </c>
      <c r="OV89" s="487"/>
      <c r="OW89" s="1"/>
      <c r="OX89" s="487">
        <v>-15.907142857142858</v>
      </c>
      <c r="OY89" s="1">
        <v>0</v>
      </c>
      <c r="OZ89" s="487"/>
      <c r="PA89" s="1"/>
      <c r="PB89" s="487">
        <v>43.871428571428574</v>
      </c>
      <c r="PC89" s="1">
        <v>1</v>
      </c>
      <c r="PD89" s="487">
        <v>-7.0714285714285721</v>
      </c>
      <c r="PE89" s="1">
        <v>0</v>
      </c>
      <c r="PF89" s="487">
        <v>-16.150000000000002</v>
      </c>
      <c r="PG89" s="1">
        <v>0.5</v>
      </c>
      <c r="PH89" s="487">
        <v>2.8571428571429233E-2</v>
      </c>
      <c r="PI89" s="1">
        <v>0.66666666666666663</v>
      </c>
      <c r="PJ89" s="487"/>
      <c r="PK89" s="1"/>
      <c r="PL89" s="487"/>
      <c r="PM89" s="1"/>
      <c r="PN89" s="487"/>
      <c r="PO89" s="1"/>
      <c r="PP89" s="487">
        <v>-16.114285714285714</v>
      </c>
      <c r="PQ89" s="1">
        <v>0</v>
      </c>
      <c r="PR89" s="487"/>
      <c r="PS89" s="1"/>
      <c r="PT89" s="487">
        <v>-18.742857142857151</v>
      </c>
      <c r="PU89" s="1">
        <v>0.5</v>
      </c>
      <c r="PV89" s="487">
        <v>-32.421428571428571</v>
      </c>
      <c r="PW89" s="1">
        <v>0</v>
      </c>
      <c r="PX89" s="487"/>
      <c r="PY89" s="1"/>
      <c r="PZ89" s="487">
        <v>-49.578571428571429</v>
      </c>
      <c r="QA89" s="1">
        <v>0</v>
      </c>
      <c r="QB89" s="487">
        <v>-11.62857142857143</v>
      </c>
      <c r="QC89" s="1">
        <v>0.33333333333333331</v>
      </c>
      <c r="QD89" s="487">
        <v>-8.3928571428571441</v>
      </c>
      <c r="QE89" s="1">
        <v>0.5</v>
      </c>
      <c r="QF89" s="487">
        <v>-8.8214285714285712</v>
      </c>
      <c r="QG89" s="1">
        <v>0.5</v>
      </c>
      <c r="QH89" s="487">
        <v>-0.16428571428571459</v>
      </c>
      <c r="QI89" s="1">
        <v>0.66666666666666663</v>
      </c>
      <c r="QJ89" s="487">
        <v>-7.5857142857142872</v>
      </c>
      <c r="QK89" s="1">
        <v>0.5</v>
      </c>
      <c r="QL89" s="487">
        <v>-18.085714285714285</v>
      </c>
      <c r="QM89" s="1">
        <v>0.4</v>
      </c>
      <c r="QN89" s="487">
        <v>8.1214285714285719</v>
      </c>
      <c r="QO89" s="1">
        <v>1</v>
      </c>
      <c r="QP89" s="487"/>
      <c r="QQ89" s="1"/>
      <c r="QR89" s="487">
        <v>8.7142857142857135</v>
      </c>
      <c r="QS89" s="1">
        <v>1</v>
      </c>
      <c r="QT89" s="487"/>
      <c r="QU89" s="1"/>
      <c r="QV89" s="487">
        <v>-5.8857142857142835</v>
      </c>
      <c r="QW89" s="1">
        <v>0.66666666666666663</v>
      </c>
      <c r="QX89" s="487"/>
      <c r="QY89" s="1"/>
      <c r="QZ89" s="487"/>
      <c r="RA89" s="1"/>
      <c r="RB89" s="487">
        <v>-2.2357142857142862</v>
      </c>
      <c r="RC89" s="1">
        <v>0.5</v>
      </c>
      <c r="RD89" s="487">
        <v>8.0285714285714285</v>
      </c>
      <c r="RE89" s="1">
        <v>1</v>
      </c>
      <c r="RF89" s="487">
        <v>-10.842857142857143</v>
      </c>
      <c r="RG89" s="1">
        <v>0</v>
      </c>
      <c r="RH89" s="487">
        <v>2.5785714285714287</v>
      </c>
      <c r="RI89" s="1">
        <v>1</v>
      </c>
      <c r="RJ89" s="487">
        <v>8.2785714285714285</v>
      </c>
      <c r="RK89" s="1">
        <v>1</v>
      </c>
      <c r="RL89" s="487">
        <v>8.0500000000000007</v>
      </c>
      <c r="RM89" s="1">
        <v>1</v>
      </c>
      <c r="RN89" s="487">
        <v>0.27857142857142897</v>
      </c>
      <c r="RO89" s="1">
        <v>0.66666666666666663</v>
      </c>
      <c r="RP89" s="487">
        <v>-31.935714285714283</v>
      </c>
      <c r="RQ89" s="1">
        <v>0</v>
      </c>
      <c r="RR89" s="487">
        <v>8.0214285714285722</v>
      </c>
      <c r="RS89" s="1">
        <v>1</v>
      </c>
      <c r="RT89" s="487">
        <v>8.6714285714285726</v>
      </c>
      <c r="RU89" s="1">
        <v>1</v>
      </c>
      <c r="RV89" s="487">
        <v>33.1</v>
      </c>
      <c r="RW89" s="1">
        <v>1</v>
      </c>
      <c r="RX89" s="487">
        <v>8.4357142857142868</v>
      </c>
      <c r="RY89" s="1">
        <v>1</v>
      </c>
      <c r="RZ89" s="487">
        <v>-8.2142857142857153</v>
      </c>
      <c r="SA89" s="1">
        <v>0.5</v>
      </c>
      <c r="SB89" s="487">
        <v>1.3857142857142868</v>
      </c>
      <c r="SC89" s="1">
        <v>0.66666666666666663</v>
      </c>
      <c r="SD89" s="487"/>
      <c r="SE89" s="1"/>
      <c r="SF89" s="487"/>
      <c r="SG89" s="1"/>
      <c r="SH89" s="487"/>
      <c r="SI89" s="1"/>
      <c r="SJ89" s="487">
        <v>-0.70000000000000162</v>
      </c>
      <c r="SK89" s="1">
        <v>0.66666666666666663</v>
      </c>
      <c r="SL89" s="487"/>
      <c r="SM89" s="1"/>
      <c r="SN89" s="487">
        <v>14.435714285714287</v>
      </c>
      <c r="SO89" s="1">
        <v>0.66666666666666663</v>
      </c>
      <c r="SP89" s="487">
        <v>-0.74285714285714355</v>
      </c>
      <c r="SQ89" s="1">
        <v>0.66666666666666663</v>
      </c>
      <c r="SR89" s="487">
        <v>-7.5571428571428578</v>
      </c>
      <c r="SS89" s="1">
        <v>0.5</v>
      </c>
      <c r="ST89" s="487">
        <v>-22.371428571428574</v>
      </c>
      <c r="SU89" s="1">
        <v>0</v>
      </c>
      <c r="SV89" s="487">
        <v>-9.1214285714285737</v>
      </c>
      <c r="SW89" s="1">
        <v>0.5</v>
      </c>
      <c r="SX89" s="487"/>
      <c r="SY89" s="1"/>
      <c r="SZ89" s="487">
        <v>-2.1857142857142859</v>
      </c>
      <c r="TA89" s="1">
        <v>0</v>
      </c>
      <c r="TB89" s="487">
        <v>-18.55</v>
      </c>
      <c r="TC89" s="1">
        <v>0.4</v>
      </c>
      <c r="TD89" s="487">
        <v>-16.642857142857146</v>
      </c>
      <c r="TE89" s="1">
        <v>0</v>
      </c>
      <c r="TF89" s="487"/>
      <c r="TG89" s="1"/>
      <c r="TH89" s="488">
        <v>-7.7</v>
      </c>
      <c r="TI89" s="1">
        <v>0.5</v>
      </c>
      <c r="TJ89" s="489"/>
      <c r="TK89" s="1"/>
      <c r="TL89" s="490">
        <v>-16</v>
      </c>
      <c r="TM89" s="1">
        <v>0</v>
      </c>
      <c r="TN89" s="495"/>
      <c r="TO89" s="1"/>
      <c r="TP89" s="500"/>
      <c r="TQ89" s="1"/>
      <c r="TR89" s="511">
        <v>8.1142857142857157</v>
      </c>
      <c r="TS89" s="1">
        <v>0.75</v>
      </c>
      <c r="TT89" s="515">
        <v>7.7214285714285706</v>
      </c>
      <c r="TU89" s="1">
        <v>0.75</v>
      </c>
      <c r="TV89" s="518">
        <v>-15.678571428571429</v>
      </c>
      <c r="TW89" s="1">
        <v>0</v>
      </c>
      <c r="TX89" s="521">
        <v>-8.0928571428571434</v>
      </c>
      <c r="TY89" s="1">
        <v>0.5</v>
      </c>
      <c r="TZ89" s="524">
        <v>16.500000000000004</v>
      </c>
      <c r="UA89" s="1">
        <v>1</v>
      </c>
      <c r="UB89" s="527">
        <v>-16.00714285714286</v>
      </c>
      <c r="UC89" s="1">
        <v>0</v>
      </c>
      <c r="UD89" s="530">
        <v>-23.342857142857145</v>
      </c>
      <c r="UE89" s="1">
        <v>0.33333333333333331</v>
      </c>
      <c r="UF89" s="533"/>
      <c r="UG89" s="1"/>
      <c r="UH89" s="536">
        <v>28.814285714285713</v>
      </c>
      <c r="UI89" s="1">
        <v>0.8</v>
      </c>
      <c r="UJ89" s="539">
        <v>0.53571428571428825</v>
      </c>
      <c r="UK89" s="1">
        <v>0.66666666666666663</v>
      </c>
      <c r="UL89" s="540">
        <v>15.5</v>
      </c>
      <c r="UM89" s="1">
        <v>1</v>
      </c>
      <c r="UN89" s="543">
        <v>8.3357142857142854</v>
      </c>
      <c r="UO89" s="1">
        <v>0.5</v>
      </c>
      <c r="UP89" s="544">
        <v>-1.4999999999999998</v>
      </c>
      <c r="UQ89" s="1">
        <v>0.5</v>
      </c>
      <c r="UR89" s="551"/>
      <c r="US89" s="1"/>
      <c r="UT89" s="551">
        <v>-7.1571428571428584</v>
      </c>
      <c r="UU89" s="1">
        <v>0.5</v>
      </c>
      <c r="UV89" s="562"/>
      <c r="UW89" s="1"/>
      <c r="UX89" s="566">
        <v>-0.86428571428571499</v>
      </c>
      <c r="UY89" s="1">
        <v>0.5</v>
      </c>
      <c r="UZ89" s="568"/>
      <c r="VA89" s="1"/>
      <c r="VB89" s="572">
        <v>-24.057142857142857</v>
      </c>
      <c r="VC89" s="1">
        <v>0</v>
      </c>
      <c r="VD89" s="576">
        <v>4.2857142857142865</v>
      </c>
      <c r="VE89" s="1">
        <v>0.5</v>
      </c>
      <c r="VF89" s="580"/>
      <c r="VG89" s="1"/>
      <c r="VH89" s="584">
        <v>-16.057142857142857</v>
      </c>
      <c r="VI89" s="1">
        <v>0</v>
      </c>
      <c r="VJ89" s="589"/>
      <c r="VK89" s="1"/>
      <c r="VL89" s="593">
        <v>-16.271428571428572</v>
      </c>
      <c r="VM89" s="1">
        <v>0</v>
      </c>
      <c r="VN89" s="597"/>
      <c r="VO89" s="1"/>
      <c r="VP89" s="601">
        <v>33.678571428571438</v>
      </c>
      <c r="VQ89" s="1">
        <v>0.83333333333333337</v>
      </c>
      <c r="VR89" s="603"/>
      <c r="VS89" s="1"/>
      <c r="VT89" s="607"/>
      <c r="VU89" s="1"/>
      <c r="VV89" s="609">
        <v>24.30714285714286</v>
      </c>
      <c r="VW89" s="1">
        <v>1</v>
      </c>
      <c r="VX89" s="613">
        <v>-14.278571428571428</v>
      </c>
      <c r="VY89" s="1">
        <v>0</v>
      </c>
      <c r="VZ89" s="617">
        <v>-6.7214285714285706</v>
      </c>
      <c r="WA89" s="1">
        <v>0.4</v>
      </c>
      <c r="WB89" s="619">
        <v>32.171428571428578</v>
      </c>
      <c r="WC89" s="1">
        <v>1</v>
      </c>
      <c r="WD89" s="624">
        <v>16.12857142857143</v>
      </c>
      <c r="WE89" s="1">
        <v>1</v>
      </c>
      <c r="WF89" s="626">
        <v>-2.8571428571427963E-2</v>
      </c>
      <c r="WG89" s="1">
        <v>0.66666666666666663</v>
      </c>
      <c r="WH89" s="630">
        <v>-34.021428571428572</v>
      </c>
      <c r="WI89" s="1">
        <v>0.25</v>
      </c>
      <c r="WJ89" s="636">
        <v>-11.142857142857142</v>
      </c>
      <c r="WK89" s="1">
        <v>0.5</v>
      </c>
      <c r="WL89" s="638">
        <v>-81.07857142857145</v>
      </c>
      <c r="WM89" s="1">
        <v>0.14285714285714285</v>
      </c>
      <c r="WN89" s="642">
        <v>8.0285714285714285</v>
      </c>
      <c r="WO89" s="1">
        <v>1</v>
      </c>
      <c r="WP89" s="646"/>
      <c r="WQ89" s="1"/>
      <c r="WR89" s="652"/>
      <c r="WS89" s="1"/>
      <c r="WT89" s="659"/>
      <c r="WU89" s="1"/>
      <c r="WV89" s="659">
        <v>-7.4857142857142867</v>
      </c>
      <c r="WW89" s="1">
        <v>0.5</v>
      </c>
      <c r="WX89" s="672"/>
      <c r="WY89" s="1"/>
      <c r="WZ89" s="677"/>
      <c r="XA89" s="1"/>
      <c r="XB89" s="681"/>
      <c r="XC89" s="1"/>
      <c r="XD89" s="683"/>
      <c r="XE89" s="1"/>
      <c r="XF89" s="687">
        <v>8.2071428571428573</v>
      </c>
      <c r="XG89" s="1">
        <v>0.75</v>
      </c>
      <c r="XH89" s="689"/>
      <c r="XI89" s="1"/>
      <c r="XJ89" s="696"/>
      <c r="XK89" s="1"/>
      <c r="XL89" s="696"/>
      <c r="XM89" s="1"/>
      <c r="XN89" s="696"/>
      <c r="XO89" s="1"/>
      <c r="XP89" s="700"/>
      <c r="XQ89" s="1"/>
      <c r="XR89" s="705"/>
      <c r="XS89" s="1"/>
      <c r="XT89" s="709"/>
      <c r="XU89" s="1"/>
      <c r="XV89" s="715">
        <v>-32.664285714285718</v>
      </c>
      <c r="XW89" s="1">
        <v>0</v>
      </c>
    </row>
    <row r="90" spans="2:647" x14ac:dyDescent="0.25">
      <c r="B90" s="755"/>
      <c r="C90" s="734"/>
      <c r="D90" s="720" t="s">
        <v>47</v>
      </c>
      <c r="E90" s="720"/>
      <c r="F90" s="483">
        <v>1.5</v>
      </c>
      <c r="G90" s="479" t="s">
        <v>49</v>
      </c>
      <c r="H90" s="6"/>
      <c r="I90" s="6"/>
      <c r="J90" s="6"/>
      <c r="K90" s="6"/>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6"/>
      <c r="BC90" s="6"/>
      <c r="BD90" s="6"/>
      <c r="BE90" s="6"/>
      <c r="BF90" s="6"/>
      <c r="BG90" s="6"/>
      <c r="BH90" s="6"/>
      <c r="BI90" s="6"/>
      <c r="BJ90" s="6"/>
      <c r="BK90" s="6"/>
      <c r="BL90" s="6"/>
      <c r="BM90" s="6"/>
      <c r="BN90" s="6"/>
      <c r="BO90" s="6"/>
      <c r="BP90" s="6"/>
      <c r="BQ90" s="6"/>
      <c r="BR90" s="6"/>
      <c r="BS90" s="6"/>
      <c r="BT90" s="6"/>
      <c r="BU90" s="6"/>
      <c r="BV90" s="6"/>
      <c r="BW90" s="6"/>
      <c r="BX90" s="6"/>
      <c r="BY90" s="6"/>
      <c r="BZ90" s="6"/>
      <c r="CA90" s="6"/>
      <c r="CB90" s="6"/>
      <c r="CC90" s="6"/>
      <c r="CD90" s="6"/>
      <c r="CE90" s="6"/>
      <c r="CF90" s="6"/>
      <c r="CG90" s="6"/>
      <c r="CH90" s="6"/>
      <c r="CI90" s="6"/>
      <c r="CJ90" s="6"/>
      <c r="CK90" s="6"/>
      <c r="CL90" s="6"/>
      <c r="CM90" s="6"/>
      <c r="CN90" s="6"/>
      <c r="CO90" s="6"/>
      <c r="CP90" s="6"/>
      <c r="CQ90" s="6"/>
      <c r="CR90" s="6"/>
      <c r="CS90" s="6"/>
      <c r="CT90" s="6"/>
      <c r="CU90" s="6"/>
      <c r="CV90" s="6"/>
      <c r="CW90" s="6"/>
      <c r="CX90" s="6"/>
      <c r="CY90" s="6"/>
      <c r="CZ90" s="6"/>
      <c r="DA90" s="6"/>
      <c r="DB90" s="6"/>
      <c r="DC90" s="6"/>
      <c r="DD90" s="6"/>
      <c r="DE90" s="6"/>
      <c r="DF90" s="6"/>
      <c r="DG90" s="6"/>
      <c r="DH90" s="6"/>
      <c r="DI90" s="6"/>
      <c r="DJ90" s="6"/>
      <c r="DK90" s="6"/>
      <c r="DL90" s="6"/>
      <c r="DM90" s="6"/>
      <c r="DN90" s="6"/>
      <c r="DO90" s="6"/>
      <c r="DP90" s="6"/>
      <c r="DQ90" s="6"/>
      <c r="DR90" s="6"/>
      <c r="DS90" s="6"/>
      <c r="DT90" s="6"/>
      <c r="DU90" s="6"/>
      <c r="DV90" s="6"/>
      <c r="DW90" s="6"/>
      <c r="DX90" s="6"/>
      <c r="DY90" s="6"/>
      <c r="DZ90" s="6"/>
      <c r="EA90" s="6"/>
      <c r="EB90" s="6"/>
      <c r="EC90" s="6"/>
      <c r="ED90" s="6"/>
      <c r="EE90" s="6"/>
      <c r="EF90" s="6"/>
      <c r="EG90" s="6"/>
      <c r="EH90" s="6"/>
      <c r="EI90" s="6"/>
      <c r="EJ90" s="6"/>
      <c r="EK90" s="6"/>
      <c r="EL90" s="6"/>
      <c r="EM90" s="6"/>
      <c r="EN90" s="6"/>
      <c r="EO90" s="6"/>
      <c r="EP90" s="6"/>
      <c r="EQ90" s="6"/>
      <c r="ER90" s="487"/>
      <c r="ES90" s="1"/>
      <c r="ET90" s="487"/>
      <c r="EU90" s="1"/>
      <c r="EV90" s="487"/>
      <c r="EW90" s="1"/>
      <c r="EX90" s="487"/>
      <c r="EY90" s="1"/>
      <c r="EZ90" s="487"/>
      <c r="FA90" s="1"/>
      <c r="FB90" s="487"/>
      <c r="FC90" s="1"/>
      <c r="FD90" s="487"/>
      <c r="FE90" s="1"/>
      <c r="FF90" s="487"/>
      <c r="FG90" s="1"/>
      <c r="FH90" s="487"/>
      <c r="FI90" s="1"/>
      <c r="FJ90" s="487"/>
      <c r="FK90" s="1"/>
      <c r="FL90" s="487"/>
      <c r="FM90" s="1"/>
      <c r="FN90" s="487"/>
      <c r="FO90" s="1"/>
      <c r="FP90" s="487"/>
      <c r="FQ90" s="1"/>
      <c r="FR90" s="487"/>
      <c r="FS90" s="1"/>
      <c r="FT90" s="487"/>
      <c r="FU90" s="1"/>
      <c r="FV90" s="487"/>
      <c r="FW90" s="1"/>
      <c r="FX90" s="487"/>
      <c r="FY90" s="1"/>
      <c r="FZ90" s="487"/>
      <c r="GA90" s="1"/>
      <c r="GB90" s="487"/>
      <c r="GC90" s="1"/>
      <c r="GD90" s="487"/>
      <c r="GE90" s="1"/>
      <c r="GF90" s="487"/>
      <c r="GG90" s="1"/>
      <c r="GH90" s="487"/>
      <c r="GI90" s="1"/>
      <c r="GJ90" s="487"/>
      <c r="GK90" s="1"/>
      <c r="GL90" s="487"/>
      <c r="GM90" s="1"/>
      <c r="GN90" s="487"/>
      <c r="GO90" s="1"/>
      <c r="GP90" s="487"/>
      <c r="GQ90" s="1"/>
      <c r="GR90" s="487"/>
      <c r="GS90" s="1"/>
      <c r="GT90" s="487"/>
      <c r="GU90" s="1"/>
      <c r="GV90" s="487"/>
      <c r="GW90" s="1"/>
      <c r="GX90" s="487"/>
      <c r="GY90" s="1"/>
      <c r="GZ90" s="487"/>
      <c r="HA90" s="1"/>
      <c r="HB90" s="487"/>
      <c r="HC90" s="1"/>
      <c r="HD90" s="487"/>
      <c r="HE90" s="1"/>
      <c r="HF90" s="487"/>
      <c r="HG90" s="1"/>
      <c r="HH90" s="487"/>
      <c r="HI90" s="1"/>
      <c r="HJ90" s="487"/>
      <c r="HK90" s="1"/>
      <c r="HL90" s="487"/>
      <c r="HM90" s="1"/>
      <c r="HN90" s="487"/>
      <c r="HO90" s="1"/>
      <c r="HP90" s="487"/>
      <c r="HQ90" s="1"/>
      <c r="HR90" s="487"/>
      <c r="HS90" s="1"/>
      <c r="HT90" s="487"/>
      <c r="HU90" s="1"/>
      <c r="HV90" s="487"/>
      <c r="HW90" s="1"/>
      <c r="HX90" s="487"/>
      <c r="HY90" s="1"/>
      <c r="HZ90" s="487"/>
      <c r="IA90" s="1"/>
      <c r="IB90" s="487"/>
      <c r="IC90" s="1"/>
      <c r="ID90" s="487"/>
      <c r="IE90" s="1"/>
      <c r="IF90" s="487"/>
      <c r="IG90" s="1"/>
      <c r="IH90" s="487"/>
      <c r="II90" s="1"/>
      <c r="IJ90" s="487"/>
      <c r="IK90" s="1"/>
      <c r="IL90" s="487"/>
      <c r="IM90" s="1"/>
      <c r="IN90" s="487"/>
      <c r="IO90" s="1"/>
      <c r="IP90" s="487"/>
      <c r="IQ90" s="1"/>
      <c r="IR90" s="487"/>
      <c r="IS90" s="1"/>
      <c r="IT90" s="487"/>
      <c r="IU90" s="1"/>
      <c r="IV90" s="487"/>
      <c r="IW90" s="1"/>
      <c r="IX90" s="487"/>
      <c r="IY90" s="1"/>
      <c r="IZ90" s="487"/>
      <c r="JA90" s="1"/>
      <c r="JB90" s="487"/>
      <c r="JC90" s="1"/>
      <c r="JD90" s="487"/>
      <c r="JE90" s="1"/>
      <c r="JF90" s="487"/>
      <c r="JG90" s="1"/>
      <c r="JH90" s="487"/>
      <c r="JI90" s="1"/>
      <c r="JJ90" s="487"/>
      <c r="JK90" s="1"/>
      <c r="JL90" s="487"/>
      <c r="JM90" s="1"/>
      <c r="JN90" s="487"/>
      <c r="JO90" s="1"/>
      <c r="JP90" s="487"/>
      <c r="JQ90" s="1"/>
      <c r="JR90" s="487"/>
      <c r="JS90" s="1"/>
      <c r="JT90" s="487"/>
      <c r="JU90" s="1"/>
      <c r="JV90" s="487"/>
      <c r="JW90" s="1"/>
      <c r="JX90" s="487"/>
      <c r="JY90" s="1"/>
      <c r="JZ90" s="487"/>
      <c r="KA90" s="1"/>
      <c r="KB90" s="487"/>
      <c r="KC90" s="1"/>
      <c r="KD90" s="487"/>
      <c r="KE90" s="1"/>
      <c r="KF90" s="487"/>
      <c r="KG90" s="1"/>
      <c r="KH90" s="487"/>
      <c r="KI90" s="1"/>
      <c r="KJ90" s="487"/>
      <c r="KK90" s="1"/>
      <c r="KL90" s="487"/>
      <c r="KM90" s="1"/>
      <c r="KN90" s="487"/>
      <c r="KO90" s="1"/>
      <c r="KP90" s="487"/>
      <c r="KQ90" s="1"/>
      <c r="KR90" s="487"/>
      <c r="KS90" s="1"/>
      <c r="KT90" s="487"/>
      <c r="KU90" s="1"/>
      <c r="KV90" s="487"/>
      <c r="KW90" s="1"/>
      <c r="KX90" s="487"/>
      <c r="KY90" s="1"/>
      <c r="KZ90" s="487"/>
      <c r="LA90" s="1"/>
      <c r="LB90" s="487"/>
      <c r="LC90" s="1"/>
      <c r="LD90" s="487"/>
      <c r="LE90" s="1"/>
      <c r="LF90" s="487"/>
      <c r="LG90" s="1"/>
      <c r="LH90" s="487">
        <v>16.953333333333337</v>
      </c>
      <c r="LI90" s="1">
        <v>0.77777777777777779</v>
      </c>
      <c r="LJ90" s="487"/>
      <c r="LK90" s="1"/>
      <c r="LL90" s="487">
        <v>21.62</v>
      </c>
      <c r="LM90" s="1">
        <v>0.83333333333333337</v>
      </c>
      <c r="LN90" s="487">
        <v>-2.9133333333333353</v>
      </c>
      <c r="LO90" s="1">
        <v>0.66666666666666663</v>
      </c>
      <c r="LP90" s="487">
        <v>-31.24</v>
      </c>
      <c r="LQ90" s="1">
        <v>0.6</v>
      </c>
      <c r="LR90" s="487">
        <v>-45.413333333333334</v>
      </c>
      <c r="LS90" s="1">
        <v>0.4</v>
      </c>
      <c r="LT90" s="487">
        <v>-35.32</v>
      </c>
      <c r="LU90" s="1">
        <v>0.5</v>
      </c>
      <c r="LV90" s="487">
        <v>40.826666666666661</v>
      </c>
      <c r="LW90" s="1">
        <v>0.8571428571428571</v>
      </c>
      <c r="LX90" s="487">
        <v>-34.24666666666667</v>
      </c>
      <c r="LY90" s="1">
        <v>0.25</v>
      </c>
      <c r="LZ90" s="487">
        <v>-37.879999999999995</v>
      </c>
      <c r="MA90" s="1">
        <v>0.5</v>
      </c>
      <c r="MB90" s="487">
        <v>32.18</v>
      </c>
      <c r="MC90" s="1">
        <v>1</v>
      </c>
      <c r="MD90" s="487"/>
      <c r="ME90" s="1"/>
      <c r="MF90" s="487">
        <v>8.2533333333333339</v>
      </c>
      <c r="MG90" s="1">
        <v>1</v>
      </c>
      <c r="MH90" s="487">
        <v>-27.27333333333333</v>
      </c>
      <c r="MI90" s="1">
        <v>0</v>
      </c>
      <c r="MJ90" s="487"/>
      <c r="MK90" s="1"/>
      <c r="ML90" s="487">
        <v>-4.6466666666666674</v>
      </c>
      <c r="MM90" s="1">
        <v>0.66666666666666663</v>
      </c>
      <c r="MN90" s="487">
        <v>34.940000000000005</v>
      </c>
      <c r="MO90" s="1">
        <v>1</v>
      </c>
      <c r="MP90" s="487">
        <v>-107</v>
      </c>
      <c r="MQ90" s="1">
        <v>0.36363636363636365</v>
      </c>
      <c r="MR90" s="487">
        <v>-17.053333333333338</v>
      </c>
      <c r="MS90" s="1">
        <v>0.6</v>
      </c>
      <c r="MT90" s="487">
        <v>1.9533333333333307</v>
      </c>
      <c r="MU90" s="1">
        <v>0.66666666666666663</v>
      </c>
      <c r="MV90" s="487">
        <v>-25.153333333333336</v>
      </c>
      <c r="MW90" s="1">
        <v>0.625</v>
      </c>
      <c r="MX90" s="487">
        <v>0.99999999999999645</v>
      </c>
      <c r="MY90" s="1">
        <v>0.7142857142857143</v>
      </c>
      <c r="MZ90" s="487">
        <v>-102.22000000000001</v>
      </c>
      <c r="NA90" s="1">
        <v>0.3</v>
      </c>
      <c r="NB90" s="487">
        <v>23.27333333333333</v>
      </c>
      <c r="NC90" s="1">
        <v>0.83333333333333337</v>
      </c>
      <c r="ND90" s="487"/>
      <c r="NE90" s="1"/>
      <c r="NF90" s="487">
        <v>-57.746666666666663</v>
      </c>
      <c r="NG90" s="1">
        <v>0.5</v>
      </c>
      <c r="NH90" s="487">
        <v>-57.746666666666663</v>
      </c>
      <c r="NI90" s="1">
        <v>0.5</v>
      </c>
      <c r="NJ90" s="487">
        <v>-8.0733333333333341</v>
      </c>
      <c r="NK90" s="1">
        <v>0.66666666666666663</v>
      </c>
      <c r="NL90" s="487">
        <v>53.980000000000011</v>
      </c>
      <c r="NM90" s="1">
        <v>0.9</v>
      </c>
      <c r="NN90" s="487"/>
      <c r="NO90" s="1"/>
      <c r="NP90" s="487">
        <v>-35.78</v>
      </c>
      <c r="NQ90" s="1">
        <v>0.5</v>
      </c>
      <c r="NR90" s="487">
        <v>-35.933333333333337</v>
      </c>
      <c r="NS90" s="1">
        <v>0.5</v>
      </c>
      <c r="NT90" s="487">
        <v>8.7466666666666661</v>
      </c>
      <c r="NU90" s="1">
        <v>0.75</v>
      </c>
      <c r="NV90" s="487">
        <v>-27.52</v>
      </c>
      <c r="NW90" s="1">
        <v>0.4</v>
      </c>
      <c r="NX90" s="487">
        <v>-44.013333333333343</v>
      </c>
      <c r="NY90" s="1">
        <v>0.4</v>
      </c>
      <c r="NZ90" s="487">
        <v>-4.926666666666665</v>
      </c>
      <c r="OA90" s="1">
        <v>0.5</v>
      </c>
      <c r="OB90" s="487">
        <v>10.48</v>
      </c>
      <c r="OC90" s="1">
        <v>0.66666666666666663</v>
      </c>
      <c r="OD90" s="487">
        <v>23.686666666666664</v>
      </c>
      <c r="OE90" s="1">
        <v>0.7142857142857143</v>
      </c>
      <c r="OF90" s="487">
        <v>-43.66</v>
      </c>
      <c r="OG90" s="1">
        <v>0.4</v>
      </c>
      <c r="OH90" s="487">
        <v>-27.959999999999997</v>
      </c>
      <c r="OI90" s="1">
        <v>0.5714285714285714</v>
      </c>
      <c r="OJ90" s="487"/>
      <c r="OK90" s="1"/>
      <c r="OL90" s="487">
        <v>19.86</v>
      </c>
      <c r="OM90" s="1">
        <v>0.83333333333333337</v>
      </c>
      <c r="ON90" s="487">
        <v>-9.339999999999991</v>
      </c>
      <c r="OO90" s="1">
        <v>0.69230769230769229</v>
      </c>
      <c r="OP90" s="487">
        <v>46.226666666666667</v>
      </c>
      <c r="OQ90" s="1">
        <v>0.88888888888888884</v>
      </c>
      <c r="OR90" s="487">
        <v>-39.70000000000001</v>
      </c>
      <c r="OS90" s="1">
        <v>0.55555555555555558</v>
      </c>
      <c r="OT90" s="487">
        <v>-116.41333333333331</v>
      </c>
      <c r="OU90" s="1">
        <v>0.3</v>
      </c>
      <c r="OV90" s="487"/>
      <c r="OW90" s="1"/>
      <c r="OX90" s="487">
        <v>-39.546666666666667</v>
      </c>
      <c r="OY90" s="1">
        <v>0.55555555555555558</v>
      </c>
      <c r="OZ90" s="487">
        <v>-58.006666666666668</v>
      </c>
      <c r="PA90" s="1">
        <v>0.53846153846153844</v>
      </c>
      <c r="PB90" s="487">
        <v>22.586666666666659</v>
      </c>
      <c r="PC90" s="1">
        <v>0.77777777777777779</v>
      </c>
      <c r="PD90" s="487">
        <v>-11.779999999999994</v>
      </c>
      <c r="PE90" s="1">
        <v>0.66666666666666663</v>
      </c>
      <c r="PF90" s="487">
        <v>20.106666666666669</v>
      </c>
      <c r="PG90" s="1">
        <v>0.76923076923076927</v>
      </c>
      <c r="PH90" s="487">
        <v>-43.826666666666661</v>
      </c>
      <c r="PI90" s="1">
        <v>0.54545454545454541</v>
      </c>
      <c r="PJ90" s="487"/>
      <c r="PK90" s="1"/>
      <c r="PL90" s="487"/>
      <c r="PM90" s="1"/>
      <c r="PN90" s="487">
        <v>-3.5133333333333341</v>
      </c>
      <c r="PO90" s="1">
        <v>0.7</v>
      </c>
      <c r="PP90" s="487">
        <v>-132.30666666666667</v>
      </c>
      <c r="PQ90" s="1">
        <v>0.33333333333333331</v>
      </c>
      <c r="PR90" s="487"/>
      <c r="PS90" s="1"/>
      <c r="PT90" s="487">
        <v>-23.78</v>
      </c>
      <c r="PU90" s="1">
        <v>0.63636363636363635</v>
      </c>
      <c r="PV90" s="487">
        <v>-13.36</v>
      </c>
      <c r="PW90" s="1">
        <v>0.7</v>
      </c>
      <c r="PX90" s="487">
        <v>-74.180000000000007</v>
      </c>
      <c r="PY90" s="1">
        <v>0.5</v>
      </c>
      <c r="PZ90" s="487">
        <v>-42.98</v>
      </c>
      <c r="QA90" s="1">
        <v>0.58333333333333337</v>
      </c>
      <c r="QB90" s="487">
        <v>-49.040000000000013</v>
      </c>
      <c r="QC90" s="1">
        <v>0.54545454545454541</v>
      </c>
      <c r="QD90" s="487">
        <v>-5.4799999999999924</v>
      </c>
      <c r="QE90" s="1">
        <v>0.63636363636363635</v>
      </c>
      <c r="QF90" s="487">
        <v>-36.68</v>
      </c>
      <c r="QG90" s="1">
        <v>0.55555555555555558</v>
      </c>
      <c r="QH90" s="487">
        <v>5.986666666666669</v>
      </c>
      <c r="QI90" s="1">
        <v>0.72727272727272729</v>
      </c>
      <c r="QJ90" s="487">
        <v>-18.493333333333336</v>
      </c>
      <c r="QK90" s="1">
        <v>0.5</v>
      </c>
      <c r="QL90" s="487">
        <v>-39</v>
      </c>
      <c r="QM90" s="1">
        <v>0.55555555555555558</v>
      </c>
      <c r="QN90" s="487">
        <v>53.446666666666658</v>
      </c>
      <c r="QO90" s="1">
        <v>0.9</v>
      </c>
      <c r="QP90" s="487">
        <v>25.426666666666673</v>
      </c>
      <c r="QQ90" s="1">
        <v>0.75</v>
      </c>
      <c r="QR90" s="487">
        <v>-50.506666666666661</v>
      </c>
      <c r="QS90" s="1">
        <v>0.54545454545454541</v>
      </c>
      <c r="QT90" s="487"/>
      <c r="QU90" s="1"/>
      <c r="QV90" s="487">
        <v>-65.700000000000017</v>
      </c>
      <c r="QW90" s="1">
        <v>0.41666666666666669</v>
      </c>
      <c r="QX90" s="487">
        <v>17.646666666666665</v>
      </c>
      <c r="QY90" s="1">
        <v>0.77777777777777779</v>
      </c>
      <c r="QZ90" s="487"/>
      <c r="RA90" s="1"/>
      <c r="RB90" s="487">
        <v>-3.6400000000000006</v>
      </c>
      <c r="RC90" s="1">
        <v>0.7</v>
      </c>
      <c r="RD90" s="487">
        <v>-81.84666666666665</v>
      </c>
      <c r="RE90" s="1">
        <v>0.4</v>
      </c>
      <c r="RF90" s="487">
        <v>-5.2333333333333316</v>
      </c>
      <c r="RG90" s="1">
        <v>0.66666666666666663</v>
      </c>
      <c r="RH90" s="487">
        <v>2.1866666666666581</v>
      </c>
      <c r="RI90" s="1">
        <v>0.72727272727272729</v>
      </c>
      <c r="RJ90" s="487">
        <v>-35.813333333333333</v>
      </c>
      <c r="RK90" s="1">
        <v>0.54545454545454541</v>
      </c>
      <c r="RL90" s="487">
        <v>0.59333333333333249</v>
      </c>
      <c r="RM90" s="1">
        <v>0.69230769230769229</v>
      </c>
      <c r="RN90" s="487">
        <v>-6.9199999999999946</v>
      </c>
      <c r="RO90" s="1">
        <v>0.63636363636363635</v>
      </c>
      <c r="RP90" s="487">
        <v>-143.85333333333335</v>
      </c>
      <c r="RQ90" s="1">
        <v>0.1</v>
      </c>
      <c r="RR90" s="487">
        <v>-36.953333333333326</v>
      </c>
      <c r="RS90" s="1">
        <v>0.61538461538461542</v>
      </c>
      <c r="RT90" s="487">
        <v>-59.273333333333341</v>
      </c>
      <c r="RU90" s="1">
        <v>0.36363636363636365</v>
      </c>
      <c r="RV90" s="487">
        <v>91.740000000000009</v>
      </c>
      <c r="RW90" s="1">
        <v>1</v>
      </c>
      <c r="RX90" s="487">
        <v>13.093333333333334</v>
      </c>
      <c r="RY90" s="1">
        <v>0.625</v>
      </c>
      <c r="RZ90" s="487">
        <v>-16.099999999999998</v>
      </c>
      <c r="SA90" s="1">
        <v>0.6</v>
      </c>
      <c r="SB90" s="487">
        <v>33.913333333333327</v>
      </c>
      <c r="SC90" s="1">
        <v>0.81818181818181823</v>
      </c>
      <c r="SD90" s="487"/>
      <c r="SE90" s="1"/>
      <c r="SF90" s="487"/>
      <c r="SG90" s="1"/>
      <c r="SH90" s="487">
        <v>-42.993333333333339</v>
      </c>
      <c r="SI90" s="1">
        <v>0.5</v>
      </c>
      <c r="SJ90" s="487">
        <v>0.65333333333333365</v>
      </c>
      <c r="SK90" s="1">
        <v>0.66666666666666663</v>
      </c>
      <c r="SL90" s="487">
        <v>-124.36000000000003</v>
      </c>
      <c r="SM90" s="1">
        <v>0.22222222222222221</v>
      </c>
      <c r="SN90" s="487">
        <v>55.313333333333311</v>
      </c>
      <c r="SO90" s="1">
        <v>0.81818181818181823</v>
      </c>
      <c r="SP90" s="487">
        <v>26.240000000000006</v>
      </c>
      <c r="SQ90" s="1">
        <v>0.75</v>
      </c>
      <c r="SR90" s="487">
        <v>20.40666666666667</v>
      </c>
      <c r="SS90" s="1">
        <v>0.76923076923076927</v>
      </c>
      <c r="ST90" s="487">
        <v>-2.5466666666666682</v>
      </c>
      <c r="SU90" s="1">
        <v>0.66666666666666663</v>
      </c>
      <c r="SV90" s="487">
        <v>-155.88666666666666</v>
      </c>
      <c r="SW90" s="1">
        <v>0</v>
      </c>
      <c r="SX90" s="487"/>
      <c r="SY90" s="1"/>
      <c r="SZ90" s="487">
        <v>-58.660000000000004</v>
      </c>
      <c r="TA90" s="1">
        <v>0.5</v>
      </c>
      <c r="TB90" s="487">
        <v>-128.53333333333333</v>
      </c>
      <c r="TC90" s="1">
        <v>0.33333333333333331</v>
      </c>
      <c r="TD90" s="487">
        <v>-28.14</v>
      </c>
      <c r="TE90" s="1">
        <v>0.5714285714285714</v>
      </c>
      <c r="TF90" s="487">
        <v>-127.75999999999999</v>
      </c>
      <c r="TG90" s="1">
        <v>0.1</v>
      </c>
      <c r="TH90" s="488">
        <v>-33.866666666666667</v>
      </c>
      <c r="TI90" s="1">
        <v>0.45454545454545453</v>
      </c>
      <c r="TJ90" s="489">
        <v>-11.746666666666664</v>
      </c>
      <c r="TK90" s="1">
        <v>0.5</v>
      </c>
      <c r="TL90" s="490">
        <v>-3.5600000000000009</v>
      </c>
      <c r="TM90" s="1">
        <v>0.7</v>
      </c>
      <c r="TN90" s="495"/>
      <c r="TO90" s="1"/>
      <c r="TP90" s="500">
        <v>-18.933333333333334</v>
      </c>
      <c r="TQ90" s="1">
        <v>0.625</v>
      </c>
      <c r="TR90" s="511">
        <v>53.326666666666675</v>
      </c>
      <c r="TS90" s="1">
        <v>0.9</v>
      </c>
      <c r="TT90" s="515">
        <v>-16.626666666666669</v>
      </c>
      <c r="TU90" s="1">
        <v>0.66666666666666663</v>
      </c>
      <c r="TV90" s="518">
        <v>-44.126666666666665</v>
      </c>
      <c r="TW90" s="1">
        <v>0.58333333333333337</v>
      </c>
      <c r="TX90" s="521">
        <v>-108.76666666666667</v>
      </c>
      <c r="TY90" s="1">
        <v>0.36363636363636365</v>
      </c>
      <c r="TZ90" s="524">
        <v>39.666666666666657</v>
      </c>
      <c r="UA90" s="1">
        <v>0.81818181818181823</v>
      </c>
      <c r="UB90" s="527">
        <v>9.1800000000000015</v>
      </c>
      <c r="UC90" s="1">
        <v>0.76923076923076927</v>
      </c>
      <c r="UD90" s="530">
        <v>-2.2799999999999963</v>
      </c>
      <c r="UE90" s="1">
        <v>0.69230769230769229</v>
      </c>
      <c r="UF90" s="533"/>
      <c r="UG90" s="1"/>
      <c r="UH90" s="536">
        <v>33.586666666666666</v>
      </c>
      <c r="UI90" s="1">
        <v>0.81818181818181823</v>
      </c>
      <c r="UJ90" s="539">
        <v>-32.506666666666675</v>
      </c>
      <c r="UK90" s="1">
        <v>0.61538461538461542</v>
      </c>
      <c r="UL90" s="540">
        <v>-5.1533333333333324</v>
      </c>
      <c r="UM90" s="1">
        <v>0.66666666666666663</v>
      </c>
      <c r="UN90" s="543">
        <v>-4.0666666666666673</v>
      </c>
      <c r="UO90" s="1">
        <v>0.55555555555555558</v>
      </c>
      <c r="UP90" s="544">
        <v>16.173333333333332</v>
      </c>
      <c r="UQ90" s="1">
        <v>0.625</v>
      </c>
      <c r="UR90" s="551"/>
      <c r="US90" s="1"/>
      <c r="UT90" s="551">
        <v>72.673333333333332</v>
      </c>
      <c r="UU90" s="1">
        <v>1</v>
      </c>
      <c r="UV90" s="562"/>
      <c r="UW90" s="1"/>
      <c r="UX90" s="566">
        <v>29.8</v>
      </c>
      <c r="UY90" s="1">
        <v>0.69230769230769229</v>
      </c>
      <c r="UZ90" s="568"/>
      <c r="VA90" s="1"/>
      <c r="VB90" s="572">
        <v>-13.973333333333331</v>
      </c>
      <c r="VC90" s="1">
        <v>0.66666666666666663</v>
      </c>
      <c r="VD90" s="576">
        <v>-19.040000000000003</v>
      </c>
      <c r="VE90" s="1">
        <v>0.58333333333333337</v>
      </c>
      <c r="VF90" s="580"/>
      <c r="VG90" s="1"/>
      <c r="VH90" s="584">
        <v>-62.46</v>
      </c>
      <c r="VI90" s="1">
        <v>0.44444444444444442</v>
      </c>
      <c r="VJ90" s="589"/>
      <c r="VK90" s="1"/>
      <c r="VL90" s="593">
        <v>-10.306666666666656</v>
      </c>
      <c r="VM90" s="1">
        <v>0.61538461538461542</v>
      </c>
      <c r="VN90" s="597"/>
      <c r="VO90" s="1"/>
      <c r="VP90" s="601">
        <v>58.693333333333328</v>
      </c>
      <c r="VQ90" s="1">
        <v>0.88888888888888884</v>
      </c>
      <c r="VR90" s="603"/>
      <c r="VS90" s="1"/>
      <c r="VT90" s="607"/>
      <c r="VU90" s="1"/>
      <c r="VV90" s="609">
        <v>-18.88</v>
      </c>
      <c r="VW90" s="1">
        <v>0.5</v>
      </c>
      <c r="VX90" s="613">
        <v>-34.793333333333329</v>
      </c>
      <c r="VY90" s="1">
        <v>0.55555555555555558</v>
      </c>
      <c r="VZ90" s="617">
        <v>-32.186666666666667</v>
      </c>
      <c r="WA90" s="1">
        <v>0.46153846153846156</v>
      </c>
      <c r="WB90" s="619">
        <v>16.433333333333334</v>
      </c>
      <c r="WC90" s="1">
        <v>0.77777777777777779</v>
      </c>
      <c r="WD90" s="624">
        <v>-33.253333333333337</v>
      </c>
      <c r="WE90" s="1">
        <v>0.54545454545454541</v>
      </c>
      <c r="WF90" s="626">
        <v>78.686666666666667</v>
      </c>
      <c r="WG90" s="1">
        <v>0.92307692307692313</v>
      </c>
      <c r="WH90" s="630">
        <v>21.539999999999996</v>
      </c>
      <c r="WI90" s="1">
        <v>0.75</v>
      </c>
      <c r="WJ90" s="636">
        <v>33.76</v>
      </c>
      <c r="WK90" s="1">
        <v>0.81818181818181823</v>
      </c>
      <c r="WL90" s="638">
        <v>-4.8666666666666671</v>
      </c>
      <c r="WM90" s="1">
        <v>0.66666666666666663</v>
      </c>
      <c r="WN90" s="642">
        <v>-55.099999999999994</v>
      </c>
      <c r="WO90" s="1">
        <v>0.44444444444444442</v>
      </c>
      <c r="WP90" s="646"/>
      <c r="WQ90" s="1"/>
      <c r="WR90" s="652"/>
      <c r="WS90" s="1"/>
      <c r="WT90" s="659">
        <v>-59.166666666666664</v>
      </c>
      <c r="WU90" s="1">
        <v>0.45454545454545453</v>
      </c>
      <c r="WV90" s="659">
        <v>-86.526666666666657</v>
      </c>
      <c r="WW90" s="1">
        <v>0.4</v>
      </c>
      <c r="WX90" s="672"/>
      <c r="WY90" s="1"/>
      <c r="WZ90" s="677"/>
      <c r="XA90" s="1"/>
      <c r="XB90" s="681"/>
      <c r="XC90" s="1"/>
      <c r="XD90" s="683"/>
      <c r="XE90" s="1"/>
      <c r="XF90" s="687">
        <v>-44.173333333333325</v>
      </c>
      <c r="XG90" s="1">
        <v>0.58333333333333337</v>
      </c>
      <c r="XH90" s="689"/>
      <c r="XI90" s="1"/>
      <c r="XJ90" s="696"/>
      <c r="XK90" s="1"/>
      <c r="XL90" s="696"/>
      <c r="XM90" s="1"/>
      <c r="XN90" s="696"/>
      <c r="XO90" s="1"/>
      <c r="XP90" s="700"/>
      <c r="XQ90" s="1"/>
      <c r="XR90" s="705"/>
      <c r="XS90" s="1"/>
      <c r="XT90" s="709"/>
      <c r="XU90" s="1"/>
      <c r="XV90" s="715">
        <v>-93.399999999999991</v>
      </c>
      <c r="XW90" s="1">
        <v>0.33333333333333331</v>
      </c>
    </row>
    <row r="91" spans="2:647" x14ac:dyDescent="0.25">
      <c r="B91" s="755"/>
      <c r="C91" s="730" t="s">
        <v>11</v>
      </c>
      <c r="D91" s="741" t="s">
        <v>25</v>
      </c>
      <c r="E91" s="741"/>
      <c r="F91" s="477">
        <v>0.1</v>
      </c>
      <c r="G91" s="475"/>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c r="BJ91" s="6"/>
      <c r="BK91" s="6"/>
      <c r="BL91" s="6"/>
      <c r="BM91" s="6"/>
      <c r="BN91" s="6"/>
      <c r="BO91" s="6"/>
      <c r="BP91" s="6"/>
      <c r="BQ91" s="6"/>
      <c r="BR91" s="6"/>
      <c r="BS91" s="6"/>
      <c r="BT91" s="6"/>
      <c r="BU91" s="6"/>
      <c r="BV91" s="6"/>
      <c r="BW91" s="6"/>
      <c r="BX91" s="6"/>
      <c r="BY91" s="6"/>
      <c r="BZ91" s="6"/>
      <c r="CA91" s="6"/>
      <c r="CB91" s="6"/>
      <c r="CC91" s="6"/>
      <c r="CD91" s="6"/>
      <c r="CE91" s="6"/>
      <c r="CF91" s="6"/>
      <c r="CG91" s="6"/>
      <c r="CH91" s="6"/>
      <c r="CI91" s="6"/>
      <c r="CJ91" s="6"/>
      <c r="CK91" s="6"/>
      <c r="CL91" s="6"/>
      <c r="CM91" s="6"/>
      <c r="CN91" s="6"/>
      <c r="CO91" s="6"/>
      <c r="CP91" s="6"/>
      <c r="CQ91" s="6"/>
      <c r="CR91" s="6"/>
      <c r="CS91" s="6"/>
      <c r="CT91" s="6"/>
      <c r="CU91" s="6"/>
      <c r="CV91" s="6"/>
      <c r="CW91" s="6"/>
      <c r="CX91" s="6"/>
      <c r="CY91" s="6"/>
      <c r="CZ91" s="6"/>
      <c r="DA91" s="6"/>
      <c r="DB91" s="6"/>
      <c r="DC91" s="6"/>
      <c r="DD91" s="6"/>
      <c r="DE91" s="6"/>
      <c r="DF91" s="6"/>
      <c r="DG91" s="6"/>
      <c r="DH91" s="6"/>
      <c r="DI91" s="6"/>
      <c r="DJ91" s="6"/>
      <c r="DK91" s="6"/>
      <c r="DL91" s="6"/>
      <c r="DM91" s="6"/>
      <c r="DN91" s="6"/>
      <c r="DO91" s="6"/>
      <c r="DP91" s="6"/>
      <c r="DQ91" s="6"/>
      <c r="DR91" s="6"/>
      <c r="DS91" s="6"/>
      <c r="DT91" s="6"/>
      <c r="DU91" s="6"/>
      <c r="DV91" s="6"/>
      <c r="DW91" s="6"/>
      <c r="DX91" s="6"/>
      <c r="DY91" s="6"/>
      <c r="DZ91" s="6"/>
      <c r="EA91" s="6"/>
      <c r="EB91" s="6"/>
      <c r="EC91" s="6"/>
      <c r="ED91" s="6"/>
      <c r="EE91" s="6"/>
      <c r="EF91" s="6"/>
      <c r="EG91" s="6"/>
      <c r="EH91" s="6"/>
      <c r="EI91" s="6"/>
      <c r="EJ91" s="6"/>
      <c r="EK91" s="6"/>
      <c r="EL91" s="6"/>
      <c r="EM91" s="6"/>
      <c r="EN91" s="6"/>
      <c r="EO91" s="6"/>
      <c r="EP91" s="6"/>
      <c r="EQ91" s="6"/>
      <c r="ER91" s="18">
        <v>-32.099999999999994</v>
      </c>
      <c r="ES91" s="19">
        <v>0</v>
      </c>
      <c r="ET91" s="18">
        <v>-12.400000000000002</v>
      </c>
      <c r="EU91" s="19">
        <v>0.6</v>
      </c>
      <c r="EV91" s="18">
        <v>-39.6</v>
      </c>
      <c r="EW91" s="19">
        <v>0.375</v>
      </c>
      <c r="EX91" s="18">
        <v>0.20000000000000018</v>
      </c>
      <c r="EY91" s="19">
        <v>0.66666666666666663</v>
      </c>
      <c r="EZ91" s="18">
        <v>3.1999999999999993</v>
      </c>
      <c r="FA91" s="19">
        <v>0.6</v>
      </c>
      <c r="FB91" s="18">
        <v>-15.6</v>
      </c>
      <c r="FC91" s="19">
        <v>0.2</v>
      </c>
      <c r="FD91" s="18">
        <v>-6.2999999999999989</v>
      </c>
      <c r="FE91" s="19">
        <v>0.5</v>
      </c>
      <c r="FF91" s="18">
        <v>-3.2000000000000006</v>
      </c>
      <c r="FG91" s="19">
        <v>0.5714285714285714</v>
      </c>
      <c r="FH91" s="18">
        <v>-12.299999999999999</v>
      </c>
      <c r="FI91" s="19">
        <v>0.25</v>
      </c>
      <c r="FJ91" s="18">
        <v>11.600000000000001</v>
      </c>
      <c r="FK91" s="19">
        <v>0.66666666666666663</v>
      </c>
      <c r="FL91" s="18">
        <v>7.3</v>
      </c>
      <c r="FM91" s="19">
        <v>0.66666666666666663</v>
      </c>
      <c r="FN91" s="18">
        <v>0.20000000000000101</v>
      </c>
      <c r="FO91" s="19">
        <v>0.5</v>
      </c>
      <c r="FP91" s="18">
        <v>-5.3000000000000034</v>
      </c>
      <c r="FQ91" s="19">
        <v>0.5</v>
      </c>
      <c r="FR91" s="18">
        <v>23.9</v>
      </c>
      <c r="FS91" s="19">
        <v>1</v>
      </c>
      <c r="FT91" s="18">
        <v>-13.5</v>
      </c>
      <c r="FU91" s="19">
        <v>0.5</v>
      </c>
      <c r="FV91" s="18">
        <v>13.399999999999999</v>
      </c>
      <c r="FW91" s="19">
        <v>0.66666666666666663</v>
      </c>
      <c r="FX91" s="18">
        <v>1.3</v>
      </c>
      <c r="FY91" s="19">
        <v>0.66666666666666663</v>
      </c>
      <c r="FZ91" s="18">
        <v>-12.399999999999997</v>
      </c>
      <c r="GA91" s="19">
        <v>0.25</v>
      </c>
      <c r="GB91" s="18">
        <v>-14.900000000000002</v>
      </c>
      <c r="GC91" s="19">
        <v>0.5</v>
      </c>
      <c r="GD91" s="18"/>
      <c r="GE91" s="19"/>
      <c r="GF91" s="18">
        <v>-2.4</v>
      </c>
      <c r="GG91" s="19">
        <v>0.5</v>
      </c>
      <c r="GH91" s="18">
        <v>3.3999999999999995</v>
      </c>
      <c r="GI91" s="19">
        <v>0.33333333333333331</v>
      </c>
      <c r="GJ91" s="18">
        <v>-4.5999999999999996</v>
      </c>
      <c r="GK91" s="19">
        <v>0.5</v>
      </c>
      <c r="GL91" s="18">
        <v>-28.3</v>
      </c>
      <c r="GM91" s="19">
        <v>0.16666666666666666</v>
      </c>
      <c r="GN91" s="18">
        <v>1.7999999999999994</v>
      </c>
      <c r="GO91" s="19">
        <v>0.75</v>
      </c>
      <c r="GP91" s="18">
        <v>-1.2</v>
      </c>
      <c r="GQ91" s="19">
        <v>0</v>
      </c>
      <c r="GR91" s="18">
        <v>8</v>
      </c>
      <c r="GS91" s="19">
        <v>1</v>
      </c>
      <c r="GT91" s="18">
        <v>-6.8</v>
      </c>
      <c r="GU91" s="19">
        <v>0.2</v>
      </c>
      <c r="GV91" s="18">
        <v>24.1</v>
      </c>
      <c r="GW91" s="19">
        <v>1</v>
      </c>
      <c r="GX91" s="18">
        <v>18.399999999999999</v>
      </c>
      <c r="GY91" s="19">
        <v>1</v>
      </c>
      <c r="GZ91" s="18">
        <v>-6.0000000000000009</v>
      </c>
      <c r="HA91" s="19">
        <v>0.25</v>
      </c>
      <c r="HB91" s="18">
        <v>8.9</v>
      </c>
      <c r="HC91" s="19">
        <v>0.6</v>
      </c>
      <c r="HD91" s="18">
        <v>-3.3000000000000016</v>
      </c>
      <c r="HE91" s="19">
        <v>0.66666666666666663</v>
      </c>
      <c r="HF91" s="18">
        <v>21.500000000000004</v>
      </c>
      <c r="HG91" s="19">
        <v>0.8</v>
      </c>
      <c r="HH91" s="18">
        <v>-21.399999999999995</v>
      </c>
      <c r="HI91" s="19">
        <v>0.2857142857142857</v>
      </c>
      <c r="HJ91" s="18">
        <v>-2.4999999999999978</v>
      </c>
      <c r="HK91" s="19">
        <v>0.66666666666666663</v>
      </c>
      <c r="HL91" s="18">
        <v>9.3000000000000007</v>
      </c>
      <c r="HM91" s="19">
        <v>0.5714285714285714</v>
      </c>
      <c r="HN91" s="18">
        <v>-37.700000000000003</v>
      </c>
      <c r="HO91" s="19">
        <v>0.25</v>
      </c>
      <c r="HP91" s="18">
        <v>-2.4999999999999987</v>
      </c>
      <c r="HQ91" s="19">
        <v>0.25</v>
      </c>
      <c r="HR91" s="18">
        <v>-6.0999999999999988</v>
      </c>
      <c r="HS91" s="19">
        <v>0.5714285714285714</v>
      </c>
      <c r="HT91" s="18">
        <v>-8.5999999999999961</v>
      </c>
      <c r="HU91" s="19">
        <v>0.66666666666666663</v>
      </c>
      <c r="HV91" s="18">
        <v>-5.8000000000000007</v>
      </c>
      <c r="HW91" s="19">
        <v>0.5</v>
      </c>
      <c r="HX91" s="18">
        <v>3.6000000000000014</v>
      </c>
      <c r="HY91" s="19">
        <v>0.42857142857142855</v>
      </c>
      <c r="HZ91" s="18"/>
      <c r="IA91" s="19"/>
      <c r="IB91" s="18">
        <v>-2.6</v>
      </c>
      <c r="IC91" s="19">
        <v>0.25</v>
      </c>
      <c r="ID91" s="18">
        <v>27.499999999999993</v>
      </c>
      <c r="IE91" s="19">
        <v>0.7142857142857143</v>
      </c>
      <c r="IF91" s="18">
        <v>-6.6</v>
      </c>
      <c r="IG91" s="19">
        <v>0.33333333333333331</v>
      </c>
      <c r="IH91" s="18">
        <v>-20.700000000000003</v>
      </c>
      <c r="II91" s="19">
        <v>0.4</v>
      </c>
      <c r="IJ91" s="18">
        <v>-59.099999999999987</v>
      </c>
      <c r="IK91" s="19">
        <v>0.25</v>
      </c>
      <c r="IL91" s="18"/>
      <c r="IM91" s="19"/>
      <c r="IN91" s="18">
        <v>8</v>
      </c>
      <c r="IO91" s="19">
        <v>1</v>
      </c>
      <c r="IP91" s="18">
        <v>-3.1999999999999997</v>
      </c>
      <c r="IQ91" s="19">
        <v>0</v>
      </c>
      <c r="IR91" s="18">
        <v>35.799999999999997</v>
      </c>
      <c r="IS91" s="19">
        <v>0.75</v>
      </c>
      <c r="IT91" s="18">
        <v>13.799999999999999</v>
      </c>
      <c r="IU91" s="19">
        <v>0.8</v>
      </c>
      <c r="IV91" s="18">
        <v>6.4000000000000012</v>
      </c>
      <c r="IW91" s="19">
        <v>0.66666666666666663</v>
      </c>
      <c r="IX91" s="18">
        <v>-3.2000000000000006</v>
      </c>
      <c r="IY91" s="19">
        <v>0.33333333333333331</v>
      </c>
      <c r="IZ91" s="18">
        <v>-0.50000000000000044</v>
      </c>
      <c r="JA91" s="19">
        <v>0.5</v>
      </c>
      <c r="JB91" s="18">
        <v>8.1</v>
      </c>
      <c r="JC91" s="19">
        <v>1</v>
      </c>
      <c r="JD91" s="18"/>
      <c r="JE91" s="19"/>
      <c r="JF91" s="18">
        <v>-7.1999999999999993</v>
      </c>
      <c r="JG91" s="19">
        <v>0.25</v>
      </c>
      <c r="JH91" s="18">
        <v>-6.3999999999999995</v>
      </c>
      <c r="JI91" s="19">
        <v>0.42857142857142855</v>
      </c>
      <c r="JJ91" s="18">
        <v>-44.600000000000009</v>
      </c>
      <c r="JK91" s="19">
        <v>0.2</v>
      </c>
      <c r="JL91" s="18"/>
      <c r="JM91" s="19"/>
      <c r="JN91" s="18"/>
      <c r="JO91" s="19"/>
      <c r="JP91" s="18">
        <v>-11.499999999999998</v>
      </c>
      <c r="JQ91" s="19">
        <v>0.33333333333333331</v>
      </c>
      <c r="JR91" s="18">
        <v>-9.6999999999999975</v>
      </c>
      <c r="JS91" s="19">
        <v>0.25</v>
      </c>
      <c r="JT91" s="18"/>
      <c r="JU91" s="19"/>
      <c r="JV91" s="18">
        <v>23.4</v>
      </c>
      <c r="JW91" s="19">
        <v>0.75</v>
      </c>
      <c r="JX91" s="18">
        <v>-10.7</v>
      </c>
      <c r="JY91" s="19">
        <v>0.25</v>
      </c>
      <c r="JZ91" s="18">
        <v>11.499999999999998</v>
      </c>
      <c r="KA91" s="19">
        <v>0.4</v>
      </c>
      <c r="KB91" s="18">
        <v>8.4</v>
      </c>
      <c r="KC91" s="19">
        <v>0.66666666666666663</v>
      </c>
      <c r="KD91" s="18">
        <v>7</v>
      </c>
      <c r="KE91" s="19">
        <v>0.75</v>
      </c>
      <c r="KF91" s="18">
        <v>-54.3</v>
      </c>
      <c r="KG91" s="19">
        <v>0</v>
      </c>
      <c r="KH91" s="18">
        <v>-3.3999999999999986</v>
      </c>
      <c r="KI91" s="19">
        <v>0.4</v>
      </c>
      <c r="KJ91" s="18">
        <v>-9.9</v>
      </c>
      <c r="KK91" s="19">
        <v>0.5</v>
      </c>
      <c r="KL91" s="18">
        <v>-23.799999999999997</v>
      </c>
      <c r="KM91" s="19">
        <v>0.4</v>
      </c>
      <c r="KN91" s="18">
        <v>-13.5</v>
      </c>
      <c r="KO91" s="19">
        <v>0.25</v>
      </c>
      <c r="KP91" s="18">
        <v>23.200000000000003</v>
      </c>
      <c r="KQ91" s="19">
        <v>0.75</v>
      </c>
      <c r="KR91" s="18">
        <v>27.799999999999997</v>
      </c>
      <c r="KS91" s="19">
        <v>0.8</v>
      </c>
      <c r="KT91" s="18"/>
      <c r="KU91" s="19"/>
      <c r="KV91" s="18">
        <v>0.49999999999999822</v>
      </c>
      <c r="KW91" s="19">
        <v>0.66666666666666663</v>
      </c>
      <c r="KX91" s="18">
        <v>-16</v>
      </c>
      <c r="KY91" s="19">
        <v>0</v>
      </c>
      <c r="KZ91" s="18">
        <v>-34.300000000000004</v>
      </c>
      <c r="LA91" s="19">
        <v>0.25</v>
      </c>
      <c r="LB91" s="18">
        <v>-18.5</v>
      </c>
      <c r="LC91" s="19">
        <v>0.5</v>
      </c>
      <c r="LD91" s="18">
        <v>-7</v>
      </c>
      <c r="LE91" s="19">
        <v>0.625</v>
      </c>
      <c r="LF91" s="18">
        <v>24.599999999999998</v>
      </c>
      <c r="LG91" s="19">
        <v>0.83333333333333337</v>
      </c>
      <c r="LH91" s="18">
        <v>-22.099999999999998</v>
      </c>
      <c r="LI91" s="19">
        <v>0.5</v>
      </c>
      <c r="LJ91" s="18">
        <v>-23.6</v>
      </c>
      <c r="LK91" s="19">
        <v>0.5</v>
      </c>
      <c r="LL91" s="18"/>
      <c r="LM91" s="19"/>
      <c r="LN91" s="18">
        <v>2.85</v>
      </c>
      <c r="LO91" s="19">
        <v>1</v>
      </c>
      <c r="LP91" s="18"/>
      <c r="LQ91" s="19"/>
      <c r="LR91" s="18"/>
      <c r="LS91" s="19"/>
      <c r="LT91" s="18">
        <v>-16.100000000000001</v>
      </c>
      <c r="LU91" s="19">
        <v>0</v>
      </c>
      <c r="LV91" s="18">
        <v>-16.499999999999996</v>
      </c>
      <c r="LW91" s="19">
        <v>0</v>
      </c>
      <c r="LX91" s="18"/>
      <c r="LY91" s="19"/>
      <c r="LZ91" s="18"/>
      <c r="MA91" s="19"/>
      <c r="MB91" s="18">
        <v>-16.2</v>
      </c>
      <c r="MC91" s="19">
        <v>0</v>
      </c>
      <c r="MD91" s="18">
        <v>8.1999999999999993</v>
      </c>
      <c r="ME91" s="19">
        <v>1</v>
      </c>
      <c r="MF91" s="18"/>
      <c r="MG91" s="19"/>
      <c r="MH91" s="18">
        <v>9.1</v>
      </c>
      <c r="MI91" s="19">
        <v>1</v>
      </c>
      <c r="MJ91" s="18">
        <v>-16.2</v>
      </c>
      <c r="MK91" s="19">
        <v>0</v>
      </c>
      <c r="ML91" s="18"/>
      <c r="MM91" s="19"/>
      <c r="MN91" s="18">
        <v>8.1</v>
      </c>
      <c r="MO91" s="19">
        <v>1</v>
      </c>
      <c r="MP91" s="18"/>
      <c r="MQ91" s="19"/>
      <c r="MR91" s="18">
        <v>8.6</v>
      </c>
      <c r="MS91" s="19">
        <v>1</v>
      </c>
      <c r="MT91" s="18"/>
      <c r="MU91" s="19"/>
      <c r="MV91" s="18"/>
      <c r="MW91" s="19"/>
      <c r="MX91" s="18">
        <v>-16.499999999999996</v>
      </c>
      <c r="MY91" s="19">
        <v>0</v>
      </c>
      <c r="MZ91" s="18"/>
      <c r="NA91" s="19"/>
      <c r="NB91" s="18"/>
      <c r="NC91" s="19"/>
      <c r="ND91" s="18"/>
      <c r="NE91" s="19"/>
      <c r="NF91" s="18"/>
      <c r="NG91" s="19"/>
      <c r="NH91" s="18"/>
      <c r="NI91" s="19"/>
      <c r="NJ91" s="18"/>
      <c r="NK91" s="19"/>
      <c r="NL91" s="18"/>
      <c r="NM91" s="19"/>
      <c r="NN91" s="18"/>
      <c r="NO91" s="19"/>
      <c r="NP91" s="18"/>
      <c r="NQ91" s="19"/>
      <c r="NR91" s="18">
        <v>1</v>
      </c>
      <c r="NS91" s="19">
        <v>1</v>
      </c>
      <c r="NT91" s="18"/>
      <c r="NU91" s="19"/>
      <c r="NV91" s="18"/>
      <c r="NW91" s="19"/>
      <c r="NX91" s="18"/>
      <c r="NY91" s="19"/>
      <c r="NZ91" s="18"/>
      <c r="OA91" s="19"/>
      <c r="OB91" s="18"/>
      <c r="OC91" s="19"/>
      <c r="OD91" s="18"/>
      <c r="OE91" s="19"/>
      <c r="OF91" s="18"/>
      <c r="OG91" s="19"/>
      <c r="OH91" s="18"/>
      <c r="OI91" s="19"/>
      <c r="OJ91" s="18"/>
      <c r="OK91" s="19"/>
      <c r="OL91" s="18"/>
      <c r="OM91" s="19"/>
      <c r="ON91" s="18"/>
      <c r="OO91" s="19"/>
      <c r="OP91" s="18">
        <v>0.39999999999999997</v>
      </c>
      <c r="OQ91" s="19">
        <v>1</v>
      </c>
      <c r="OR91" s="18"/>
      <c r="OS91" s="19"/>
      <c r="OT91" s="18"/>
      <c r="OU91" s="19"/>
      <c r="OV91" s="18">
        <v>-0.3</v>
      </c>
      <c r="OW91" s="19">
        <v>0</v>
      </c>
      <c r="OX91" s="18"/>
      <c r="OY91" s="19"/>
      <c r="OZ91" s="18">
        <v>2.8000000000000003</v>
      </c>
      <c r="PA91" s="19">
        <v>0.6</v>
      </c>
      <c r="PB91" s="18">
        <v>-0.39999999999999813</v>
      </c>
      <c r="PC91" s="19">
        <v>0.66666666666666663</v>
      </c>
      <c r="PD91" s="18">
        <v>7.1</v>
      </c>
      <c r="PE91" s="19">
        <v>0.5</v>
      </c>
      <c r="PF91" s="18">
        <v>9.6999999999999975</v>
      </c>
      <c r="PG91" s="19">
        <v>0.75</v>
      </c>
      <c r="PH91" s="18">
        <v>-8</v>
      </c>
      <c r="PI91" s="19">
        <v>0.5</v>
      </c>
      <c r="PJ91" s="18">
        <v>2.7999999999999994</v>
      </c>
      <c r="PK91" s="19">
        <v>0.5</v>
      </c>
      <c r="PL91" s="18"/>
      <c r="PM91" s="19"/>
      <c r="PN91" s="18"/>
      <c r="PO91" s="19"/>
      <c r="PP91" s="18">
        <v>0.70000000000000173</v>
      </c>
      <c r="PQ91" s="19">
        <v>0.6</v>
      </c>
      <c r="PR91" s="18"/>
      <c r="PS91" s="19"/>
      <c r="PT91" s="18">
        <v>-16.799999999999997</v>
      </c>
      <c r="PU91" s="19">
        <v>0.5</v>
      </c>
      <c r="PV91" s="18">
        <v>0.39999999999999813</v>
      </c>
      <c r="PW91" s="19">
        <v>0.66666666666666663</v>
      </c>
      <c r="PX91" s="18">
        <v>-23.200000000000003</v>
      </c>
      <c r="PY91" s="19">
        <v>0.5</v>
      </c>
      <c r="PZ91" s="18">
        <v>-0.19999999999999796</v>
      </c>
      <c r="QA91" s="19">
        <v>0.66666666666666663</v>
      </c>
      <c r="QB91" s="18">
        <v>7.1999999999999984</v>
      </c>
      <c r="QC91" s="19">
        <v>0.75</v>
      </c>
      <c r="QD91" s="18">
        <v>18.399999999999999</v>
      </c>
      <c r="QE91" s="19">
        <v>1</v>
      </c>
      <c r="QF91" s="18">
        <v>6.3000000000000034</v>
      </c>
      <c r="QG91" s="19">
        <v>0.8</v>
      </c>
      <c r="QH91" s="18">
        <v>25.4</v>
      </c>
      <c r="QI91" s="19">
        <v>0.83333333333333337</v>
      </c>
      <c r="QJ91" s="18">
        <v>12.299999999999995</v>
      </c>
      <c r="QK91" s="19">
        <v>0.8</v>
      </c>
      <c r="QL91" s="18">
        <v>-0.60000000000000053</v>
      </c>
      <c r="QM91" s="19">
        <v>0.66666666666666663</v>
      </c>
      <c r="QN91" s="18">
        <v>3.0999999999999996</v>
      </c>
      <c r="QO91" s="19">
        <v>1</v>
      </c>
      <c r="QP91" s="18">
        <v>8.1</v>
      </c>
      <c r="QQ91" s="19">
        <v>1</v>
      </c>
      <c r="QR91" s="18">
        <v>-0.40000000000000036</v>
      </c>
      <c r="QS91" s="19">
        <v>0.66666666666666663</v>
      </c>
      <c r="QT91" s="18"/>
      <c r="QU91" s="19"/>
      <c r="QV91" s="18">
        <v>3.9</v>
      </c>
      <c r="QW91" s="19">
        <v>1</v>
      </c>
      <c r="QX91" s="18">
        <v>-42.900000000000006</v>
      </c>
      <c r="QY91" s="19">
        <v>0.2</v>
      </c>
      <c r="QZ91" s="18">
        <v>-3.4000000000000008</v>
      </c>
      <c r="RA91" s="19">
        <v>0.4</v>
      </c>
      <c r="RB91" s="18">
        <v>-8.4</v>
      </c>
      <c r="RC91" s="19">
        <v>0</v>
      </c>
      <c r="RD91" s="18">
        <v>-19.599999999999998</v>
      </c>
      <c r="RE91" s="19">
        <v>0</v>
      </c>
      <c r="RF91" s="18">
        <v>8.1</v>
      </c>
      <c r="RG91" s="19">
        <v>0.6</v>
      </c>
      <c r="RH91" s="18">
        <v>-4.8999999999999995</v>
      </c>
      <c r="RI91" s="19">
        <v>0.66666666666666663</v>
      </c>
      <c r="RJ91" s="18">
        <v>-15.1</v>
      </c>
      <c r="RK91" s="19">
        <v>0.33333333333333331</v>
      </c>
      <c r="RL91" s="18"/>
      <c r="RM91" s="19"/>
      <c r="RN91" s="18">
        <v>-31.6</v>
      </c>
      <c r="RO91" s="19">
        <v>0</v>
      </c>
      <c r="RP91" s="18">
        <v>-0.70000000000000062</v>
      </c>
      <c r="RQ91" s="19">
        <v>0.6</v>
      </c>
      <c r="RR91" s="18">
        <v>-7.5000000000000009</v>
      </c>
      <c r="RS91" s="19">
        <v>0.5</v>
      </c>
      <c r="RT91" s="18">
        <v>8.9</v>
      </c>
      <c r="RU91" s="19">
        <v>0.66666666666666663</v>
      </c>
      <c r="RV91" s="18">
        <v>-25.9</v>
      </c>
      <c r="RW91" s="19">
        <v>0.33333333333333331</v>
      </c>
      <c r="RX91" s="18">
        <v>-16</v>
      </c>
      <c r="RY91" s="19">
        <v>0</v>
      </c>
      <c r="RZ91" s="18">
        <v>8.1999999999999993</v>
      </c>
      <c r="SA91" s="19">
        <v>0.75</v>
      </c>
      <c r="SB91" s="18">
        <v>25.1</v>
      </c>
      <c r="SC91" s="19">
        <v>1</v>
      </c>
      <c r="SD91" s="18"/>
      <c r="SE91" s="19"/>
      <c r="SF91" s="18">
        <v>-38.5</v>
      </c>
      <c r="SG91" s="19">
        <v>0.5</v>
      </c>
      <c r="SH91" s="18">
        <v>15.9</v>
      </c>
      <c r="SI91" s="19">
        <v>1</v>
      </c>
      <c r="SJ91" s="18">
        <v>13.700000000000001</v>
      </c>
      <c r="SK91" s="19">
        <v>0.8</v>
      </c>
      <c r="SL91" s="18">
        <v>32.29999999999999</v>
      </c>
      <c r="SM91" s="19">
        <v>1</v>
      </c>
      <c r="SN91" s="18">
        <v>-24.099999999999994</v>
      </c>
      <c r="SO91" s="19">
        <v>0.5</v>
      </c>
      <c r="SP91" s="18">
        <v>11.1</v>
      </c>
      <c r="SQ91" s="19">
        <v>0.75</v>
      </c>
      <c r="SR91" s="18">
        <v>-4.3000000000000016</v>
      </c>
      <c r="SS91" s="19">
        <v>0.5</v>
      </c>
      <c r="ST91" s="18"/>
      <c r="SU91" s="19"/>
      <c r="SV91" s="18"/>
      <c r="SW91" s="19"/>
      <c r="SX91" s="18">
        <v>-42.300000000000004</v>
      </c>
      <c r="SY91" s="19">
        <v>0.25</v>
      </c>
      <c r="SZ91" s="18">
        <v>-4.0999999999999996</v>
      </c>
      <c r="TA91" s="19">
        <v>0</v>
      </c>
      <c r="TB91" s="18">
        <v>8.3000000000000007</v>
      </c>
      <c r="TC91" s="19">
        <v>0.5</v>
      </c>
      <c r="TD91" s="18">
        <v>-24.2</v>
      </c>
      <c r="TE91" s="19">
        <v>0.4</v>
      </c>
      <c r="TF91" s="18">
        <v>-28.900000000000006</v>
      </c>
      <c r="TG91" s="19">
        <v>0.42857142857142855</v>
      </c>
      <c r="TH91" s="18"/>
      <c r="TI91" s="19"/>
      <c r="TJ91" s="18">
        <v>19.599999999999998</v>
      </c>
      <c r="TK91" s="19">
        <v>1</v>
      </c>
      <c r="TL91" s="18">
        <v>-48.4</v>
      </c>
      <c r="TM91" s="19">
        <v>0.2857142857142857</v>
      </c>
      <c r="TN91" s="18">
        <v>-54.199999999999996</v>
      </c>
      <c r="TO91" s="19">
        <v>0.2</v>
      </c>
      <c r="TP91" s="18">
        <v>19.700000000000003</v>
      </c>
      <c r="TQ91" s="19">
        <v>0.5714285714285714</v>
      </c>
      <c r="TR91" s="18">
        <v>-29.000000000000004</v>
      </c>
      <c r="TS91" s="19">
        <v>0.5</v>
      </c>
      <c r="TT91" s="18">
        <v>34.599999999999994</v>
      </c>
      <c r="TU91" s="19">
        <v>0.77777777777777779</v>
      </c>
      <c r="TV91" s="18">
        <v>32.79999999999999</v>
      </c>
      <c r="TW91" s="19">
        <v>0.875</v>
      </c>
      <c r="TX91" s="18"/>
      <c r="TY91" s="19"/>
      <c r="TZ91" s="18">
        <v>-4.7000000000000028</v>
      </c>
      <c r="UA91" s="19">
        <v>0.5</v>
      </c>
      <c r="UB91" s="18">
        <v>-8.6000000000000014</v>
      </c>
      <c r="UC91" s="19">
        <v>0.44444444444444442</v>
      </c>
      <c r="UD91" s="18">
        <v>-13.700000000000001</v>
      </c>
      <c r="UE91" s="19">
        <v>0.5</v>
      </c>
      <c r="UF91" s="18">
        <v>40</v>
      </c>
      <c r="UG91" s="19">
        <v>0.77777777777777779</v>
      </c>
      <c r="UH91" s="18">
        <v>11.499999999999998</v>
      </c>
      <c r="UI91" s="19">
        <v>0.8</v>
      </c>
      <c r="UJ91" s="18">
        <v>-5.3</v>
      </c>
      <c r="UK91" s="19">
        <v>0.66666666666666663</v>
      </c>
      <c r="UL91" s="18">
        <v>30.599999999999998</v>
      </c>
      <c r="UM91" s="19">
        <v>1</v>
      </c>
      <c r="UN91" s="18">
        <v>-24.499999999999996</v>
      </c>
      <c r="UO91" s="19">
        <v>0.33333333333333331</v>
      </c>
      <c r="UP91" s="18"/>
      <c r="UQ91" s="19"/>
      <c r="UR91" s="18">
        <v>-45.099999999999994</v>
      </c>
      <c r="US91" s="19">
        <v>0.25</v>
      </c>
      <c r="UT91" s="18"/>
      <c r="UU91" s="19"/>
      <c r="UV91" s="18">
        <v>37</v>
      </c>
      <c r="UW91" s="19">
        <v>0.875</v>
      </c>
      <c r="UX91" s="18">
        <v>2.1999999999999997</v>
      </c>
      <c r="UY91" s="19">
        <v>0.42857142857142855</v>
      </c>
      <c r="UZ91" s="18">
        <v>-6.5000000000000009</v>
      </c>
      <c r="VA91" s="19">
        <v>0.5</v>
      </c>
      <c r="VB91" s="18"/>
      <c r="VC91" s="19"/>
      <c r="VD91" s="18"/>
      <c r="VE91" s="19"/>
      <c r="VF91" s="18">
        <v>8.1</v>
      </c>
      <c r="VG91" s="19">
        <v>0.66666666666666663</v>
      </c>
      <c r="VH91" s="18">
        <v>-2.600000000000001</v>
      </c>
      <c r="VI91" s="19">
        <v>0.5</v>
      </c>
      <c r="VJ91" s="18">
        <v>11.299999999999999</v>
      </c>
      <c r="VK91" s="19">
        <v>0.75</v>
      </c>
      <c r="VL91" s="18"/>
      <c r="VM91" s="19"/>
      <c r="VN91" s="18">
        <v>-23.6</v>
      </c>
      <c r="VO91" s="19">
        <v>0.5</v>
      </c>
      <c r="VP91" s="18">
        <v>-36.5</v>
      </c>
      <c r="VQ91" s="19">
        <v>0.33333333333333331</v>
      </c>
      <c r="VR91" s="18">
        <v>-7.1000000000000014</v>
      </c>
      <c r="VS91" s="19">
        <v>0.6</v>
      </c>
      <c r="VT91" s="18">
        <v>-11.500000000000004</v>
      </c>
      <c r="VU91" s="19">
        <v>0.5</v>
      </c>
      <c r="VV91" s="18"/>
      <c r="VW91" s="19"/>
      <c r="VX91" s="18"/>
      <c r="VY91" s="19"/>
      <c r="VZ91" s="18">
        <v>9.7000000000000011</v>
      </c>
      <c r="WA91" s="19">
        <v>0.75</v>
      </c>
      <c r="WB91" s="18"/>
      <c r="WC91" s="19"/>
      <c r="WD91" s="18">
        <v>-1.1000000000000032</v>
      </c>
      <c r="WE91" s="19">
        <v>0.66666666666666663</v>
      </c>
      <c r="WF91" s="18">
        <v>-20.700000000000003</v>
      </c>
      <c r="WG91" s="19">
        <v>0.4</v>
      </c>
      <c r="WH91" s="18"/>
      <c r="WI91" s="19"/>
      <c r="WJ91" s="18"/>
      <c r="WK91" s="19"/>
      <c r="WL91" s="18"/>
      <c r="WM91" s="19"/>
      <c r="WN91" s="18"/>
      <c r="WO91" s="19"/>
      <c r="WP91" s="18">
        <v>24.1</v>
      </c>
      <c r="WQ91" s="19">
        <v>1</v>
      </c>
      <c r="WR91" s="18">
        <v>-0.60000000000000053</v>
      </c>
      <c r="WS91" s="19">
        <v>0.5</v>
      </c>
      <c r="WT91" s="18"/>
      <c r="WU91" s="19"/>
      <c r="WV91" s="18"/>
      <c r="WW91" s="19"/>
      <c r="WX91" s="18">
        <v>-5</v>
      </c>
      <c r="WY91" s="19">
        <v>0.5</v>
      </c>
      <c r="WZ91" s="18"/>
      <c r="XA91" s="19"/>
      <c r="XB91" s="18">
        <v>12.299999999999999</v>
      </c>
      <c r="XC91" s="19">
        <v>0.5</v>
      </c>
      <c r="XD91" s="18">
        <v>-37.200000000000003</v>
      </c>
      <c r="XE91" s="19">
        <v>0.375</v>
      </c>
      <c r="XF91" s="18"/>
      <c r="XG91" s="19"/>
      <c r="XH91" s="18"/>
      <c r="XI91" s="19"/>
      <c r="XJ91" s="18">
        <v>-7.5</v>
      </c>
      <c r="XK91" s="19">
        <v>0.6</v>
      </c>
      <c r="XL91" s="18"/>
      <c r="XM91" s="19"/>
      <c r="XN91" s="18">
        <v>-20.900000000000002</v>
      </c>
      <c r="XO91" s="19">
        <v>0.42857142857142855</v>
      </c>
      <c r="XP91" s="18">
        <v>-7.8</v>
      </c>
      <c r="XQ91" s="19">
        <v>0.5</v>
      </c>
      <c r="XR91" s="18"/>
      <c r="XS91" s="19"/>
      <c r="XT91" s="18"/>
      <c r="XU91" s="19"/>
      <c r="XV91" s="18"/>
      <c r="XW91" s="19"/>
    </row>
    <row r="92" spans="2:647" x14ac:dyDescent="0.25">
      <c r="B92" s="755"/>
      <c r="C92" s="764"/>
      <c r="D92" s="755" t="s">
        <v>47</v>
      </c>
      <c r="E92" s="755"/>
      <c r="F92" s="482">
        <v>0.2</v>
      </c>
      <c r="G92" s="476" t="s">
        <v>49</v>
      </c>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c r="CN92" s="6"/>
      <c r="CO92" s="6"/>
      <c r="CP92" s="6"/>
      <c r="CQ92" s="6"/>
      <c r="CR92" s="6"/>
      <c r="CS92" s="6"/>
      <c r="CT92" s="6"/>
      <c r="CU92" s="6"/>
      <c r="CV92" s="6"/>
      <c r="CW92" s="6"/>
      <c r="CX92" s="6"/>
      <c r="CY92" s="6"/>
      <c r="CZ92" s="6"/>
      <c r="DA92" s="6"/>
      <c r="DB92" s="6"/>
      <c r="DC92" s="6"/>
      <c r="DD92" s="6"/>
      <c r="DE92" s="6"/>
      <c r="DF92" s="6"/>
      <c r="DG92" s="6"/>
      <c r="DH92" s="6"/>
      <c r="DI92" s="6"/>
      <c r="DJ92" s="6"/>
      <c r="DK92" s="6"/>
      <c r="DL92" s="6"/>
      <c r="DM92" s="6"/>
      <c r="DN92" s="6"/>
      <c r="DO92" s="6"/>
      <c r="DP92" s="6"/>
      <c r="DQ92" s="6"/>
      <c r="DR92" s="6"/>
      <c r="DS92" s="6"/>
      <c r="DT92" s="6"/>
      <c r="DU92" s="6"/>
      <c r="DV92" s="6"/>
      <c r="DW92" s="6"/>
      <c r="DX92" s="6"/>
      <c r="DY92" s="6"/>
      <c r="DZ92" s="6"/>
      <c r="EA92" s="6"/>
      <c r="EB92" s="6"/>
      <c r="EC92" s="6"/>
      <c r="ED92" s="6"/>
      <c r="EE92" s="6"/>
      <c r="EF92" s="6"/>
      <c r="EG92" s="6"/>
      <c r="EH92" s="6"/>
      <c r="EI92" s="6"/>
      <c r="EJ92" s="6"/>
      <c r="EK92" s="6"/>
      <c r="EL92" s="6"/>
      <c r="EM92" s="6"/>
      <c r="EN92" s="6"/>
      <c r="EO92" s="6"/>
      <c r="EP92" s="6"/>
      <c r="EQ92" s="6"/>
      <c r="ER92" s="487"/>
      <c r="ES92" s="1"/>
      <c r="ET92" s="487"/>
      <c r="EU92" s="1"/>
      <c r="EV92" s="487"/>
      <c r="EW92" s="1"/>
      <c r="EX92" s="487"/>
      <c r="EY92" s="1"/>
      <c r="EZ92" s="487"/>
      <c r="FA92" s="1"/>
      <c r="FB92" s="487"/>
      <c r="FC92" s="1"/>
      <c r="FD92" s="487"/>
      <c r="FE92" s="1"/>
      <c r="FF92" s="487"/>
      <c r="FG92" s="1"/>
      <c r="FH92" s="487"/>
      <c r="FI92" s="1"/>
      <c r="FJ92" s="487"/>
      <c r="FK92" s="1"/>
      <c r="FL92" s="487"/>
      <c r="FM92" s="1"/>
      <c r="FN92" s="487"/>
      <c r="FO92" s="1"/>
      <c r="FP92" s="487"/>
      <c r="FQ92" s="1"/>
      <c r="FR92" s="487"/>
      <c r="FS92" s="1"/>
      <c r="FT92" s="487"/>
      <c r="FU92" s="1"/>
      <c r="FV92" s="487"/>
      <c r="FW92" s="1"/>
      <c r="FX92" s="487"/>
      <c r="FY92" s="1"/>
      <c r="FZ92" s="487"/>
      <c r="GA92" s="1"/>
      <c r="GB92" s="487"/>
      <c r="GC92" s="1"/>
      <c r="GD92" s="487"/>
      <c r="GE92" s="1"/>
      <c r="GF92" s="487"/>
      <c r="GG92" s="1"/>
      <c r="GH92" s="487"/>
      <c r="GI92" s="1"/>
      <c r="GJ92" s="487"/>
      <c r="GK92" s="1"/>
      <c r="GL92" s="487"/>
      <c r="GM92" s="1"/>
      <c r="GN92" s="487"/>
      <c r="GO92" s="1"/>
      <c r="GP92" s="487"/>
      <c r="GQ92" s="1"/>
      <c r="GR92" s="487"/>
      <c r="GS92" s="1"/>
      <c r="GT92" s="487"/>
      <c r="GU92" s="1"/>
      <c r="GV92" s="487"/>
      <c r="GW92" s="1"/>
      <c r="GX92" s="487"/>
      <c r="GY92" s="1"/>
      <c r="GZ92" s="487"/>
      <c r="HA92" s="1"/>
      <c r="HB92" s="487"/>
      <c r="HC92" s="1"/>
      <c r="HD92" s="487"/>
      <c r="HE92" s="1"/>
      <c r="HF92" s="487"/>
      <c r="HG92" s="1"/>
      <c r="HH92" s="487"/>
      <c r="HI92" s="1"/>
      <c r="HJ92" s="487"/>
      <c r="HK92" s="1"/>
      <c r="HL92" s="487"/>
      <c r="HM92" s="1"/>
      <c r="HN92" s="487"/>
      <c r="HO92" s="1"/>
      <c r="HP92" s="487"/>
      <c r="HQ92" s="1"/>
      <c r="HR92" s="487"/>
      <c r="HS92" s="1"/>
      <c r="HT92" s="487"/>
      <c r="HU92" s="1"/>
      <c r="HV92" s="487"/>
      <c r="HW92" s="1"/>
      <c r="HX92" s="487"/>
      <c r="HY92" s="1"/>
      <c r="HZ92" s="487"/>
      <c r="IA92" s="1"/>
      <c r="IB92" s="487"/>
      <c r="IC92" s="1"/>
      <c r="ID92" s="487"/>
      <c r="IE92" s="1"/>
      <c r="IF92" s="487"/>
      <c r="IG92" s="1"/>
      <c r="IH92" s="487"/>
      <c r="II92" s="1"/>
      <c r="IJ92" s="487"/>
      <c r="IK92" s="1"/>
      <c r="IL92" s="487"/>
      <c r="IM92" s="1"/>
      <c r="IN92" s="487"/>
      <c r="IO92" s="1"/>
      <c r="IP92" s="487"/>
      <c r="IQ92" s="1"/>
      <c r="IR92" s="487"/>
      <c r="IS92" s="1"/>
      <c r="IT92" s="487"/>
      <c r="IU92" s="1"/>
      <c r="IV92" s="487"/>
      <c r="IW92" s="1"/>
      <c r="IX92" s="487"/>
      <c r="IY92" s="1"/>
      <c r="IZ92" s="487"/>
      <c r="JA92" s="1"/>
      <c r="JB92" s="487"/>
      <c r="JC92" s="1"/>
      <c r="JD92" s="487"/>
      <c r="JE92" s="1"/>
      <c r="JF92" s="487"/>
      <c r="JG92" s="1"/>
      <c r="JH92" s="487"/>
      <c r="JI92" s="1"/>
      <c r="JJ92" s="487"/>
      <c r="JK92" s="1"/>
      <c r="JL92" s="487"/>
      <c r="JM92" s="1"/>
      <c r="JN92" s="487"/>
      <c r="JO92" s="1"/>
      <c r="JP92" s="487"/>
      <c r="JQ92" s="1"/>
      <c r="JR92" s="487"/>
      <c r="JS92" s="1"/>
      <c r="JT92" s="487"/>
      <c r="JU92" s="1"/>
      <c r="JV92" s="487"/>
      <c r="JW92" s="1"/>
      <c r="JX92" s="487"/>
      <c r="JY92" s="1"/>
      <c r="JZ92" s="487"/>
      <c r="KA92" s="1"/>
      <c r="KB92" s="487"/>
      <c r="KC92" s="1"/>
      <c r="KD92" s="487"/>
      <c r="KE92" s="1"/>
      <c r="KF92" s="487"/>
      <c r="KG92" s="1"/>
      <c r="KH92" s="487"/>
      <c r="KI92" s="1"/>
      <c r="KJ92" s="487"/>
      <c r="KK92" s="1"/>
      <c r="KL92" s="487"/>
      <c r="KM92" s="1"/>
      <c r="KN92" s="487"/>
      <c r="KO92" s="1"/>
      <c r="KP92" s="487"/>
      <c r="KQ92" s="1"/>
      <c r="KR92" s="487"/>
      <c r="KS92" s="1"/>
      <c r="KT92" s="487"/>
      <c r="KU92" s="1"/>
      <c r="KV92" s="487"/>
      <c r="KW92" s="1"/>
      <c r="KX92" s="487"/>
      <c r="KY92" s="1"/>
      <c r="KZ92" s="487"/>
      <c r="LA92" s="1"/>
      <c r="LB92" s="487"/>
      <c r="LC92" s="1"/>
      <c r="LD92" s="487"/>
      <c r="LE92" s="1"/>
      <c r="LF92" s="487"/>
      <c r="LG92" s="1"/>
      <c r="LH92" s="487"/>
      <c r="LI92" s="1"/>
      <c r="LJ92" s="487"/>
      <c r="LK92" s="1"/>
      <c r="LL92" s="487"/>
      <c r="LM92" s="1"/>
      <c r="LN92" s="487"/>
      <c r="LO92" s="1"/>
      <c r="LP92" s="487"/>
      <c r="LQ92" s="1"/>
      <c r="LR92" s="487"/>
      <c r="LS92" s="1"/>
      <c r="LT92" s="487"/>
      <c r="LU92" s="1"/>
      <c r="LV92" s="487"/>
      <c r="LW92" s="1"/>
      <c r="LX92" s="487"/>
      <c r="LY92" s="1"/>
      <c r="LZ92" s="487"/>
      <c r="MA92" s="1"/>
      <c r="MB92" s="487"/>
      <c r="MC92" s="1"/>
      <c r="MD92" s="487"/>
      <c r="ME92" s="1"/>
      <c r="MF92" s="487"/>
      <c r="MG92" s="1"/>
      <c r="MH92" s="487"/>
      <c r="MI92" s="1"/>
      <c r="MJ92" s="487"/>
      <c r="MK92" s="1"/>
      <c r="ML92" s="487"/>
      <c r="MM92" s="1"/>
      <c r="MN92" s="487"/>
      <c r="MO92" s="1"/>
      <c r="MP92" s="487"/>
      <c r="MQ92" s="1"/>
      <c r="MR92" s="487"/>
      <c r="MS92" s="1"/>
      <c r="MT92" s="487"/>
      <c r="MU92" s="1"/>
      <c r="MV92" s="487"/>
      <c r="MW92" s="1"/>
      <c r="MX92" s="487"/>
      <c r="MY92" s="1"/>
      <c r="MZ92" s="487"/>
      <c r="NA92" s="1"/>
      <c r="NB92" s="487"/>
      <c r="NC92" s="1"/>
      <c r="ND92" s="487"/>
      <c r="NE92" s="1"/>
      <c r="NF92" s="487"/>
      <c r="NG92" s="1"/>
      <c r="NH92" s="487"/>
      <c r="NI92" s="1"/>
      <c r="NJ92" s="487"/>
      <c r="NK92" s="1"/>
      <c r="NL92" s="487"/>
      <c r="NM92" s="1"/>
      <c r="NN92" s="487"/>
      <c r="NO92" s="1"/>
      <c r="NP92" s="487"/>
      <c r="NQ92" s="1"/>
      <c r="NR92" s="487"/>
      <c r="NS92" s="1"/>
      <c r="NT92" s="487"/>
      <c r="NU92" s="1"/>
      <c r="NV92" s="487"/>
      <c r="NW92" s="1"/>
      <c r="NX92" s="487"/>
      <c r="NY92" s="1"/>
      <c r="NZ92" s="487"/>
      <c r="OA92" s="1"/>
      <c r="OB92" s="487"/>
      <c r="OC92" s="1"/>
      <c r="OD92" s="487"/>
      <c r="OE92" s="1"/>
      <c r="OF92" s="487"/>
      <c r="OG92" s="1"/>
      <c r="OH92" s="487"/>
      <c r="OI92" s="1"/>
      <c r="OJ92" s="487"/>
      <c r="OK92" s="1"/>
      <c r="OL92" s="487"/>
      <c r="OM92" s="1"/>
      <c r="ON92" s="487"/>
      <c r="OO92" s="1"/>
      <c r="OP92" s="487"/>
      <c r="OQ92" s="1"/>
      <c r="OR92" s="487"/>
      <c r="OS92" s="1"/>
      <c r="OT92" s="487"/>
      <c r="OU92" s="1"/>
      <c r="OV92" s="487"/>
      <c r="OW92" s="1"/>
      <c r="OX92" s="487"/>
      <c r="OY92" s="1"/>
      <c r="OZ92" s="487">
        <v>3.6111111111111112</v>
      </c>
      <c r="PA92" s="1">
        <v>0.72727272727272729</v>
      </c>
      <c r="PB92" s="487">
        <v>0.33333333333332921</v>
      </c>
      <c r="PC92" s="1">
        <v>0.6875</v>
      </c>
      <c r="PD92" s="487">
        <v>93.888888888888886</v>
      </c>
      <c r="PE92" s="1">
        <v>0.93333333333333335</v>
      </c>
      <c r="PF92" s="487">
        <v>8.411111111111115</v>
      </c>
      <c r="PG92" s="1">
        <v>0.73333333333333328</v>
      </c>
      <c r="PH92" s="487">
        <v>-151.88888888888889</v>
      </c>
      <c r="PI92" s="1">
        <v>0.1111111111111111</v>
      </c>
      <c r="PJ92" s="487">
        <v>35.788888888888884</v>
      </c>
      <c r="PK92" s="1">
        <v>0.76923076923076927</v>
      </c>
      <c r="PL92" s="487"/>
      <c r="PM92" s="1"/>
      <c r="PN92" s="487"/>
      <c r="PO92" s="1"/>
      <c r="PP92" s="487">
        <v>63.044444444444444</v>
      </c>
      <c r="PQ92" s="1">
        <v>0.84615384615384615</v>
      </c>
      <c r="PR92" s="487"/>
      <c r="PS92" s="1"/>
      <c r="PT92" s="487">
        <v>31.9</v>
      </c>
      <c r="PU92" s="1">
        <v>0.7857142857142857</v>
      </c>
      <c r="PV92" s="487">
        <v>33.43333333333333</v>
      </c>
      <c r="PW92" s="1">
        <v>0.81818181818181823</v>
      </c>
      <c r="PX92" s="487">
        <v>-34.477777777777767</v>
      </c>
      <c r="PY92" s="1">
        <v>0.61538461538461542</v>
      </c>
      <c r="PZ92" s="487">
        <v>-83.466666666666654</v>
      </c>
      <c r="QA92" s="1">
        <v>0.5</v>
      </c>
      <c r="QB92" s="487">
        <v>-116.17777777777779</v>
      </c>
      <c r="QC92" s="1">
        <v>0.38461538461538464</v>
      </c>
      <c r="QD92" s="487">
        <v>40.611111111111114</v>
      </c>
      <c r="QE92" s="1">
        <v>0.72727272727272729</v>
      </c>
      <c r="QF92" s="487">
        <v>28.866666666666667</v>
      </c>
      <c r="QG92" s="1">
        <v>0.8571428571428571</v>
      </c>
      <c r="QH92" s="487">
        <v>93.522222222222226</v>
      </c>
      <c r="QI92" s="1">
        <v>0.93333333333333335</v>
      </c>
      <c r="QJ92" s="487">
        <v>27.2</v>
      </c>
      <c r="QK92" s="1">
        <v>0.7857142857142857</v>
      </c>
      <c r="QL92" s="487">
        <v>-57.62222222222222</v>
      </c>
      <c r="QM92" s="1">
        <v>0.4</v>
      </c>
      <c r="QN92" s="487">
        <v>-4.0222222222222195</v>
      </c>
      <c r="QO92" s="1">
        <v>0.66666666666666663</v>
      </c>
      <c r="QP92" s="487">
        <v>13.655555555555555</v>
      </c>
      <c r="QQ92" s="1">
        <v>0.75</v>
      </c>
      <c r="QR92" s="487">
        <v>16.100000000000001</v>
      </c>
      <c r="QS92" s="1">
        <v>0.77777777777777779</v>
      </c>
      <c r="QT92" s="487"/>
      <c r="QU92" s="1"/>
      <c r="QV92" s="487">
        <v>30.333333333333325</v>
      </c>
      <c r="QW92" s="1">
        <v>0.6875</v>
      </c>
      <c r="QX92" s="487">
        <v>-14.677777777777779</v>
      </c>
      <c r="QY92" s="1">
        <v>0.6</v>
      </c>
      <c r="QZ92" s="487">
        <v>-46.955555555555556</v>
      </c>
      <c r="RA92" s="1">
        <v>0.5</v>
      </c>
      <c r="RB92" s="487">
        <v>27.066666666666656</v>
      </c>
      <c r="RC92" s="1">
        <v>0.73333333333333328</v>
      </c>
      <c r="RD92" s="487">
        <v>-31.300000000000008</v>
      </c>
      <c r="RE92" s="1">
        <v>0.58333333333333337</v>
      </c>
      <c r="RF92" s="487">
        <v>-20.077777777777786</v>
      </c>
      <c r="RG92" s="1">
        <v>0.61538461538461542</v>
      </c>
      <c r="RH92" s="487">
        <v>70</v>
      </c>
      <c r="RI92" s="1">
        <v>0.91666666666666663</v>
      </c>
      <c r="RJ92" s="487">
        <v>-76.566666666666663</v>
      </c>
      <c r="RK92" s="1">
        <v>0.375</v>
      </c>
      <c r="RL92" s="487"/>
      <c r="RM92" s="1"/>
      <c r="RN92" s="487">
        <v>-32.188888888888876</v>
      </c>
      <c r="RO92" s="1">
        <v>0.61538461538461542</v>
      </c>
      <c r="RP92" s="487">
        <v>-51.188888888888883</v>
      </c>
      <c r="RQ92" s="1">
        <v>0.54545454545454541</v>
      </c>
      <c r="RR92" s="487">
        <v>-27.844444444444441</v>
      </c>
      <c r="RS92" s="1">
        <v>0.61538461538461542</v>
      </c>
      <c r="RT92" s="487">
        <v>8.0111111111111093</v>
      </c>
      <c r="RU92" s="1">
        <v>0.6875</v>
      </c>
      <c r="RV92" s="487">
        <v>-69.777777777777771</v>
      </c>
      <c r="RW92" s="1">
        <v>0.5</v>
      </c>
      <c r="RX92" s="487">
        <v>-48.43333333333333</v>
      </c>
      <c r="RY92" s="1">
        <v>0.53333333333333333</v>
      </c>
      <c r="RZ92" s="487">
        <v>-28.200000000000003</v>
      </c>
      <c r="SA92" s="1">
        <v>0.6428571428571429</v>
      </c>
      <c r="SB92" s="487">
        <v>-62.722222222222243</v>
      </c>
      <c r="SC92" s="1">
        <v>0.53333333333333333</v>
      </c>
      <c r="SD92" s="487"/>
      <c r="SE92" s="1"/>
      <c r="SF92" s="487">
        <v>-46.44444444444445</v>
      </c>
      <c r="SG92" s="1">
        <v>0.58333333333333337</v>
      </c>
      <c r="SH92" s="487">
        <v>2.8333333333333321</v>
      </c>
      <c r="SI92" s="1">
        <v>0.7142857142857143</v>
      </c>
      <c r="SJ92" s="487">
        <v>-5.5444444444444443</v>
      </c>
      <c r="SK92" s="1">
        <v>0.69230769230769229</v>
      </c>
      <c r="SL92" s="487">
        <v>-156.08888888888887</v>
      </c>
      <c r="SM92" s="1">
        <v>0.26666666666666666</v>
      </c>
      <c r="SN92" s="487">
        <v>74.588888888888889</v>
      </c>
      <c r="SO92" s="1">
        <v>0.8571428571428571</v>
      </c>
      <c r="SP92" s="487">
        <v>-56.800000000000004</v>
      </c>
      <c r="SQ92" s="1">
        <v>0.53333333333333333</v>
      </c>
      <c r="SR92" s="487">
        <v>37.233333333333341</v>
      </c>
      <c r="SS92" s="1">
        <v>0.83333333333333337</v>
      </c>
      <c r="ST92" s="487"/>
      <c r="SU92" s="1"/>
      <c r="SV92" s="487"/>
      <c r="SW92" s="1"/>
      <c r="SX92" s="487">
        <v>12.499999999999993</v>
      </c>
      <c r="SY92" s="1">
        <v>0.75</v>
      </c>
      <c r="SZ92" s="487">
        <v>-138.32222222222222</v>
      </c>
      <c r="TA92" s="1">
        <v>0.35714285714285715</v>
      </c>
      <c r="TB92" s="487">
        <v>60.477777777777774</v>
      </c>
      <c r="TC92" s="1">
        <v>0.90909090909090906</v>
      </c>
      <c r="TD92" s="487">
        <v>53.077777777777769</v>
      </c>
      <c r="TE92" s="1">
        <v>0.90909090909090906</v>
      </c>
      <c r="TF92" s="487">
        <v>5.7444444444444445</v>
      </c>
      <c r="TG92" s="1">
        <v>0.75</v>
      </c>
      <c r="TH92" s="488"/>
      <c r="TI92" s="1"/>
      <c r="TJ92" s="489">
        <v>-11.949999999999996</v>
      </c>
      <c r="TK92" s="1">
        <v>0.69230769230769229</v>
      </c>
      <c r="TL92" s="490">
        <v>15.299999999999994</v>
      </c>
      <c r="TM92" s="1">
        <v>0.75</v>
      </c>
      <c r="TN92" s="495">
        <v>-125.60000000000002</v>
      </c>
      <c r="TO92" s="1">
        <v>0.35714285714285715</v>
      </c>
      <c r="TP92" s="500">
        <v>-84.5</v>
      </c>
      <c r="TQ92" s="1">
        <v>0.5</v>
      </c>
      <c r="TR92" s="511">
        <v>57.099999999999987</v>
      </c>
      <c r="TS92" s="1">
        <v>0.8571428571428571</v>
      </c>
      <c r="TT92" s="515">
        <v>-74.749999999999986</v>
      </c>
      <c r="TU92" s="1">
        <v>0.46153846153846156</v>
      </c>
      <c r="TV92" s="518">
        <v>76.849999999999994</v>
      </c>
      <c r="TW92" s="1">
        <v>0.9285714285714286</v>
      </c>
      <c r="TX92" s="521"/>
      <c r="TY92" s="1"/>
      <c r="TZ92" s="524">
        <v>17.7</v>
      </c>
      <c r="UA92" s="1">
        <v>0.66666666666666663</v>
      </c>
      <c r="UB92" s="527">
        <v>-8.75</v>
      </c>
      <c r="UC92" s="1">
        <v>0.63636363636363635</v>
      </c>
      <c r="UD92" s="530">
        <v>56.900000000000013</v>
      </c>
      <c r="UE92" s="1">
        <v>0.8571428571428571</v>
      </c>
      <c r="UF92" s="533">
        <v>-118.14999999999999</v>
      </c>
      <c r="UG92" s="1">
        <v>0.30769230769230771</v>
      </c>
      <c r="UH92" s="536">
        <v>-5.1500000000000012</v>
      </c>
      <c r="UI92" s="1">
        <v>0.7142857142857143</v>
      </c>
      <c r="UJ92" s="539">
        <v>14.300000000000002</v>
      </c>
      <c r="UK92" s="1">
        <v>0.75</v>
      </c>
      <c r="UL92" s="540">
        <v>-44.4</v>
      </c>
      <c r="UM92" s="1">
        <v>0.5625</v>
      </c>
      <c r="UN92" s="543">
        <v>9.2499999999999947</v>
      </c>
      <c r="UO92" s="1">
        <v>0.61538461538461542</v>
      </c>
      <c r="UP92" s="544"/>
      <c r="UQ92" s="1"/>
      <c r="UR92" s="551">
        <v>-127.44999999999999</v>
      </c>
      <c r="US92" s="1">
        <v>0.33333333333333331</v>
      </c>
      <c r="UT92" s="551"/>
      <c r="UU92" s="1"/>
      <c r="UV92" s="562">
        <v>-8.9499999999999957</v>
      </c>
      <c r="UW92" s="1">
        <v>0.7</v>
      </c>
      <c r="UX92" s="566">
        <v>-28.399999999999991</v>
      </c>
      <c r="UY92" s="1">
        <v>0.5</v>
      </c>
      <c r="UZ92" s="568">
        <v>51.95</v>
      </c>
      <c r="VA92" s="1">
        <v>0.88888888888888884</v>
      </c>
      <c r="VB92" s="572"/>
      <c r="VC92" s="1"/>
      <c r="VD92" s="576"/>
      <c r="VE92" s="1"/>
      <c r="VF92" s="580">
        <v>51.25</v>
      </c>
      <c r="VG92" s="1">
        <v>0.83333333333333337</v>
      </c>
      <c r="VH92" s="584">
        <v>-68.25</v>
      </c>
      <c r="VI92" s="1">
        <v>0.5</v>
      </c>
      <c r="VJ92" s="589">
        <v>-44.050000000000018</v>
      </c>
      <c r="VK92" s="1">
        <v>0.33333333333333331</v>
      </c>
      <c r="VL92" s="593"/>
      <c r="VM92" s="1"/>
      <c r="VN92" s="597">
        <v>-57.300000000000004</v>
      </c>
      <c r="VO92" s="1">
        <v>0.5</v>
      </c>
      <c r="VP92" s="601">
        <v>100</v>
      </c>
      <c r="VQ92" s="1">
        <v>0.9375</v>
      </c>
      <c r="VR92" s="603">
        <v>65.399999999999991</v>
      </c>
      <c r="VS92" s="1">
        <v>0.91666666666666663</v>
      </c>
      <c r="VT92" s="607">
        <v>89.45</v>
      </c>
      <c r="VU92" s="1">
        <v>1</v>
      </c>
      <c r="VV92" s="609"/>
      <c r="VW92" s="1"/>
      <c r="VX92" s="613"/>
      <c r="VY92" s="1"/>
      <c r="VZ92" s="617">
        <v>-33.650000000000006</v>
      </c>
      <c r="WA92" s="1">
        <v>0.6</v>
      </c>
      <c r="WB92" s="619"/>
      <c r="WC92" s="1"/>
      <c r="WD92" s="624">
        <v>-9.3499999999999925</v>
      </c>
      <c r="WE92" s="1">
        <v>0.6875</v>
      </c>
      <c r="WF92" s="626">
        <v>27.65</v>
      </c>
      <c r="WG92" s="1">
        <v>0.75</v>
      </c>
      <c r="WH92" s="630"/>
      <c r="WI92" s="1"/>
      <c r="WJ92" s="636"/>
      <c r="WK92" s="1"/>
      <c r="WL92" s="638"/>
      <c r="WM92" s="1"/>
      <c r="WN92" s="642"/>
      <c r="WO92" s="1"/>
      <c r="WP92" s="646">
        <v>-15.45</v>
      </c>
      <c r="WQ92" s="1">
        <v>0.625</v>
      </c>
      <c r="WR92" s="652">
        <v>46.999999999999993</v>
      </c>
      <c r="WS92" s="1">
        <v>0.8</v>
      </c>
      <c r="WT92" s="659"/>
      <c r="WU92" s="1"/>
      <c r="WV92" s="659"/>
      <c r="WW92" s="1"/>
      <c r="WX92" s="672">
        <v>-74.000000000000014</v>
      </c>
      <c r="WY92" s="1">
        <v>0.53333333333333333</v>
      </c>
      <c r="WZ92" s="677"/>
      <c r="XA92" s="1"/>
      <c r="XB92" s="681">
        <v>-54.449999999999982</v>
      </c>
      <c r="XC92" s="1">
        <v>0.46666666666666667</v>
      </c>
      <c r="XD92" s="683">
        <v>22.149999999999991</v>
      </c>
      <c r="XE92" s="1">
        <v>0.76923076923076927</v>
      </c>
      <c r="XF92" s="687"/>
      <c r="XG92" s="1"/>
      <c r="XH92" s="689"/>
      <c r="XI92" s="1"/>
      <c r="XJ92" s="696">
        <v>-82.950000000000017</v>
      </c>
      <c r="XK92" s="1">
        <v>0.5</v>
      </c>
      <c r="XL92" s="696"/>
      <c r="XM92" s="1"/>
      <c r="XN92" s="696">
        <v>-73.999999999999986</v>
      </c>
      <c r="XO92" s="1">
        <v>0.5</v>
      </c>
      <c r="XP92" s="700">
        <v>-11.25</v>
      </c>
      <c r="XQ92" s="1">
        <v>0.6875</v>
      </c>
      <c r="XR92" s="705"/>
      <c r="XS92" s="1"/>
      <c r="XT92" s="709"/>
      <c r="XU92" s="1"/>
      <c r="XV92" s="715"/>
      <c r="XW92" s="1"/>
    </row>
    <row r="93" spans="2:647" x14ac:dyDescent="0.25">
      <c r="B93" s="755"/>
      <c r="C93" s="764"/>
      <c r="D93" s="755" t="s">
        <v>31</v>
      </c>
      <c r="E93" s="755"/>
      <c r="F93" s="482">
        <v>0.3</v>
      </c>
      <c r="G93" s="475" t="s">
        <v>49</v>
      </c>
      <c r="H93" s="6"/>
      <c r="I93" s="6"/>
      <c r="J93" s="6"/>
      <c r="K93" s="6"/>
      <c r="L93" s="6"/>
      <c r="M93" s="6"/>
      <c r="N93" s="6"/>
      <c r="O93" s="6"/>
      <c r="P93" s="6"/>
      <c r="Q93" s="6"/>
      <c r="R93" s="6"/>
      <c r="S93" s="6"/>
      <c r="T93" s="6"/>
      <c r="U93" s="6"/>
      <c r="V93" s="6"/>
      <c r="W93" s="6"/>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c r="BA93" s="6"/>
      <c r="BB93" s="6"/>
      <c r="BC93" s="6"/>
      <c r="BD93" s="6"/>
      <c r="BE93" s="6"/>
      <c r="BF93" s="6"/>
      <c r="BG93" s="6"/>
      <c r="BH93" s="6"/>
      <c r="BI93" s="6"/>
      <c r="BJ93" s="6"/>
      <c r="BK93" s="6"/>
      <c r="BL93" s="6"/>
      <c r="BM93" s="6"/>
      <c r="BN93" s="6"/>
      <c r="BO93" s="6"/>
      <c r="BP93" s="6"/>
      <c r="BQ93" s="6"/>
      <c r="BR93" s="6"/>
      <c r="BS93" s="6"/>
      <c r="BT93" s="6"/>
      <c r="BU93" s="6"/>
      <c r="BV93" s="6"/>
      <c r="BW93" s="6"/>
      <c r="BX93" s="6"/>
      <c r="BY93" s="6"/>
      <c r="BZ93" s="6"/>
      <c r="CA93" s="6"/>
      <c r="CB93" s="6"/>
      <c r="CC93" s="6"/>
      <c r="CD93" s="6"/>
      <c r="CE93" s="6"/>
      <c r="CF93" s="6"/>
      <c r="CG93" s="6"/>
      <c r="CH93" s="6"/>
      <c r="CI93" s="6"/>
      <c r="CJ93" s="6"/>
      <c r="CK93" s="6"/>
      <c r="CL93" s="6"/>
      <c r="CM93" s="6"/>
      <c r="CN93" s="6"/>
      <c r="CO93" s="6"/>
      <c r="CP93" s="6"/>
      <c r="CQ93" s="6"/>
      <c r="CR93" s="6"/>
      <c r="CS93" s="6"/>
      <c r="CT93" s="6"/>
      <c r="CU93" s="6"/>
      <c r="CV93" s="6"/>
      <c r="CW93" s="6"/>
      <c r="CX93" s="6"/>
      <c r="CY93" s="6"/>
      <c r="CZ93" s="6"/>
      <c r="DA93" s="6"/>
      <c r="DB93" s="6"/>
      <c r="DC93" s="6"/>
      <c r="DD93" s="6"/>
      <c r="DE93" s="6"/>
      <c r="DF93" s="6"/>
      <c r="DG93" s="6"/>
      <c r="DH93" s="6"/>
      <c r="DI93" s="6"/>
      <c r="DJ93" s="6"/>
      <c r="DK93" s="6"/>
      <c r="DL93" s="6"/>
      <c r="DM93" s="6"/>
      <c r="DN93" s="6"/>
      <c r="DO93" s="6"/>
      <c r="DP93" s="6"/>
      <c r="DQ93" s="6"/>
      <c r="DR93" s="6"/>
      <c r="DS93" s="6"/>
      <c r="DT93" s="6"/>
      <c r="DU93" s="6"/>
      <c r="DV93" s="6"/>
      <c r="DW93" s="6"/>
      <c r="DX93" s="6"/>
      <c r="DY93" s="6"/>
      <c r="DZ93" s="6"/>
      <c r="EA93" s="6"/>
      <c r="EB93" s="6"/>
      <c r="EC93" s="6"/>
      <c r="ED93" s="6"/>
      <c r="EE93" s="6"/>
      <c r="EF93" s="6"/>
      <c r="EG93" s="6"/>
      <c r="EH93" s="6"/>
      <c r="EI93" s="6"/>
      <c r="EJ93" s="6"/>
      <c r="EK93" s="6"/>
      <c r="EL93" s="6"/>
      <c r="EM93" s="6"/>
      <c r="EN93" s="6"/>
      <c r="EO93" s="6"/>
      <c r="EP93" s="6"/>
      <c r="EQ93" s="6"/>
      <c r="ER93" s="487"/>
      <c r="ES93" s="1"/>
      <c r="ET93" s="487"/>
      <c r="EU93" s="1"/>
      <c r="EV93" s="487"/>
      <c r="EW93" s="1"/>
      <c r="EX93" s="487"/>
      <c r="EY93" s="1"/>
      <c r="EZ93" s="487"/>
      <c r="FA93" s="1"/>
      <c r="FB93" s="487"/>
      <c r="FC93" s="1"/>
      <c r="FD93" s="487"/>
      <c r="FE93" s="1"/>
      <c r="FF93" s="487"/>
      <c r="FG93" s="1"/>
      <c r="FH93" s="487"/>
      <c r="FI93" s="1"/>
      <c r="FJ93" s="487"/>
      <c r="FK93" s="1"/>
      <c r="FL93" s="487"/>
      <c r="FM93" s="1"/>
      <c r="FN93" s="487"/>
      <c r="FO93" s="1"/>
      <c r="FP93" s="487"/>
      <c r="FQ93" s="1"/>
      <c r="FR93" s="487"/>
      <c r="FS93" s="1"/>
      <c r="FT93" s="487"/>
      <c r="FU93" s="1"/>
      <c r="FV93" s="487"/>
      <c r="FW93" s="1"/>
      <c r="FX93" s="487"/>
      <c r="FY93" s="1"/>
      <c r="FZ93" s="487"/>
      <c r="GA93" s="1"/>
      <c r="GB93" s="487"/>
      <c r="GC93" s="1"/>
      <c r="GD93" s="487"/>
      <c r="GE93" s="1"/>
      <c r="GF93" s="487"/>
      <c r="GG93" s="1"/>
      <c r="GH93" s="487"/>
      <c r="GI93" s="1"/>
      <c r="GJ93" s="487"/>
      <c r="GK93" s="1"/>
      <c r="GL93" s="487"/>
      <c r="GM93" s="1"/>
      <c r="GN93" s="487"/>
      <c r="GO93" s="1"/>
      <c r="GP93" s="487"/>
      <c r="GQ93" s="1"/>
      <c r="GR93" s="487"/>
      <c r="GS93" s="1"/>
      <c r="GT93" s="487"/>
      <c r="GU93" s="1"/>
      <c r="GV93" s="487"/>
      <c r="GW93" s="1"/>
      <c r="GX93" s="487"/>
      <c r="GY93" s="1"/>
      <c r="GZ93" s="487"/>
      <c r="HA93" s="1"/>
      <c r="HB93" s="487"/>
      <c r="HC93" s="1"/>
      <c r="HD93" s="487"/>
      <c r="HE93" s="1"/>
      <c r="HF93" s="487"/>
      <c r="HG93" s="1"/>
      <c r="HH93" s="487"/>
      <c r="HI93" s="1"/>
      <c r="HJ93" s="487"/>
      <c r="HK93" s="1"/>
      <c r="HL93" s="487"/>
      <c r="HM93" s="1"/>
      <c r="HN93" s="487"/>
      <c r="HO93" s="1"/>
      <c r="HP93" s="487"/>
      <c r="HQ93" s="1"/>
      <c r="HR93" s="487"/>
      <c r="HS93" s="1"/>
      <c r="HT93" s="487"/>
      <c r="HU93" s="1"/>
      <c r="HV93" s="487"/>
      <c r="HW93" s="1"/>
      <c r="HX93" s="487"/>
      <c r="HY93" s="1"/>
      <c r="HZ93" s="487"/>
      <c r="IA93" s="1"/>
      <c r="IB93" s="487"/>
      <c r="IC93" s="1"/>
      <c r="ID93" s="487"/>
      <c r="IE93" s="1"/>
      <c r="IF93" s="487"/>
      <c r="IG93" s="1"/>
      <c r="IH93" s="487"/>
      <c r="II93" s="1"/>
      <c r="IJ93" s="487"/>
      <c r="IK93" s="1"/>
      <c r="IL93" s="487"/>
      <c r="IM93" s="1"/>
      <c r="IN93" s="487"/>
      <c r="IO93" s="1"/>
      <c r="IP93" s="487"/>
      <c r="IQ93" s="1"/>
      <c r="IR93" s="487">
        <v>14.5</v>
      </c>
      <c r="IS93" s="1">
        <v>0.63636363636363635</v>
      </c>
      <c r="IT93" s="487">
        <v>-3.6333333333333346</v>
      </c>
      <c r="IU93" s="1">
        <v>0.44444444444444442</v>
      </c>
      <c r="IV93" s="487">
        <v>-23.199999999999992</v>
      </c>
      <c r="IW93" s="1">
        <v>0.45454545454545453</v>
      </c>
      <c r="IX93" s="487">
        <v>-6.6666666666666643</v>
      </c>
      <c r="IY93" s="1">
        <v>0.6</v>
      </c>
      <c r="IZ93" s="487">
        <v>10.100000000000001</v>
      </c>
      <c r="JA93" s="1">
        <v>0.5714285714285714</v>
      </c>
      <c r="JB93" s="487">
        <v>-57.166666666666664</v>
      </c>
      <c r="JC93" s="1">
        <v>0.4</v>
      </c>
      <c r="JD93" s="487"/>
      <c r="JE93" s="1"/>
      <c r="JF93" s="487">
        <v>2.0000000000000036</v>
      </c>
      <c r="JG93" s="1">
        <v>0.63636363636363635</v>
      </c>
      <c r="JH93" s="487">
        <v>-40.300000000000004</v>
      </c>
      <c r="JI93" s="1">
        <v>0.4</v>
      </c>
      <c r="JJ93" s="487">
        <v>-17.633333333333326</v>
      </c>
      <c r="JK93" s="1">
        <v>0.53846153846153844</v>
      </c>
      <c r="JL93" s="487"/>
      <c r="JM93" s="1"/>
      <c r="JN93" s="487"/>
      <c r="JO93" s="1"/>
      <c r="JP93" s="487">
        <v>-3.9333333333333327</v>
      </c>
      <c r="JQ93" s="1">
        <v>0.42857142857142855</v>
      </c>
      <c r="JR93" s="487">
        <v>-12.866666666666669</v>
      </c>
      <c r="JS93" s="1">
        <v>0.33333333333333331</v>
      </c>
      <c r="JT93" s="487"/>
      <c r="JU93" s="1"/>
      <c r="JV93" s="487">
        <v>13.600000000000001</v>
      </c>
      <c r="JW93" s="1">
        <v>0.625</v>
      </c>
      <c r="JX93" s="487">
        <v>25.8</v>
      </c>
      <c r="JY93" s="1">
        <v>0.72727272727272729</v>
      </c>
      <c r="JZ93" s="487">
        <v>-19.966666666666669</v>
      </c>
      <c r="KA93" s="1">
        <v>0.54545454545454541</v>
      </c>
      <c r="KB93" s="487">
        <v>13.566666666666668</v>
      </c>
      <c r="KC93" s="1">
        <v>0.58333333333333337</v>
      </c>
      <c r="KD93" s="487">
        <v>37.433333333333337</v>
      </c>
      <c r="KE93" s="1">
        <v>0.75</v>
      </c>
      <c r="KF93" s="487">
        <v>10.166666666666664</v>
      </c>
      <c r="KG93" s="1">
        <v>0.66666666666666663</v>
      </c>
      <c r="KH93" s="487">
        <v>-33.400000000000006</v>
      </c>
      <c r="KI93" s="1">
        <v>0.46153846153846156</v>
      </c>
      <c r="KJ93" s="487">
        <v>-28.233333333333338</v>
      </c>
      <c r="KK93" s="1">
        <v>0.375</v>
      </c>
      <c r="KL93" s="487">
        <v>-50.2</v>
      </c>
      <c r="KM93" s="1">
        <v>0.16666666666666666</v>
      </c>
      <c r="KN93" s="487">
        <v>8.0666666666666664</v>
      </c>
      <c r="KO93" s="1">
        <v>1</v>
      </c>
      <c r="KP93" s="487">
        <v>29.833333333333339</v>
      </c>
      <c r="KQ93" s="1">
        <v>0.875</v>
      </c>
      <c r="KR93" s="487">
        <v>0.10000000000000379</v>
      </c>
      <c r="KS93" s="1">
        <v>0.6</v>
      </c>
      <c r="KT93" s="487"/>
      <c r="KU93" s="1"/>
      <c r="KV93" s="487">
        <v>-24</v>
      </c>
      <c r="KW93" s="1">
        <v>0.55555555555555558</v>
      </c>
      <c r="KX93" s="487">
        <v>-76.7</v>
      </c>
      <c r="KY93" s="1">
        <v>0.5</v>
      </c>
      <c r="KZ93" s="487">
        <v>3.8666666666666623</v>
      </c>
      <c r="LA93" s="1">
        <v>0.61538461538461542</v>
      </c>
      <c r="LB93" s="487">
        <v>-1.8666666666666669</v>
      </c>
      <c r="LC93" s="1">
        <v>0.75</v>
      </c>
      <c r="LD93" s="487">
        <v>-82.733333333333363</v>
      </c>
      <c r="LE93" s="1">
        <v>0.5714285714285714</v>
      </c>
      <c r="LF93" s="487">
        <v>-67.499999999999986</v>
      </c>
      <c r="LG93" s="1">
        <v>0.58333333333333337</v>
      </c>
      <c r="LH93" s="487">
        <v>-0.19999999999999871</v>
      </c>
      <c r="LI93" s="1">
        <v>0.7142857142857143</v>
      </c>
      <c r="LJ93" s="487">
        <v>-45.733333333333327</v>
      </c>
      <c r="LK93" s="1">
        <v>0.63636363636363635</v>
      </c>
      <c r="LL93" s="487"/>
      <c r="LM93" s="1"/>
      <c r="LN93" s="487"/>
      <c r="LO93" s="1"/>
      <c r="LP93" s="487"/>
      <c r="LQ93" s="1"/>
      <c r="LR93" s="487"/>
      <c r="LS93" s="1"/>
      <c r="LT93" s="487"/>
      <c r="LU93" s="1"/>
      <c r="LV93" s="487">
        <v>-26.7</v>
      </c>
      <c r="LW93" s="1">
        <v>0</v>
      </c>
      <c r="LX93" s="487">
        <v>8.0666666666666664</v>
      </c>
      <c r="LY93" s="1">
        <v>1</v>
      </c>
      <c r="LZ93" s="487">
        <v>-24.8</v>
      </c>
      <c r="MA93" s="1">
        <v>0</v>
      </c>
      <c r="MB93" s="487"/>
      <c r="MC93" s="1"/>
      <c r="MD93" s="487"/>
      <c r="ME93" s="1"/>
      <c r="MF93" s="487">
        <v>8.2333333333333343</v>
      </c>
      <c r="MG93" s="1">
        <v>1</v>
      </c>
      <c r="MH93" s="487">
        <v>-25.466666666666665</v>
      </c>
      <c r="MI93" s="1">
        <v>0</v>
      </c>
      <c r="MJ93" s="487"/>
      <c r="MK93" s="1"/>
      <c r="ML93" s="487"/>
      <c r="MM93" s="1"/>
      <c r="MN93" s="487">
        <v>-25</v>
      </c>
      <c r="MO93" s="1">
        <v>0</v>
      </c>
      <c r="MP93" s="487">
        <v>8.033333333333335</v>
      </c>
      <c r="MQ93" s="1">
        <v>1</v>
      </c>
      <c r="MR93" s="487"/>
      <c r="MS93" s="1"/>
      <c r="MT93" s="487"/>
      <c r="MU93" s="1"/>
      <c r="MV93" s="487">
        <v>8.1000000000000014</v>
      </c>
      <c r="MW93" s="1">
        <v>1</v>
      </c>
      <c r="MX93" s="487">
        <v>-25.3</v>
      </c>
      <c r="MY93" s="1">
        <v>0</v>
      </c>
      <c r="MZ93" s="487">
        <v>8.4666666666666668</v>
      </c>
      <c r="NA93" s="1">
        <v>1</v>
      </c>
      <c r="NB93" s="487">
        <v>8.2666666666666675</v>
      </c>
      <c r="NC93" s="1">
        <v>1</v>
      </c>
      <c r="ND93" s="487"/>
      <c r="NE93" s="1"/>
      <c r="NF93" s="487">
        <v>8.1000000000000014</v>
      </c>
      <c r="NG93" s="1">
        <v>1</v>
      </c>
      <c r="NH93" s="487">
        <v>8.1000000000000014</v>
      </c>
      <c r="NI93" s="1">
        <v>1</v>
      </c>
      <c r="NJ93" s="487">
        <v>7.9333333333333336</v>
      </c>
      <c r="NK93" s="1">
        <v>1</v>
      </c>
      <c r="NL93" s="487"/>
      <c r="NM93" s="1"/>
      <c r="NN93" s="487">
        <v>8.0666666666666664</v>
      </c>
      <c r="NO93" s="1">
        <v>1</v>
      </c>
      <c r="NP93" s="487">
        <v>0.5</v>
      </c>
      <c r="NQ93" s="1">
        <v>1</v>
      </c>
      <c r="NR93" s="487">
        <v>3.3000000000000003</v>
      </c>
      <c r="NS93" s="1">
        <v>1</v>
      </c>
      <c r="NT93" s="487">
        <v>7.9666666666666677</v>
      </c>
      <c r="NU93" s="1">
        <v>1</v>
      </c>
      <c r="NV93" s="487"/>
      <c r="NW93" s="1"/>
      <c r="NX93" s="487">
        <v>7.9666666666666677</v>
      </c>
      <c r="NY93" s="1">
        <v>1</v>
      </c>
      <c r="NZ93" s="487">
        <v>8.6666666666666679</v>
      </c>
      <c r="OA93" s="1">
        <v>1</v>
      </c>
      <c r="OB93" s="487">
        <v>8.1666666666666679</v>
      </c>
      <c r="OC93" s="1">
        <v>1</v>
      </c>
      <c r="OD93" s="487">
        <v>8.4666666666666668</v>
      </c>
      <c r="OE93" s="1">
        <v>1</v>
      </c>
      <c r="OF93" s="487">
        <v>7.9666666666666677</v>
      </c>
      <c r="OG93" s="1">
        <v>1</v>
      </c>
      <c r="OH93" s="487">
        <v>-9.4333333333333336</v>
      </c>
      <c r="OI93" s="1">
        <v>0</v>
      </c>
      <c r="OJ93" s="487">
        <v>8.2000000000000011</v>
      </c>
      <c r="OK93" s="1">
        <v>1</v>
      </c>
      <c r="OL93" s="487">
        <v>-25.3</v>
      </c>
      <c r="OM93" s="1">
        <v>0</v>
      </c>
      <c r="ON93" s="487">
        <v>-25.6</v>
      </c>
      <c r="OO93" s="1">
        <v>0</v>
      </c>
      <c r="OP93" s="487">
        <v>-5.9666666666666668</v>
      </c>
      <c r="OQ93" s="1">
        <v>0</v>
      </c>
      <c r="OR93" s="487"/>
      <c r="OS93" s="1"/>
      <c r="OT93" s="487">
        <v>-9.6666666666666661</v>
      </c>
      <c r="OU93" s="1">
        <v>0</v>
      </c>
      <c r="OV93" s="487"/>
      <c r="OW93" s="1"/>
      <c r="OX93" s="487"/>
      <c r="OY93" s="1"/>
      <c r="OZ93" s="487">
        <v>6.63333333333334</v>
      </c>
      <c r="PA93" s="1">
        <v>0.63636363636363635</v>
      </c>
      <c r="PB93" s="487">
        <v>36.200000000000003</v>
      </c>
      <c r="PC93" s="1">
        <v>0.81818181818181823</v>
      </c>
      <c r="PD93" s="487">
        <v>-31.533333333333339</v>
      </c>
      <c r="PE93" s="1">
        <v>0.5625</v>
      </c>
      <c r="PF93" s="487">
        <v>-90.799999999999983</v>
      </c>
      <c r="PG93" s="1">
        <v>0.5</v>
      </c>
      <c r="PH93" s="487">
        <v>-81.733333333333334</v>
      </c>
      <c r="PI93" s="1">
        <v>0.36363636363636365</v>
      </c>
      <c r="PJ93" s="487">
        <v>-44.23333333333332</v>
      </c>
      <c r="PK93" s="1">
        <v>0.53333333333333333</v>
      </c>
      <c r="PL93" s="487"/>
      <c r="PM93" s="1"/>
      <c r="PN93" s="487"/>
      <c r="PO93" s="1"/>
      <c r="PP93" s="487">
        <v>28.766666666666669</v>
      </c>
      <c r="PQ93" s="1">
        <v>0.7</v>
      </c>
      <c r="PR93" s="487"/>
      <c r="PS93" s="1"/>
      <c r="PT93" s="487">
        <v>32.600000000000009</v>
      </c>
      <c r="PU93" s="1">
        <v>0.75</v>
      </c>
      <c r="PV93" s="487">
        <v>24.433333333333337</v>
      </c>
      <c r="PW93" s="1">
        <v>0.63636363636363635</v>
      </c>
      <c r="PX93" s="487">
        <v>23.733333333333331</v>
      </c>
      <c r="PY93" s="1">
        <v>0.81818181818181823</v>
      </c>
      <c r="PZ93" s="487">
        <v>-52.63333333333334</v>
      </c>
      <c r="QA93" s="1">
        <v>0.58333333333333337</v>
      </c>
      <c r="QB93" s="487">
        <v>-48.533333333333339</v>
      </c>
      <c r="QC93" s="1">
        <v>0.54545454545454541</v>
      </c>
      <c r="QD93" s="487">
        <v>4.0000000000000018</v>
      </c>
      <c r="QE93" s="1">
        <v>0.5</v>
      </c>
      <c r="QF93" s="487">
        <v>-17.266666666666669</v>
      </c>
      <c r="QG93" s="1">
        <v>0.5</v>
      </c>
      <c r="QH93" s="487">
        <v>-7.7333333333333343</v>
      </c>
      <c r="QI93" s="1">
        <v>0.55555555555555558</v>
      </c>
      <c r="QJ93" s="487">
        <v>-12.933333333333328</v>
      </c>
      <c r="QK93" s="1">
        <v>0.61538461538461542</v>
      </c>
      <c r="QL93" s="487">
        <v>-105.43333333333334</v>
      </c>
      <c r="QM93" s="1">
        <v>0.42857142857142855</v>
      </c>
      <c r="QN93" s="487">
        <v>-28.433333333333334</v>
      </c>
      <c r="QO93" s="1">
        <v>0</v>
      </c>
      <c r="QP93" s="487">
        <v>8.9333333333333353</v>
      </c>
      <c r="QQ93" s="1">
        <v>0.75</v>
      </c>
      <c r="QR93" s="487">
        <v>7.0666666666666655</v>
      </c>
      <c r="QS93" s="1">
        <v>0.69230769230769229</v>
      </c>
      <c r="QT93" s="487"/>
      <c r="QU93" s="1"/>
      <c r="QV93" s="487">
        <v>-1.3666666666666665</v>
      </c>
      <c r="QW93" s="1">
        <v>0.72727272727272729</v>
      </c>
      <c r="QX93" s="487">
        <v>42.833333333333336</v>
      </c>
      <c r="QY93" s="1">
        <v>0.72727272727272729</v>
      </c>
      <c r="QZ93" s="487">
        <v>-41.7</v>
      </c>
      <c r="RA93" s="1">
        <v>0.42857142857142855</v>
      </c>
      <c r="RB93" s="487">
        <v>24.233333333333334</v>
      </c>
      <c r="RC93" s="1">
        <v>0.8</v>
      </c>
      <c r="RD93" s="487">
        <v>-54.466666666666669</v>
      </c>
      <c r="RE93" s="1">
        <v>0.5</v>
      </c>
      <c r="RF93" s="487">
        <v>-30.400000000000006</v>
      </c>
      <c r="RG93" s="1">
        <v>0.375</v>
      </c>
      <c r="RH93" s="487">
        <v>-20.033333333333335</v>
      </c>
      <c r="RI93" s="1">
        <v>0.5</v>
      </c>
      <c r="RJ93" s="487">
        <v>-18.166666666666664</v>
      </c>
      <c r="RK93" s="1">
        <v>0.5</v>
      </c>
      <c r="RL93" s="487"/>
      <c r="RM93" s="1"/>
      <c r="RN93" s="487">
        <v>-17.899999999999999</v>
      </c>
      <c r="RO93" s="1">
        <v>0.44444444444444442</v>
      </c>
      <c r="RP93" s="487">
        <v>-38.266666666666673</v>
      </c>
      <c r="RQ93" s="1">
        <v>0.42857142857142855</v>
      </c>
      <c r="RR93" s="487">
        <v>75.366666666666674</v>
      </c>
      <c r="RS93" s="1">
        <v>0.8666666666666667</v>
      </c>
      <c r="RT93" s="487">
        <v>-90.366666666666674</v>
      </c>
      <c r="RU93" s="1">
        <v>0.36363636363636365</v>
      </c>
      <c r="RV93" s="487">
        <v>-37.566666666666663</v>
      </c>
      <c r="RW93" s="1">
        <v>0.375</v>
      </c>
      <c r="RX93" s="487">
        <v>39.733333333333348</v>
      </c>
      <c r="RY93" s="1">
        <v>0.7857142857142857</v>
      </c>
      <c r="RZ93" s="487">
        <v>-44.9</v>
      </c>
      <c r="SA93" s="1">
        <v>0.53846153846153844</v>
      </c>
      <c r="SB93" s="487">
        <v>29.733333333333327</v>
      </c>
      <c r="SC93" s="1">
        <v>0.7857142857142857</v>
      </c>
      <c r="SD93" s="487"/>
      <c r="SE93" s="1"/>
      <c r="SF93" s="487">
        <v>-21.066666666666663</v>
      </c>
      <c r="SG93" s="1">
        <v>0.6428571428571429</v>
      </c>
      <c r="SH93" s="487">
        <v>89.266666666666666</v>
      </c>
      <c r="SI93" s="1">
        <v>0.92307692307692313</v>
      </c>
      <c r="SJ93" s="487">
        <v>10.766666666666669</v>
      </c>
      <c r="SK93" s="1">
        <v>0.66666666666666663</v>
      </c>
      <c r="SL93" s="487">
        <v>39.4</v>
      </c>
      <c r="SM93" s="1">
        <v>0.8</v>
      </c>
      <c r="SN93" s="487">
        <v>-50.133333333333333</v>
      </c>
      <c r="SO93" s="1">
        <v>0.6</v>
      </c>
      <c r="SP93" s="487">
        <v>-41.6</v>
      </c>
      <c r="SQ93" s="1">
        <v>0.5</v>
      </c>
      <c r="SR93" s="487">
        <v>60.199999999999996</v>
      </c>
      <c r="SS93" s="1">
        <v>0.8</v>
      </c>
      <c r="ST93" s="487"/>
      <c r="SU93" s="1"/>
      <c r="SV93" s="487"/>
      <c r="SW93" s="1"/>
      <c r="SX93" s="487">
        <v>-44.366666666666667</v>
      </c>
      <c r="SY93" s="1">
        <v>0.5</v>
      </c>
      <c r="SZ93" s="487">
        <v>-3.4999999999999996</v>
      </c>
      <c r="TA93" s="1">
        <v>0.6</v>
      </c>
      <c r="TB93" s="487">
        <v>-36.833333333333336</v>
      </c>
      <c r="TC93" s="1">
        <v>0.5</v>
      </c>
      <c r="TD93" s="487">
        <v>-24.666666666666668</v>
      </c>
      <c r="TE93" s="1">
        <v>0.6</v>
      </c>
      <c r="TF93" s="487">
        <v>-40.466666666666669</v>
      </c>
      <c r="TG93" s="1">
        <v>0.45454545454545453</v>
      </c>
      <c r="TH93" s="488"/>
      <c r="TI93" s="1"/>
      <c r="TJ93" s="489">
        <v>13.400000000000002</v>
      </c>
      <c r="TK93" s="1">
        <v>0.8</v>
      </c>
      <c r="TL93" s="490">
        <v>15.833333333333334</v>
      </c>
      <c r="TM93" s="1">
        <v>0.8</v>
      </c>
      <c r="TN93" s="495">
        <v>-113.96666666666667</v>
      </c>
      <c r="TO93" s="1">
        <v>0.41666666666666669</v>
      </c>
      <c r="TP93" s="500">
        <v>59.266666666666673</v>
      </c>
      <c r="TQ93" s="1">
        <v>0.88888888888888884</v>
      </c>
      <c r="TR93" s="511">
        <v>73.033333333333331</v>
      </c>
      <c r="TS93" s="1">
        <v>0.9285714285714286</v>
      </c>
      <c r="TT93" s="515">
        <v>9.5</v>
      </c>
      <c r="TU93" s="1">
        <v>0.7</v>
      </c>
      <c r="TV93" s="518">
        <v>-25.500000000000004</v>
      </c>
      <c r="TW93" s="1">
        <v>0.55555555555555558</v>
      </c>
      <c r="TX93" s="521"/>
      <c r="TY93" s="1"/>
      <c r="TZ93" s="524">
        <v>-56.000000000000007</v>
      </c>
      <c r="UA93" s="1">
        <v>0.36363636363636365</v>
      </c>
      <c r="UB93" s="527">
        <v>31.7</v>
      </c>
      <c r="UC93" s="1">
        <v>1</v>
      </c>
      <c r="UD93" s="530">
        <v>-31.733333333333338</v>
      </c>
      <c r="UE93" s="1">
        <v>0.72727272727272729</v>
      </c>
      <c r="UF93" s="533">
        <v>-1.8666666666666669</v>
      </c>
      <c r="UG93" s="1">
        <v>0.66666666666666663</v>
      </c>
      <c r="UH93" s="536">
        <v>37.333333333333336</v>
      </c>
      <c r="UI93" s="1">
        <v>0.7857142857142857</v>
      </c>
      <c r="UJ93" s="539">
        <v>-39.633333333333326</v>
      </c>
      <c r="UK93" s="1">
        <v>0.5</v>
      </c>
      <c r="UL93" s="540">
        <v>-47.13333333333334</v>
      </c>
      <c r="UM93" s="1">
        <v>0.53333333333333333</v>
      </c>
      <c r="UN93" s="543">
        <v>-8.1333333333333329</v>
      </c>
      <c r="UO93" s="1">
        <v>0.54545454545454541</v>
      </c>
      <c r="UP93" s="544"/>
      <c r="UQ93" s="1"/>
      <c r="UR93" s="551">
        <v>-21.199999999999996</v>
      </c>
      <c r="US93" s="1">
        <v>0.6428571428571429</v>
      </c>
      <c r="UT93" s="551"/>
      <c r="UU93" s="1"/>
      <c r="UV93" s="562">
        <v>-8.2333333333333361</v>
      </c>
      <c r="UW93" s="1">
        <v>0.6</v>
      </c>
      <c r="UX93" s="566">
        <v>-2.4333333333333362</v>
      </c>
      <c r="UY93" s="1">
        <v>0.6</v>
      </c>
      <c r="UZ93" s="568">
        <v>-10.1</v>
      </c>
      <c r="VA93" s="1">
        <v>0.55555555555555558</v>
      </c>
      <c r="VB93" s="572"/>
      <c r="VC93" s="1"/>
      <c r="VD93" s="576"/>
      <c r="VE93" s="1"/>
      <c r="VF93" s="580">
        <v>56.500000000000014</v>
      </c>
      <c r="VG93" s="1">
        <v>0.8125</v>
      </c>
      <c r="VH93" s="584">
        <v>14.56666666666667</v>
      </c>
      <c r="VI93" s="1">
        <v>0.66666666666666663</v>
      </c>
      <c r="VJ93" s="589">
        <v>38.13333333333334</v>
      </c>
      <c r="VK93" s="1">
        <v>0.66666666666666663</v>
      </c>
      <c r="VL93" s="593"/>
      <c r="VM93" s="1"/>
      <c r="VN93" s="597">
        <v>13.266666666666669</v>
      </c>
      <c r="VO93" s="1">
        <v>0.625</v>
      </c>
      <c r="VP93" s="601">
        <v>-22.3</v>
      </c>
      <c r="VQ93" s="1">
        <v>0.58333333333333337</v>
      </c>
      <c r="VR93" s="603">
        <v>4.7333333333333325</v>
      </c>
      <c r="VS93" s="1">
        <v>0.54545454545454541</v>
      </c>
      <c r="VT93" s="607">
        <v>36.233333333333334</v>
      </c>
      <c r="VU93" s="1">
        <v>0.8571428571428571</v>
      </c>
      <c r="VV93" s="609"/>
      <c r="VW93" s="1"/>
      <c r="VX93" s="613"/>
      <c r="VY93" s="1"/>
      <c r="VZ93" s="617">
        <v>-15.100000000000001</v>
      </c>
      <c r="WA93" s="1">
        <v>0.44444444444444442</v>
      </c>
      <c r="WB93" s="619"/>
      <c r="WC93" s="1"/>
      <c r="WD93" s="624">
        <v>-109.43333333333334</v>
      </c>
      <c r="WE93" s="1">
        <v>0.46666666666666667</v>
      </c>
      <c r="WF93" s="626">
        <v>-175.40000000000003</v>
      </c>
      <c r="WG93" s="1">
        <v>0.23076923076923078</v>
      </c>
      <c r="WH93" s="630"/>
      <c r="WI93" s="1"/>
      <c r="WJ93" s="636"/>
      <c r="WK93" s="1"/>
      <c r="WL93" s="638"/>
      <c r="WM93" s="1"/>
      <c r="WN93" s="642"/>
      <c r="WO93" s="1"/>
      <c r="WP93" s="646">
        <v>77.666666666666657</v>
      </c>
      <c r="WQ93" s="1">
        <v>0.83333333333333337</v>
      </c>
      <c r="WR93" s="652">
        <v>5.5666666666666664</v>
      </c>
      <c r="WS93" s="1">
        <v>0.7142857142857143</v>
      </c>
      <c r="WT93" s="659"/>
      <c r="WU93" s="1"/>
      <c r="WV93" s="659"/>
      <c r="WW93" s="1"/>
      <c r="WX93" s="672">
        <v>-30.733333333333331</v>
      </c>
      <c r="WY93" s="1">
        <v>0.5</v>
      </c>
      <c r="WZ93" s="677"/>
      <c r="XA93" s="1"/>
      <c r="XB93" s="681">
        <v>36.333333333333336</v>
      </c>
      <c r="XC93" s="1">
        <v>0.66666666666666663</v>
      </c>
      <c r="XD93" s="683">
        <v>18.133333333333336</v>
      </c>
      <c r="XE93" s="1">
        <v>0.81818181818181823</v>
      </c>
      <c r="XF93" s="687"/>
      <c r="XG93" s="1"/>
      <c r="XH93" s="689"/>
      <c r="XI93" s="1"/>
      <c r="XJ93" s="696">
        <v>-218.83333333333331</v>
      </c>
      <c r="XK93" s="1">
        <v>0.3125</v>
      </c>
      <c r="XL93" s="696"/>
      <c r="XM93" s="1"/>
      <c r="XN93" s="696">
        <v>-75.900000000000006</v>
      </c>
      <c r="XO93" s="1">
        <v>0.5</v>
      </c>
      <c r="XP93" s="700">
        <v>45.56666666666667</v>
      </c>
      <c r="XQ93" s="1">
        <v>0.8</v>
      </c>
      <c r="XR93" s="705"/>
      <c r="XS93" s="1"/>
      <c r="XT93" s="709"/>
      <c r="XU93" s="1"/>
      <c r="XV93" s="715"/>
      <c r="XW93" s="1"/>
    </row>
    <row r="94" spans="2:647" x14ac:dyDescent="0.25">
      <c r="B94" s="755"/>
      <c r="C94" s="764"/>
      <c r="D94" s="755" t="s">
        <v>26</v>
      </c>
      <c r="E94" s="755"/>
      <c r="F94" s="482">
        <v>0.4</v>
      </c>
      <c r="G94" s="475" t="s">
        <v>34</v>
      </c>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c r="BJ94" s="6"/>
      <c r="BK94" s="6"/>
      <c r="BL94" s="6"/>
      <c r="BM94" s="6"/>
      <c r="BN94" s="6"/>
      <c r="BO94" s="6"/>
      <c r="BP94" s="6"/>
      <c r="BQ94" s="6"/>
      <c r="BR94" s="6"/>
      <c r="BS94" s="6"/>
      <c r="BT94" s="6"/>
      <c r="BU94" s="6"/>
      <c r="BV94" s="6"/>
      <c r="BW94" s="6"/>
      <c r="BX94" s="6"/>
      <c r="BY94" s="6"/>
      <c r="BZ94" s="6"/>
      <c r="CA94" s="6"/>
      <c r="CB94" s="6"/>
      <c r="CC94" s="6"/>
      <c r="CD94" s="6"/>
      <c r="CE94" s="6"/>
      <c r="CF94" s="6"/>
      <c r="CG94" s="6"/>
      <c r="CH94" s="6"/>
      <c r="CI94" s="6"/>
      <c r="CJ94" s="6"/>
      <c r="CK94" s="6"/>
      <c r="CL94" s="6"/>
      <c r="CM94" s="6"/>
      <c r="CN94" s="6"/>
      <c r="CO94" s="6"/>
      <c r="CP94" s="6"/>
      <c r="CQ94" s="6"/>
      <c r="CR94" s="6"/>
      <c r="CS94" s="6"/>
      <c r="CT94" s="6"/>
      <c r="CU94" s="6"/>
      <c r="CV94" s="6"/>
      <c r="CW94" s="6"/>
      <c r="CX94" s="6"/>
      <c r="CY94" s="6"/>
      <c r="CZ94" s="6"/>
      <c r="DA94" s="6"/>
      <c r="DB94" s="6"/>
      <c r="DC94" s="6"/>
      <c r="DD94" s="6"/>
      <c r="DE94" s="6"/>
      <c r="DF94" s="6"/>
      <c r="DG94" s="6"/>
      <c r="DH94" s="6"/>
      <c r="DI94" s="6"/>
      <c r="DJ94" s="6"/>
      <c r="DK94" s="6"/>
      <c r="DL94" s="6"/>
      <c r="DM94" s="6"/>
      <c r="DN94" s="6"/>
      <c r="DO94" s="6"/>
      <c r="DP94" s="6"/>
      <c r="DQ94" s="6"/>
      <c r="DR94" s="6"/>
      <c r="DS94" s="6"/>
      <c r="DT94" s="6"/>
      <c r="DU94" s="6"/>
      <c r="DV94" s="6"/>
      <c r="DW94" s="6"/>
      <c r="DX94" s="6"/>
      <c r="DY94" s="6"/>
      <c r="DZ94" s="6"/>
      <c r="EA94" s="6"/>
      <c r="EB94" s="6"/>
      <c r="EC94" s="6"/>
      <c r="ED94" s="6"/>
      <c r="EE94" s="6"/>
      <c r="EF94" s="6"/>
      <c r="EG94" s="6"/>
      <c r="EH94" s="6"/>
      <c r="EI94" s="6"/>
      <c r="EJ94" s="6"/>
      <c r="EK94" s="6"/>
      <c r="EL94" s="6"/>
      <c r="EM94" s="6"/>
      <c r="EN94" s="6"/>
      <c r="EO94" s="6"/>
      <c r="EP94" s="6"/>
      <c r="EQ94" s="6"/>
      <c r="ER94" s="487"/>
      <c r="ES94" s="1"/>
      <c r="ET94" s="487"/>
      <c r="EU94" s="1"/>
      <c r="EV94" s="487"/>
      <c r="EW94" s="1"/>
      <c r="EX94" s="487"/>
      <c r="EY94" s="1"/>
      <c r="EZ94" s="487"/>
      <c r="FA94" s="1"/>
      <c r="FB94" s="487">
        <v>4.7000000000000011</v>
      </c>
      <c r="FC94" s="1">
        <v>0.6</v>
      </c>
      <c r="FD94" s="487">
        <v>-8.4666666666666668</v>
      </c>
      <c r="FE94" s="1">
        <v>0.5</v>
      </c>
      <c r="FF94" s="487">
        <v>-35.599999999999994</v>
      </c>
      <c r="FG94" s="1">
        <v>0.375</v>
      </c>
      <c r="FH94" s="487">
        <v>14.533333333333335</v>
      </c>
      <c r="FI94" s="1">
        <v>1</v>
      </c>
      <c r="FJ94" s="487">
        <v>4.166666666666667</v>
      </c>
      <c r="FK94" s="1">
        <v>0.8</v>
      </c>
      <c r="FL94" s="487">
        <v>-18.966666666666665</v>
      </c>
      <c r="FM94" s="1">
        <v>0.6</v>
      </c>
      <c r="FN94" s="487">
        <v>-1.3666666666666667</v>
      </c>
      <c r="FO94" s="1">
        <v>0</v>
      </c>
      <c r="FP94" s="487">
        <v>-5.6333333333333337</v>
      </c>
      <c r="FQ94" s="1">
        <v>0.66666666666666663</v>
      </c>
      <c r="FR94" s="487">
        <v>-30.933333333333337</v>
      </c>
      <c r="FS94" s="1">
        <v>0.5714285714285714</v>
      </c>
      <c r="FT94" s="487">
        <v>31.233333333333338</v>
      </c>
      <c r="FU94" s="1">
        <v>0.875</v>
      </c>
      <c r="FV94" s="487">
        <v>-8.1333333333333346</v>
      </c>
      <c r="FW94" s="1">
        <v>0.6</v>
      </c>
      <c r="FX94" s="487">
        <v>-8.7333333333333343</v>
      </c>
      <c r="FY94" s="1">
        <v>0.66666666666666663</v>
      </c>
      <c r="FZ94" s="487">
        <v>17.633333333333333</v>
      </c>
      <c r="GA94" s="1">
        <v>1</v>
      </c>
      <c r="GB94" s="487">
        <v>15.366666666666669</v>
      </c>
      <c r="GC94" s="1">
        <v>1</v>
      </c>
      <c r="GD94" s="487">
        <v>3.2000000000000015</v>
      </c>
      <c r="GE94" s="1">
        <v>0.4</v>
      </c>
      <c r="GF94" s="487">
        <v>3.3333333333333335</v>
      </c>
      <c r="GG94" s="1">
        <v>0.7142857142857143</v>
      </c>
      <c r="GH94" s="487">
        <v>-31.266666666666669</v>
      </c>
      <c r="GI94" s="1">
        <v>0.5</v>
      </c>
      <c r="GJ94" s="487">
        <v>5.3333333333333339</v>
      </c>
      <c r="GK94" s="1">
        <v>0.66666666666666663</v>
      </c>
      <c r="GL94" s="487">
        <v>-65.566666666666677</v>
      </c>
      <c r="GM94" s="1">
        <v>0.36363636363636365</v>
      </c>
      <c r="GN94" s="487">
        <v>7.0333333333333332</v>
      </c>
      <c r="GO94" s="1">
        <v>1</v>
      </c>
      <c r="GP94" s="487">
        <v>-20.099999999999998</v>
      </c>
      <c r="GQ94" s="1">
        <v>0.375</v>
      </c>
      <c r="GR94" s="487">
        <v>-54.8</v>
      </c>
      <c r="GS94" s="1">
        <v>0.33333333333333331</v>
      </c>
      <c r="GT94" s="487">
        <v>40.86666666666666</v>
      </c>
      <c r="GU94" s="1">
        <v>0.8571428571428571</v>
      </c>
      <c r="GV94" s="487">
        <v>-22.966666666666665</v>
      </c>
      <c r="GW94" s="1">
        <v>0.25</v>
      </c>
      <c r="GX94" s="487">
        <v>-3.4666666666666668</v>
      </c>
      <c r="GY94" s="1">
        <v>0.5</v>
      </c>
      <c r="GZ94" s="487">
        <v>46</v>
      </c>
      <c r="HA94" s="1">
        <v>1</v>
      </c>
      <c r="HB94" s="487">
        <v>-10.766666666666669</v>
      </c>
      <c r="HC94" s="1">
        <v>0.5</v>
      </c>
      <c r="HD94" s="487">
        <v>15.066666666666666</v>
      </c>
      <c r="HE94" s="1">
        <v>1</v>
      </c>
      <c r="HF94" s="487">
        <v>-10.033333333333337</v>
      </c>
      <c r="HG94" s="1">
        <v>0.75</v>
      </c>
      <c r="HH94" s="487">
        <v>7.4333333333333336</v>
      </c>
      <c r="HI94" s="1">
        <v>1</v>
      </c>
      <c r="HJ94" s="487">
        <v>11.933333333333334</v>
      </c>
      <c r="HK94" s="1">
        <v>0.6</v>
      </c>
      <c r="HL94" s="487"/>
      <c r="HM94" s="1"/>
      <c r="HN94" s="487">
        <v>-51.866666666666667</v>
      </c>
      <c r="HO94" s="1">
        <v>0.25</v>
      </c>
      <c r="HP94" s="487">
        <v>-7.1333333333333329</v>
      </c>
      <c r="HQ94" s="1">
        <v>0.33333333333333331</v>
      </c>
      <c r="HR94" s="487">
        <v>-18.3</v>
      </c>
      <c r="HS94" s="1">
        <v>0.375</v>
      </c>
      <c r="HT94" s="487">
        <v>17.766666666666669</v>
      </c>
      <c r="HU94" s="1">
        <v>0.66666666666666663</v>
      </c>
      <c r="HV94" s="487">
        <v>8.9</v>
      </c>
      <c r="HW94" s="1">
        <v>0.75</v>
      </c>
      <c r="HX94" s="487">
        <v>20.833333333333336</v>
      </c>
      <c r="HY94" s="1">
        <v>0.75</v>
      </c>
      <c r="HZ94" s="487"/>
      <c r="IA94" s="1"/>
      <c r="IB94" s="487">
        <v>5.6666666666666652</v>
      </c>
      <c r="IC94" s="1">
        <v>0.42857142857142855</v>
      </c>
      <c r="ID94" s="487">
        <v>20.633333333333333</v>
      </c>
      <c r="IE94" s="1">
        <v>0.75</v>
      </c>
      <c r="IF94" s="487">
        <v>-35.13333333333334</v>
      </c>
      <c r="IG94" s="1">
        <v>0.22222222222222221</v>
      </c>
      <c r="IH94" s="487">
        <v>-19.966666666666669</v>
      </c>
      <c r="II94" s="1">
        <v>0.33333333333333331</v>
      </c>
      <c r="IJ94" s="487">
        <v>-52.166666666666664</v>
      </c>
      <c r="IK94" s="1">
        <v>0.4</v>
      </c>
      <c r="IL94" s="487"/>
      <c r="IM94" s="1"/>
      <c r="IN94" s="487">
        <v>-14.166666666666668</v>
      </c>
      <c r="IO94" s="1">
        <v>0</v>
      </c>
      <c r="IP94" s="487">
        <v>-19.933333333333337</v>
      </c>
      <c r="IQ94" s="1">
        <v>0.33333333333333331</v>
      </c>
      <c r="IR94" s="487">
        <v>17.675000000000001</v>
      </c>
      <c r="IS94" s="1">
        <v>0.66666666666666663</v>
      </c>
      <c r="IT94" s="487">
        <v>8.375</v>
      </c>
      <c r="IU94" s="1">
        <v>0.6</v>
      </c>
      <c r="IV94" s="487">
        <v>3.6000000000000032</v>
      </c>
      <c r="IW94" s="1">
        <v>0.5</v>
      </c>
      <c r="IX94" s="487">
        <v>25.75</v>
      </c>
      <c r="IY94" s="1">
        <v>0.7</v>
      </c>
      <c r="IZ94" s="487">
        <v>21.475000000000001</v>
      </c>
      <c r="JA94" s="1">
        <v>0.625</v>
      </c>
      <c r="JB94" s="487">
        <v>-7.5000000000002842E-2</v>
      </c>
      <c r="JC94" s="1">
        <v>0.66666666666666663</v>
      </c>
      <c r="JD94" s="487"/>
      <c r="JE94" s="1"/>
      <c r="JF94" s="487">
        <v>11.949999999999996</v>
      </c>
      <c r="JG94" s="1">
        <v>0.55555555555555558</v>
      </c>
      <c r="JH94" s="487">
        <v>-16.099999999999998</v>
      </c>
      <c r="JI94" s="1">
        <v>0.5714285714285714</v>
      </c>
      <c r="JJ94" s="487">
        <v>-22.924999999999997</v>
      </c>
      <c r="JK94" s="1">
        <v>0.5714285714285714</v>
      </c>
      <c r="JL94" s="487"/>
      <c r="JM94" s="1"/>
      <c r="JN94" s="487"/>
      <c r="JO94" s="1"/>
      <c r="JP94" s="487">
        <v>9.0250000000000004</v>
      </c>
      <c r="JQ94" s="1">
        <v>0.75</v>
      </c>
      <c r="JR94" s="487">
        <v>-18</v>
      </c>
      <c r="JS94" s="1">
        <v>0.16666666666666666</v>
      </c>
      <c r="JT94" s="487"/>
      <c r="JU94" s="1"/>
      <c r="JV94" s="487">
        <v>14.975</v>
      </c>
      <c r="JW94" s="1">
        <v>0.625</v>
      </c>
      <c r="JX94" s="487">
        <v>3.6749999999999972</v>
      </c>
      <c r="JY94" s="1">
        <v>0.625</v>
      </c>
      <c r="JZ94" s="487">
        <v>5.1249999999999982</v>
      </c>
      <c r="KA94" s="1">
        <v>0.625</v>
      </c>
      <c r="KB94" s="487">
        <v>6.9499999999999993</v>
      </c>
      <c r="KC94" s="1">
        <v>1</v>
      </c>
      <c r="KD94" s="487">
        <v>11.974999999999994</v>
      </c>
      <c r="KE94" s="1">
        <v>0.8</v>
      </c>
      <c r="KF94" s="487">
        <v>21.9</v>
      </c>
      <c r="KG94" s="1">
        <v>1</v>
      </c>
      <c r="KH94" s="487">
        <v>28.274999999999995</v>
      </c>
      <c r="KI94" s="1">
        <v>1</v>
      </c>
      <c r="KJ94" s="487">
        <v>14.525</v>
      </c>
      <c r="KK94" s="1">
        <v>0.8</v>
      </c>
      <c r="KL94" s="487">
        <v>0.55000000000000049</v>
      </c>
      <c r="KM94" s="1">
        <v>0.66666666666666663</v>
      </c>
      <c r="KN94" s="487">
        <v>16.924999999999997</v>
      </c>
      <c r="KO94" s="1">
        <v>1</v>
      </c>
      <c r="KP94" s="487">
        <v>-5.2</v>
      </c>
      <c r="KQ94" s="1">
        <v>0.66666666666666663</v>
      </c>
      <c r="KR94" s="487">
        <v>14.15</v>
      </c>
      <c r="KS94" s="1">
        <v>1</v>
      </c>
      <c r="KT94" s="487"/>
      <c r="KU94" s="1"/>
      <c r="KV94" s="487">
        <v>33.924999999999997</v>
      </c>
      <c r="KW94" s="1">
        <v>0.77777777777777779</v>
      </c>
      <c r="KX94" s="487">
        <v>24.275000000000002</v>
      </c>
      <c r="KY94" s="1">
        <v>1</v>
      </c>
      <c r="KZ94" s="487">
        <v>8.35</v>
      </c>
      <c r="LA94" s="1">
        <v>0.7142857142857143</v>
      </c>
      <c r="LB94" s="487">
        <v>-42.9</v>
      </c>
      <c r="LC94" s="1">
        <v>0.33333333333333331</v>
      </c>
      <c r="LD94" s="487">
        <v>14.375</v>
      </c>
      <c r="LE94" s="1">
        <v>1</v>
      </c>
      <c r="LF94" s="487">
        <v>-3.3499999999999996</v>
      </c>
      <c r="LG94" s="1">
        <v>0.75</v>
      </c>
      <c r="LH94" s="487">
        <v>-16.849999999999998</v>
      </c>
      <c r="LI94" s="1">
        <v>0.5</v>
      </c>
      <c r="LJ94" s="487">
        <v>1.0250000000000004</v>
      </c>
      <c r="LK94" s="1">
        <v>0.8</v>
      </c>
      <c r="LL94" s="487"/>
      <c r="LM94" s="1"/>
      <c r="LN94" s="487"/>
      <c r="LO94" s="1"/>
      <c r="LP94" s="487"/>
      <c r="LQ94" s="1"/>
      <c r="LR94" s="487"/>
      <c r="LS94" s="1"/>
      <c r="LT94" s="487"/>
      <c r="LU94" s="1"/>
      <c r="LV94" s="487"/>
      <c r="LW94" s="1"/>
      <c r="LX94" s="487"/>
      <c r="LY94" s="1"/>
      <c r="LZ94" s="487"/>
      <c r="MA94" s="1"/>
      <c r="MB94" s="487"/>
      <c r="MC94" s="1"/>
      <c r="MD94" s="487"/>
      <c r="ME94" s="1"/>
      <c r="MF94" s="487"/>
      <c r="MG94" s="1"/>
      <c r="MH94" s="487"/>
      <c r="MI94" s="1"/>
      <c r="MJ94" s="487"/>
      <c r="MK94" s="1"/>
      <c r="ML94" s="487"/>
      <c r="MM94" s="1"/>
      <c r="MN94" s="487"/>
      <c r="MO94" s="1"/>
      <c r="MP94" s="487"/>
      <c r="MQ94" s="1"/>
      <c r="MR94" s="487"/>
      <c r="MS94" s="1"/>
      <c r="MT94" s="487"/>
      <c r="MU94" s="1"/>
      <c r="MV94" s="487"/>
      <c r="MW94" s="1"/>
      <c r="MX94" s="487"/>
      <c r="MY94" s="1"/>
      <c r="MZ94" s="487"/>
      <c r="NA94" s="1"/>
      <c r="NB94" s="487"/>
      <c r="NC94" s="1"/>
      <c r="ND94" s="487"/>
      <c r="NE94" s="1"/>
      <c r="NF94" s="487"/>
      <c r="NG94" s="1"/>
      <c r="NH94" s="487"/>
      <c r="NI94" s="1"/>
      <c r="NJ94" s="487"/>
      <c r="NK94" s="1"/>
      <c r="NL94" s="487"/>
      <c r="NM94" s="1"/>
      <c r="NN94" s="487"/>
      <c r="NO94" s="1"/>
      <c r="NP94" s="487"/>
      <c r="NQ94" s="1"/>
      <c r="NR94" s="487"/>
      <c r="NS94" s="1"/>
      <c r="NT94" s="487"/>
      <c r="NU94" s="1"/>
      <c r="NV94" s="487"/>
      <c r="NW94" s="1"/>
      <c r="NX94" s="487"/>
      <c r="NY94" s="1"/>
      <c r="NZ94" s="487"/>
      <c r="OA94" s="1"/>
      <c r="OB94" s="487"/>
      <c r="OC94" s="1"/>
      <c r="OD94" s="487"/>
      <c r="OE94" s="1"/>
      <c r="OF94" s="487"/>
      <c r="OG94" s="1"/>
      <c r="OH94" s="487"/>
      <c r="OI94" s="1"/>
      <c r="OJ94" s="487"/>
      <c r="OK94" s="1"/>
      <c r="OL94" s="487"/>
      <c r="OM94" s="1"/>
      <c r="ON94" s="487"/>
      <c r="OO94" s="1"/>
      <c r="OP94" s="487"/>
      <c r="OQ94" s="1"/>
      <c r="OR94" s="487"/>
      <c r="OS94" s="1"/>
      <c r="OT94" s="487"/>
      <c r="OU94" s="1"/>
      <c r="OV94" s="487"/>
      <c r="OW94" s="1"/>
      <c r="OX94" s="487"/>
      <c r="OY94" s="1"/>
      <c r="OZ94" s="487"/>
      <c r="PA94" s="1"/>
      <c r="PB94" s="487">
        <v>39.699999999999996</v>
      </c>
      <c r="PC94" s="1">
        <v>1</v>
      </c>
      <c r="PD94" s="487">
        <v>-7.5000000000002842E-2</v>
      </c>
      <c r="PE94" s="1">
        <v>0.77777777777777779</v>
      </c>
      <c r="PF94" s="487">
        <v>7.125</v>
      </c>
      <c r="PG94" s="1">
        <v>1</v>
      </c>
      <c r="PH94" s="487">
        <v>-22.300000000000004</v>
      </c>
      <c r="PI94" s="1">
        <v>0.6</v>
      </c>
      <c r="PJ94" s="487">
        <v>-53.599999999999994</v>
      </c>
      <c r="PK94" s="1">
        <v>0.33333333333333331</v>
      </c>
      <c r="PL94" s="487"/>
      <c r="PM94" s="1"/>
      <c r="PN94" s="487"/>
      <c r="PO94" s="1"/>
      <c r="PP94" s="487">
        <v>-36.074999999999996</v>
      </c>
      <c r="PQ94" s="1">
        <v>0.5</v>
      </c>
      <c r="PR94" s="487"/>
      <c r="PS94" s="1"/>
      <c r="PT94" s="487">
        <v>27.799999999999997</v>
      </c>
      <c r="PU94" s="1">
        <v>1</v>
      </c>
      <c r="PV94" s="487">
        <v>-21.775000000000002</v>
      </c>
      <c r="PW94" s="1">
        <v>0.66666666666666663</v>
      </c>
      <c r="PX94" s="487">
        <v>-75.524999999999977</v>
      </c>
      <c r="PY94" s="1">
        <v>0.58333333333333337</v>
      </c>
      <c r="PZ94" s="487">
        <v>-43.05</v>
      </c>
      <c r="QA94" s="1">
        <v>0.33333333333333331</v>
      </c>
      <c r="QB94" s="487">
        <v>7.2249999999999996</v>
      </c>
      <c r="QC94" s="1">
        <v>1</v>
      </c>
      <c r="QD94" s="487">
        <v>12.799999999999999</v>
      </c>
      <c r="QE94" s="1">
        <v>0.7142857142857143</v>
      </c>
      <c r="QF94" s="487">
        <v>12.549999999999999</v>
      </c>
      <c r="QG94" s="1">
        <v>0.75</v>
      </c>
      <c r="QH94" s="487">
        <v>15.1</v>
      </c>
      <c r="QI94" s="1">
        <v>1</v>
      </c>
      <c r="QJ94" s="487">
        <v>21.775000000000002</v>
      </c>
      <c r="QK94" s="1">
        <v>1</v>
      </c>
      <c r="QL94" s="487">
        <v>-92.874999999999986</v>
      </c>
      <c r="QM94" s="1">
        <v>0.2857142857142857</v>
      </c>
      <c r="QN94" s="487">
        <v>7.3</v>
      </c>
      <c r="QO94" s="1">
        <v>1</v>
      </c>
      <c r="QP94" s="487">
        <v>18.974999999999998</v>
      </c>
      <c r="QQ94" s="1">
        <v>0.75</v>
      </c>
      <c r="QR94" s="487">
        <v>-26.024999999999999</v>
      </c>
      <c r="QS94" s="1">
        <v>0.33333333333333331</v>
      </c>
      <c r="QT94" s="487"/>
      <c r="QU94" s="1"/>
      <c r="QV94" s="487">
        <v>2.7749999999999919</v>
      </c>
      <c r="QW94" s="1">
        <v>0.66666666666666663</v>
      </c>
      <c r="QX94" s="487">
        <v>12.474999999999998</v>
      </c>
      <c r="QY94" s="1">
        <v>0.54545454545454541</v>
      </c>
      <c r="QZ94" s="487">
        <v>16.524999999999999</v>
      </c>
      <c r="RA94" s="1">
        <v>0.7142857142857143</v>
      </c>
      <c r="RB94" s="487">
        <v>-39.949999999999996</v>
      </c>
      <c r="RC94" s="1">
        <v>0.33333333333333331</v>
      </c>
      <c r="RD94" s="487">
        <v>1.9250000000000034</v>
      </c>
      <c r="RE94" s="1">
        <v>0.7142857142857143</v>
      </c>
      <c r="RF94" s="487">
        <v>-15.174999999999995</v>
      </c>
      <c r="RG94" s="1">
        <v>0.5</v>
      </c>
      <c r="RH94" s="487">
        <v>7.5500000000000016</v>
      </c>
      <c r="RI94" s="1">
        <v>0.625</v>
      </c>
      <c r="RJ94" s="487"/>
      <c r="RK94" s="1"/>
      <c r="RL94" s="487"/>
      <c r="RM94" s="1"/>
      <c r="RN94" s="487">
        <v>-26.050000000000004</v>
      </c>
      <c r="RO94" s="1">
        <v>0.33333333333333331</v>
      </c>
      <c r="RP94" s="487">
        <v>7.3</v>
      </c>
      <c r="RQ94" s="1">
        <v>1</v>
      </c>
      <c r="RR94" s="487">
        <v>-81.95</v>
      </c>
      <c r="RS94" s="1">
        <v>0.2</v>
      </c>
      <c r="RT94" s="487">
        <v>10.900000000000002</v>
      </c>
      <c r="RU94" s="1">
        <v>0.75</v>
      </c>
      <c r="RV94" s="487">
        <v>49.55</v>
      </c>
      <c r="RW94" s="1">
        <v>1</v>
      </c>
      <c r="RX94" s="487">
        <v>7.35</v>
      </c>
      <c r="RY94" s="1">
        <v>0.5</v>
      </c>
      <c r="RZ94" s="487">
        <v>-73.449999999999989</v>
      </c>
      <c r="SA94" s="1">
        <v>0</v>
      </c>
      <c r="SB94" s="487">
        <v>-99.624999999999986</v>
      </c>
      <c r="SC94" s="1">
        <v>0.33333333333333331</v>
      </c>
      <c r="SD94" s="487"/>
      <c r="SE94" s="1"/>
      <c r="SF94" s="487">
        <v>27.125000000000004</v>
      </c>
      <c r="SG94" s="1">
        <v>1</v>
      </c>
      <c r="SH94" s="487">
        <v>17.699999999999996</v>
      </c>
      <c r="SI94" s="1">
        <v>0.8571428571428571</v>
      </c>
      <c r="SJ94" s="487">
        <v>49.65</v>
      </c>
      <c r="SK94" s="1">
        <v>1</v>
      </c>
      <c r="SL94" s="487">
        <v>-55.850000000000009</v>
      </c>
      <c r="SM94" s="1">
        <v>0.33333333333333331</v>
      </c>
      <c r="SN94" s="487">
        <v>30.049999999999997</v>
      </c>
      <c r="SO94" s="1">
        <v>1</v>
      </c>
      <c r="SP94" s="487">
        <v>-14.125</v>
      </c>
      <c r="SQ94" s="1">
        <v>0.6</v>
      </c>
      <c r="SR94" s="487">
        <v>21.124999999999996</v>
      </c>
      <c r="SS94" s="1">
        <v>0.8</v>
      </c>
      <c r="ST94" s="487"/>
      <c r="SU94" s="1"/>
      <c r="SV94" s="487"/>
      <c r="SW94" s="1"/>
      <c r="SX94" s="487">
        <v>-9.6</v>
      </c>
      <c r="SY94" s="1">
        <v>0.33333333333333331</v>
      </c>
      <c r="SZ94" s="487">
        <v>-37.674999999999997</v>
      </c>
      <c r="TA94" s="1">
        <v>0.5</v>
      </c>
      <c r="TB94" s="487">
        <v>23.3</v>
      </c>
      <c r="TC94" s="1">
        <v>1</v>
      </c>
      <c r="TD94" s="487">
        <v>40.625</v>
      </c>
      <c r="TE94" s="1">
        <v>0.9</v>
      </c>
      <c r="TF94" s="487">
        <v>2.3499999999999965</v>
      </c>
      <c r="TG94" s="1">
        <v>0.75</v>
      </c>
      <c r="TH94" s="488"/>
      <c r="TI94" s="1"/>
      <c r="TJ94" s="489">
        <v>52.224999999999987</v>
      </c>
      <c r="TK94" s="1">
        <v>0.88888888888888884</v>
      </c>
      <c r="TL94" s="490">
        <v>50.174999999999997</v>
      </c>
      <c r="TM94" s="1">
        <v>1</v>
      </c>
      <c r="TN94" s="495">
        <v>-11.874999999999996</v>
      </c>
      <c r="TO94" s="1">
        <v>0.5</v>
      </c>
      <c r="TP94" s="500">
        <v>6.8999999999999995</v>
      </c>
      <c r="TQ94" s="1">
        <v>1</v>
      </c>
      <c r="TR94" s="511">
        <v>-127.62500000000003</v>
      </c>
      <c r="TS94" s="1">
        <v>0.36363636363636365</v>
      </c>
      <c r="TT94" s="515">
        <v>-7.8499999999999979</v>
      </c>
      <c r="TU94" s="1">
        <v>0.625</v>
      </c>
      <c r="TV94" s="518">
        <v>2.4499999999999966</v>
      </c>
      <c r="TW94" s="1">
        <v>0.66666666666666663</v>
      </c>
      <c r="TX94" s="521"/>
      <c r="TY94" s="1"/>
      <c r="TZ94" s="524">
        <v>9.7749999999999986</v>
      </c>
      <c r="UA94" s="1">
        <v>0.6</v>
      </c>
      <c r="UB94" s="527">
        <v>19.500000000000004</v>
      </c>
      <c r="UC94" s="1">
        <v>0.8</v>
      </c>
      <c r="UD94" s="530">
        <v>17.100000000000001</v>
      </c>
      <c r="UE94" s="1">
        <v>0.8571428571428571</v>
      </c>
      <c r="UF94" s="533">
        <v>-31.974999999999998</v>
      </c>
      <c r="UG94" s="1">
        <v>0.5</v>
      </c>
      <c r="UH94" s="536">
        <v>-16.024999999999999</v>
      </c>
      <c r="UI94" s="1">
        <v>0.5714285714285714</v>
      </c>
      <c r="UJ94" s="539">
        <v>29.05</v>
      </c>
      <c r="UK94" s="1">
        <v>0.88888888888888884</v>
      </c>
      <c r="UL94" s="540">
        <v>33.724999999999994</v>
      </c>
      <c r="UM94" s="1">
        <v>0.75</v>
      </c>
      <c r="UN94" s="543">
        <v>-3.5999999999999996</v>
      </c>
      <c r="UO94" s="1">
        <v>0.4</v>
      </c>
      <c r="UP94" s="544"/>
      <c r="UQ94" s="1"/>
      <c r="UR94" s="551">
        <v>-82.27500000000002</v>
      </c>
      <c r="US94" s="1">
        <v>0.5</v>
      </c>
      <c r="UT94" s="551"/>
      <c r="UU94" s="1"/>
      <c r="UV94" s="562">
        <v>17.224999999999998</v>
      </c>
      <c r="UW94" s="1">
        <v>0.66666666666666663</v>
      </c>
      <c r="UX94" s="566">
        <v>-83.625</v>
      </c>
      <c r="UY94" s="1">
        <v>0.14285714285714285</v>
      </c>
      <c r="UZ94" s="568">
        <v>20.700000000000003</v>
      </c>
      <c r="VA94" s="1">
        <v>0.8</v>
      </c>
      <c r="VB94" s="572"/>
      <c r="VC94" s="1"/>
      <c r="VD94" s="576"/>
      <c r="VE94" s="1"/>
      <c r="VF94" s="580">
        <v>12.950000000000001</v>
      </c>
      <c r="VG94" s="1">
        <v>0.8</v>
      </c>
      <c r="VH94" s="584">
        <v>6.7249999999999996</v>
      </c>
      <c r="VI94" s="1">
        <v>1</v>
      </c>
      <c r="VJ94" s="589">
        <v>-47.074999999999996</v>
      </c>
      <c r="VK94" s="1">
        <v>0.25</v>
      </c>
      <c r="VL94" s="593"/>
      <c r="VM94" s="1"/>
      <c r="VN94" s="597">
        <v>-24.774999999999999</v>
      </c>
      <c r="VO94" s="1">
        <v>0.5714285714285714</v>
      </c>
      <c r="VP94" s="601">
        <v>-27.25</v>
      </c>
      <c r="VQ94" s="1">
        <v>0.625</v>
      </c>
      <c r="VR94" s="603">
        <v>-7.6</v>
      </c>
      <c r="VS94" s="1">
        <v>0.66666666666666663</v>
      </c>
      <c r="VT94" s="607">
        <v>-36.024999999999999</v>
      </c>
      <c r="VU94" s="1">
        <v>0.5</v>
      </c>
      <c r="VV94" s="609"/>
      <c r="VW94" s="1"/>
      <c r="VX94" s="613"/>
      <c r="VY94" s="1"/>
      <c r="VZ94" s="617">
        <v>53.174999999999997</v>
      </c>
      <c r="WA94" s="1">
        <v>0.88888888888888884</v>
      </c>
      <c r="WB94" s="619"/>
      <c r="WC94" s="1"/>
      <c r="WD94" s="624">
        <v>-3.450000000000002</v>
      </c>
      <c r="WE94" s="1">
        <v>0.75</v>
      </c>
      <c r="WF94" s="626">
        <v>-75.22499999999998</v>
      </c>
      <c r="WG94" s="1">
        <v>0.2</v>
      </c>
      <c r="WH94" s="630"/>
      <c r="WI94" s="1"/>
      <c r="WJ94" s="636"/>
      <c r="WK94" s="1"/>
      <c r="WL94" s="638"/>
      <c r="WM94" s="1"/>
      <c r="WN94" s="642"/>
      <c r="WO94" s="1"/>
      <c r="WP94" s="646">
        <v>2.7749999999999986</v>
      </c>
      <c r="WQ94" s="1">
        <v>0.8</v>
      </c>
      <c r="WR94" s="652">
        <v>36.4</v>
      </c>
      <c r="WS94" s="1">
        <v>0.75</v>
      </c>
      <c r="WT94" s="659"/>
      <c r="WU94" s="1"/>
      <c r="WV94" s="659"/>
      <c r="WW94" s="1"/>
      <c r="WX94" s="672">
        <v>66.074999999999989</v>
      </c>
      <c r="WY94" s="1">
        <v>0.90909090909090906</v>
      </c>
      <c r="WZ94" s="677"/>
      <c r="XA94" s="1"/>
      <c r="XB94" s="681">
        <v>46.9</v>
      </c>
      <c r="XC94" s="1">
        <v>0.8</v>
      </c>
      <c r="XD94" s="683">
        <v>-12.299999999999986</v>
      </c>
      <c r="XE94" s="1">
        <v>0.7142857142857143</v>
      </c>
      <c r="XF94" s="687"/>
      <c r="XG94" s="1"/>
      <c r="XH94" s="689"/>
      <c r="XI94" s="1"/>
      <c r="XJ94" s="696">
        <v>0.17500000000000071</v>
      </c>
      <c r="XK94" s="1">
        <v>0.77777777777777779</v>
      </c>
      <c r="XL94" s="696"/>
      <c r="XM94" s="1"/>
      <c r="XN94" s="696">
        <v>-21.349999999999991</v>
      </c>
      <c r="XO94" s="1">
        <v>0.5</v>
      </c>
      <c r="XP94" s="700">
        <v>-45.224999999999994</v>
      </c>
      <c r="XQ94" s="1">
        <v>0.25</v>
      </c>
      <c r="XR94" s="705"/>
      <c r="XS94" s="1"/>
      <c r="XT94" s="709"/>
      <c r="XU94" s="1"/>
      <c r="XV94" s="715"/>
      <c r="XW94" s="1"/>
    </row>
    <row r="95" spans="2:647" x14ac:dyDescent="0.25">
      <c r="B95" s="755"/>
      <c r="C95" s="764"/>
      <c r="D95" s="755"/>
      <c r="E95" s="755"/>
      <c r="F95" s="482">
        <v>0.5</v>
      </c>
      <c r="G95" s="475" t="s">
        <v>36</v>
      </c>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c r="BJ95" s="6"/>
      <c r="BK95" s="6"/>
      <c r="BL95" s="6"/>
      <c r="BM95" s="6"/>
      <c r="BN95" s="6"/>
      <c r="BO95" s="6"/>
      <c r="BP95" s="6"/>
      <c r="BQ95" s="6"/>
      <c r="BR95" s="6"/>
      <c r="BS95" s="6"/>
      <c r="BT95" s="6"/>
      <c r="BU95" s="6"/>
      <c r="BV95" s="6"/>
      <c r="BW95" s="6"/>
      <c r="BX95" s="6"/>
      <c r="BY95" s="6"/>
      <c r="BZ95" s="6"/>
      <c r="CA95" s="6"/>
      <c r="CB95" s="6"/>
      <c r="CC95" s="6"/>
      <c r="CD95" s="6"/>
      <c r="CE95" s="6"/>
      <c r="CF95" s="6"/>
      <c r="CG95" s="6"/>
      <c r="CH95" s="6"/>
      <c r="CI95" s="6"/>
      <c r="CJ95" s="6"/>
      <c r="CK95" s="6"/>
      <c r="CL95" s="6"/>
      <c r="CM95" s="6"/>
      <c r="CN95" s="6"/>
      <c r="CO95" s="6"/>
      <c r="CP95" s="6"/>
      <c r="CQ95" s="6"/>
      <c r="CR95" s="6"/>
      <c r="CS95" s="6"/>
      <c r="CT95" s="6"/>
      <c r="CU95" s="6"/>
      <c r="CV95" s="6"/>
      <c r="CW95" s="6"/>
      <c r="CX95" s="6"/>
      <c r="CY95" s="6"/>
      <c r="CZ95" s="6"/>
      <c r="DA95" s="6"/>
      <c r="DB95" s="6"/>
      <c r="DC95" s="6"/>
      <c r="DD95" s="6"/>
      <c r="DE95" s="6"/>
      <c r="DF95" s="6"/>
      <c r="DG95" s="6"/>
      <c r="DH95" s="6"/>
      <c r="DI95" s="6"/>
      <c r="DJ95" s="6"/>
      <c r="DK95" s="6"/>
      <c r="DL95" s="6"/>
      <c r="DM95" s="6"/>
      <c r="DN95" s="6"/>
      <c r="DO95" s="6"/>
      <c r="DP95" s="6"/>
      <c r="DQ95" s="6"/>
      <c r="DR95" s="6"/>
      <c r="DS95" s="6"/>
      <c r="DT95" s="6"/>
      <c r="DU95" s="6"/>
      <c r="DV95" s="6"/>
      <c r="DW95" s="6"/>
      <c r="DX95" s="6"/>
      <c r="DY95" s="6"/>
      <c r="DZ95" s="6"/>
      <c r="EA95" s="6"/>
      <c r="EB95" s="6"/>
      <c r="EC95" s="6"/>
      <c r="ED95" s="6"/>
      <c r="EE95" s="6"/>
      <c r="EF95" s="6"/>
      <c r="EG95" s="6"/>
      <c r="EH95" s="6"/>
      <c r="EI95" s="6"/>
      <c r="EJ95" s="6"/>
      <c r="EK95" s="6"/>
      <c r="EL95" s="6"/>
      <c r="EM95" s="6"/>
      <c r="EN95" s="6"/>
      <c r="EO95" s="6"/>
      <c r="EP95" s="6"/>
      <c r="EQ95" s="6"/>
      <c r="ER95" s="487"/>
      <c r="ES95" s="1"/>
      <c r="ET95" s="487"/>
      <c r="EU95" s="1"/>
      <c r="EV95" s="487"/>
      <c r="EW95" s="1"/>
      <c r="EX95" s="487"/>
      <c r="EY95" s="1"/>
      <c r="EZ95" s="487"/>
      <c r="FA95" s="1"/>
      <c r="FB95" s="487"/>
      <c r="FC95" s="1"/>
      <c r="FD95" s="487"/>
      <c r="FE95" s="1"/>
      <c r="FF95" s="487"/>
      <c r="FG95" s="1"/>
      <c r="FH95" s="487"/>
      <c r="FI95" s="1"/>
      <c r="FJ95" s="487"/>
      <c r="FK95" s="1"/>
      <c r="FL95" s="487"/>
      <c r="FM95" s="1"/>
      <c r="FN95" s="487"/>
      <c r="FO95" s="1"/>
      <c r="FP95" s="487"/>
      <c r="FQ95" s="1"/>
      <c r="FR95" s="487"/>
      <c r="FS95" s="1"/>
      <c r="FT95" s="487"/>
      <c r="FU95" s="1"/>
      <c r="FV95" s="487"/>
      <c r="FW95" s="1"/>
      <c r="FX95" s="487"/>
      <c r="FY95" s="1"/>
      <c r="FZ95" s="487"/>
      <c r="GA95" s="1"/>
      <c r="GB95" s="487"/>
      <c r="GC95" s="1"/>
      <c r="GD95" s="487"/>
      <c r="GE95" s="1"/>
      <c r="GF95" s="487"/>
      <c r="GG95" s="1"/>
      <c r="GH95" s="487"/>
      <c r="GI95" s="1"/>
      <c r="GJ95" s="487"/>
      <c r="GK95" s="1"/>
      <c r="GL95" s="487"/>
      <c r="GM95" s="1"/>
      <c r="GN95" s="487"/>
      <c r="GO95" s="1"/>
      <c r="GP95" s="487"/>
      <c r="GQ95" s="1"/>
      <c r="GR95" s="487"/>
      <c r="GS95" s="1"/>
      <c r="GT95" s="487"/>
      <c r="GU95" s="1"/>
      <c r="GV95" s="487"/>
      <c r="GW95" s="1"/>
      <c r="GX95" s="487"/>
      <c r="GY95" s="1"/>
      <c r="GZ95" s="487"/>
      <c r="HA95" s="1"/>
      <c r="HB95" s="487"/>
      <c r="HC95" s="1"/>
      <c r="HD95" s="487"/>
      <c r="HE95" s="1"/>
      <c r="HF95" s="487"/>
      <c r="HG95" s="1"/>
      <c r="HH95" s="487"/>
      <c r="HI95" s="1"/>
      <c r="HJ95" s="487"/>
      <c r="HK95" s="1"/>
      <c r="HL95" s="487"/>
      <c r="HM95" s="1"/>
      <c r="HN95" s="487"/>
      <c r="HO95" s="1"/>
      <c r="HP95" s="487"/>
      <c r="HQ95" s="1"/>
      <c r="HR95" s="487"/>
      <c r="HS95" s="1"/>
      <c r="HT95" s="487"/>
      <c r="HU95" s="1"/>
      <c r="HV95" s="487"/>
      <c r="HW95" s="1"/>
      <c r="HX95" s="487"/>
      <c r="HY95" s="1"/>
      <c r="HZ95" s="487"/>
      <c r="IA95" s="1"/>
      <c r="IB95" s="487"/>
      <c r="IC95" s="1"/>
      <c r="ID95" s="487"/>
      <c r="IE95" s="1"/>
      <c r="IF95" s="487"/>
      <c r="IG95" s="1"/>
      <c r="IH95" s="487"/>
      <c r="II95" s="1"/>
      <c r="IJ95" s="487"/>
      <c r="IK95" s="1"/>
      <c r="IL95" s="487"/>
      <c r="IM95" s="1"/>
      <c r="IN95" s="487"/>
      <c r="IO95" s="1"/>
      <c r="IP95" s="487"/>
      <c r="IQ95" s="1"/>
      <c r="IR95" s="487"/>
      <c r="IS95" s="1"/>
      <c r="IT95" s="487"/>
      <c r="IU95" s="1"/>
      <c r="IV95" s="487"/>
      <c r="IW95" s="1"/>
      <c r="IX95" s="487"/>
      <c r="IY95" s="1"/>
      <c r="IZ95" s="487"/>
      <c r="JA95" s="1"/>
      <c r="JB95" s="487"/>
      <c r="JC95" s="1"/>
      <c r="JD95" s="487"/>
      <c r="JE95" s="1"/>
      <c r="JF95" s="487"/>
      <c r="JG95" s="1"/>
      <c r="JH95" s="487"/>
      <c r="JI95" s="1"/>
      <c r="JJ95" s="487"/>
      <c r="JK95" s="1"/>
      <c r="JL95" s="487"/>
      <c r="JM95" s="1"/>
      <c r="JN95" s="487"/>
      <c r="JO95" s="1"/>
      <c r="JP95" s="487"/>
      <c r="JQ95" s="1"/>
      <c r="JR95" s="487"/>
      <c r="JS95" s="1"/>
      <c r="JT95" s="487"/>
      <c r="JU95" s="1"/>
      <c r="JV95" s="487">
        <v>2.4000000000000004</v>
      </c>
      <c r="JW95" s="1">
        <v>0.5</v>
      </c>
      <c r="JX95" s="487">
        <v>28.42</v>
      </c>
      <c r="JY95" s="1">
        <v>0.7</v>
      </c>
      <c r="JZ95" s="487">
        <v>28.619999999999994</v>
      </c>
      <c r="KA95" s="1">
        <v>0.75</v>
      </c>
      <c r="KB95" s="487">
        <v>-2.04</v>
      </c>
      <c r="KC95" s="1">
        <v>0.5</v>
      </c>
      <c r="KD95" s="487">
        <v>-10.32</v>
      </c>
      <c r="KE95" s="1">
        <v>0.6</v>
      </c>
      <c r="KF95" s="487">
        <v>33.92</v>
      </c>
      <c r="KG95" s="1">
        <v>0.83333333333333337</v>
      </c>
      <c r="KH95" s="487">
        <v>28.58</v>
      </c>
      <c r="KI95" s="1">
        <v>1</v>
      </c>
      <c r="KJ95" s="487">
        <v>21.3</v>
      </c>
      <c r="KK95" s="1">
        <v>0.83333333333333337</v>
      </c>
      <c r="KL95" s="487">
        <v>-32.599999999999994</v>
      </c>
      <c r="KM95" s="1">
        <v>0</v>
      </c>
      <c r="KN95" s="487">
        <v>9.8800000000000008</v>
      </c>
      <c r="KO95" s="1">
        <v>1</v>
      </c>
      <c r="KP95" s="487">
        <v>-17.600000000000001</v>
      </c>
      <c r="KQ95" s="1">
        <v>0.6</v>
      </c>
      <c r="KR95" s="487">
        <v>7.02</v>
      </c>
      <c r="KS95" s="1">
        <v>1</v>
      </c>
      <c r="KT95" s="487"/>
      <c r="KU95" s="1"/>
      <c r="KV95" s="487">
        <v>8.5800000000000018</v>
      </c>
      <c r="KW95" s="1">
        <v>0.66666666666666663</v>
      </c>
      <c r="KX95" s="487">
        <v>28.36</v>
      </c>
      <c r="KY95" s="1">
        <v>1</v>
      </c>
      <c r="KZ95" s="487">
        <v>-1.1999999999999993</v>
      </c>
      <c r="LA95" s="1">
        <v>0.66666666666666663</v>
      </c>
      <c r="LB95" s="487">
        <v>3.360000000000003</v>
      </c>
      <c r="LC95" s="1">
        <v>0.8</v>
      </c>
      <c r="LD95" s="487">
        <v>21.34</v>
      </c>
      <c r="LE95" s="1">
        <v>1</v>
      </c>
      <c r="LF95" s="487">
        <v>-8.3000000000000025</v>
      </c>
      <c r="LG95" s="1">
        <v>0.75</v>
      </c>
      <c r="LH95" s="487">
        <v>-36.04</v>
      </c>
      <c r="LI95" s="1">
        <v>0.5</v>
      </c>
      <c r="LJ95" s="487">
        <v>-29.46</v>
      </c>
      <c r="LK95" s="1">
        <v>0</v>
      </c>
      <c r="LL95" s="487"/>
      <c r="LM95" s="1"/>
      <c r="LN95" s="487"/>
      <c r="LO95" s="1"/>
      <c r="LP95" s="487"/>
      <c r="LQ95" s="1"/>
      <c r="LR95" s="487"/>
      <c r="LS95" s="1"/>
      <c r="LT95" s="487"/>
      <c r="LU95" s="1"/>
      <c r="LV95" s="487"/>
      <c r="LW95" s="1"/>
      <c r="LX95" s="487"/>
      <c r="LY95" s="1"/>
      <c r="LZ95" s="487"/>
      <c r="MA95" s="1"/>
      <c r="MB95" s="487"/>
      <c r="MC95" s="1"/>
      <c r="MD95" s="487"/>
      <c r="ME95" s="1"/>
      <c r="MF95" s="487"/>
      <c r="MG95" s="1"/>
      <c r="MH95" s="487"/>
      <c r="MI95" s="1"/>
      <c r="MJ95" s="487"/>
      <c r="MK95" s="1"/>
      <c r="ML95" s="487"/>
      <c r="MM95" s="1"/>
      <c r="MN95" s="487"/>
      <c r="MO95" s="1"/>
      <c r="MP95" s="487"/>
      <c r="MQ95" s="1"/>
      <c r="MR95" s="487"/>
      <c r="MS95" s="1"/>
      <c r="MT95" s="487"/>
      <c r="MU95" s="1"/>
      <c r="MV95" s="487"/>
      <c r="MW95" s="1"/>
      <c r="MX95" s="487"/>
      <c r="MY95" s="1"/>
      <c r="MZ95" s="487"/>
      <c r="NA95" s="1"/>
      <c r="NB95" s="487"/>
      <c r="NC95" s="1"/>
      <c r="ND95" s="487"/>
      <c r="NE95" s="1"/>
      <c r="NF95" s="487"/>
      <c r="NG95" s="1"/>
      <c r="NH95" s="487"/>
      <c r="NI95" s="1"/>
      <c r="NJ95" s="487"/>
      <c r="NK95" s="1"/>
      <c r="NL95" s="487"/>
      <c r="NM95" s="1"/>
      <c r="NN95" s="487"/>
      <c r="NO95" s="1"/>
      <c r="NP95" s="487"/>
      <c r="NQ95" s="1"/>
      <c r="NR95" s="487"/>
      <c r="NS95" s="1"/>
      <c r="NT95" s="487"/>
      <c r="NU95" s="1"/>
      <c r="NV95" s="487"/>
      <c r="NW95" s="1"/>
      <c r="NX95" s="487"/>
      <c r="NY95" s="1"/>
      <c r="NZ95" s="487"/>
      <c r="OA95" s="1"/>
      <c r="OB95" s="487"/>
      <c r="OC95" s="1"/>
      <c r="OD95" s="487"/>
      <c r="OE95" s="1"/>
      <c r="OF95" s="487"/>
      <c r="OG95" s="1"/>
      <c r="OH95" s="487"/>
      <c r="OI95" s="1"/>
      <c r="OJ95" s="487"/>
      <c r="OK95" s="1"/>
      <c r="OL95" s="487"/>
      <c r="OM95" s="1"/>
      <c r="ON95" s="487"/>
      <c r="OO95" s="1"/>
      <c r="OP95" s="487"/>
      <c r="OQ95" s="1"/>
      <c r="OR95" s="487"/>
      <c r="OS95" s="1"/>
      <c r="OT95" s="487"/>
      <c r="OU95" s="1"/>
      <c r="OV95" s="487"/>
      <c r="OW95" s="1"/>
      <c r="OX95" s="487"/>
      <c r="OY95" s="1"/>
      <c r="OZ95" s="487">
        <v>6.92</v>
      </c>
      <c r="PA95" s="1">
        <v>1</v>
      </c>
      <c r="PB95" s="487">
        <v>44.04</v>
      </c>
      <c r="PC95" s="1">
        <v>1</v>
      </c>
      <c r="PD95" s="487">
        <v>0</v>
      </c>
      <c r="PE95" s="1">
        <v>0.77777777777777779</v>
      </c>
      <c r="PF95" s="487">
        <v>-18.52</v>
      </c>
      <c r="PG95" s="1">
        <v>0.5</v>
      </c>
      <c r="PH95" s="487">
        <v>-56.36</v>
      </c>
      <c r="PI95" s="1">
        <v>0.4</v>
      </c>
      <c r="PJ95" s="487">
        <v>-45.240000000000009</v>
      </c>
      <c r="PK95" s="1">
        <v>0.42857142857142855</v>
      </c>
      <c r="PL95" s="487"/>
      <c r="PM95" s="1"/>
      <c r="PN95" s="487"/>
      <c r="PO95" s="1"/>
      <c r="PP95" s="487">
        <v>-29.740000000000002</v>
      </c>
      <c r="PQ95" s="1">
        <v>0.5</v>
      </c>
      <c r="PR95" s="487"/>
      <c r="PS95" s="1"/>
      <c r="PT95" s="487">
        <v>29.580000000000002</v>
      </c>
      <c r="PU95" s="1">
        <v>1</v>
      </c>
      <c r="PV95" s="487">
        <v>-14.899999999999991</v>
      </c>
      <c r="PW95" s="1">
        <v>0.7142857142857143</v>
      </c>
      <c r="PX95" s="487">
        <v>-61.90000000000002</v>
      </c>
      <c r="PY95" s="1">
        <v>0.6428571428571429</v>
      </c>
      <c r="PZ95" s="487">
        <v>-72.459999999999994</v>
      </c>
      <c r="QA95" s="1">
        <v>0.5</v>
      </c>
      <c r="QB95" s="487">
        <v>-10.86</v>
      </c>
      <c r="QC95" s="1">
        <v>0.66666666666666663</v>
      </c>
      <c r="QD95" s="487">
        <v>28.419999999999998</v>
      </c>
      <c r="QE95" s="1">
        <v>0.875</v>
      </c>
      <c r="QF95" s="487">
        <v>41.980000000000004</v>
      </c>
      <c r="QG95" s="1">
        <v>1</v>
      </c>
      <c r="QH95" s="487">
        <v>15</v>
      </c>
      <c r="QI95" s="1">
        <v>1</v>
      </c>
      <c r="QJ95" s="487">
        <v>31.4</v>
      </c>
      <c r="QK95" s="1">
        <v>0.8571428571428571</v>
      </c>
      <c r="QL95" s="487">
        <v>-21.42</v>
      </c>
      <c r="QM95" s="1">
        <v>0.4</v>
      </c>
      <c r="QN95" s="487">
        <v>14.5</v>
      </c>
      <c r="QO95" s="1">
        <v>1</v>
      </c>
      <c r="QP95" s="487">
        <v>21.479999999999997</v>
      </c>
      <c r="QQ95" s="1">
        <v>1</v>
      </c>
      <c r="QR95" s="487">
        <v>-11.54</v>
      </c>
      <c r="QS95" s="1">
        <v>0.6</v>
      </c>
      <c r="QT95" s="487"/>
      <c r="QU95" s="1"/>
      <c r="QV95" s="487">
        <v>-7.8599999999999985</v>
      </c>
      <c r="QW95" s="1">
        <v>0.58333333333333337</v>
      </c>
      <c r="QX95" s="487">
        <v>22.619999999999997</v>
      </c>
      <c r="QY95" s="1">
        <v>0.63636363636363635</v>
      </c>
      <c r="QZ95" s="487">
        <v>23.84</v>
      </c>
      <c r="RA95" s="1">
        <v>0.75</v>
      </c>
      <c r="RB95" s="487">
        <v>-17.98</v>
      </c>
      <c r="RC95" s="1">
        <v>0.5</v>
      </c>
      <c r="RD95" s="487">
        <v>-39.959999999999994</v>
      </c>
      <c r="RE95" s="1">
        <v>0.5</v>
      </c>
      <c r="RF95" s="487">
        <v>-11.359999999999994</v>
      </c>
      <c r="RG95" s="1">
        <v>0.5</v>
      </c>
      <c r="RH95" s="487">
        <v>7.1600000000000028</v>
      </c>
      <c r="RI95" s="1">
        <v>0.625</v>
      </c>
      <c r="RJ95" s="487"/>
      <c r="RK95" s="1"/>
      <c r="RL95" s="487"/>
      <c r="RM95" s="1"/>
      <c r="RN95" s="487">
        <v>-84.5</v>
      </c>
      <c r="RO95" s="1">
        <v>0.2</v>
      </c>
      <c r="RP95" s="487">
        <v>-49.379999999999995</v>
      </c>
      <c r="RQ95" s="1">
        <v>0.33333333333333331</v>
      </c>
      <c r="RR95" s="487">
        <v>-92.460000000000008</v>
      </c>
      <c r="RS95" s="1">
        <v>0.375</v>
      </c>
      <c r="RT95" s="487">
        <v>-21.519999999999996</v>
      </c>
      <c r="RU95" s="1">
        <v>0.625</v>
      </c>
      <c r="RV95" s="487">
        <v>24</v>
      </c>
      <c r="RW95" s="1">
        <v>0.83333333333333337</v>
      </c>
      <c r="RX95" s="487">
        <v>13.2</v>
      </c>
      <c r="RY95" s="1">
        <v>0.5714285714285714</v>
      </c>
      <c r="RZ95" s="487">
        <v>-73.539999999999992</v>
      </c>
      <c r="SA95" s="1">
        <v>0</v>
      </c>
      <c r="SB95" s="487">
        <v>-93.52</v>
      </c>
      <c r="SC95" s="1">
        <v>0.4</v>
      </c>
      <c r="SD95" s="487"/>
      <c r="SE95" s="1"/>
      <c r="SF95" s="487">
        <v>5.9200000000000008</v>
      </c>
      <c r="SG95" s="1">
        <v>0.66666666666666663</v>
      </c>
      <c r="SH95" s="487">
        <v>3.9999999999999982</v>
      </c>
      <c r="SI95" s="1">
        <v>0.8</v>
      </c>
      <c r="SJ95" s="487">
        <v>63.64</v>
      </c>
      <c r="SK95" s="1">
        <v>1</v>
      </c>
      <c r="SL95" s="487">
        <v>-78.78</v>
      </c>
      <c r="SM95" s="1">
        <v>0.33333333333333331</v>
      </c>
      <c r="SN95" s="487">
        <v>36.64</v>
      </c>
      <c r="SO95" s="1">
        <v>1</v>
      </c>
      <c r="SP95" s="487">
        <v>-14.399999999999999</v>
      </c>
      <c r="SQ95" s="1">
        <v>0.6</v>
      </c>
      <c r="SR95" s="487">
        <v>18.34</v>
      </c>
      <c r="SS95" s="1">
        <v>0.72727272727272729</v>
      </c>
      <c r="ST95" s="487"/>
      <c r="SU95" s="1"/>
      <c r="SV95" s="487"/>
      <c r="SW95" s="1"/>
      <c r="SX95" s="487">
        <v>-57.5</v>
      </c>
      <c r="SY95" s="1">
        <v>0.2</v>
      </c>
      <c r="SZ95" s="487">
        <v>-10.82</v>
      </c>
      <c r="TA95" s="1">
        <v>0.5</v>
      </c>
      <c r="TB95" s="487">
        <v>24.04</v>
      </c>
      <c r="TC95" s="1">
        <v>1</v>
      </c>
      <c r="TD95" s="487">
        <v>29.340000000000003</v>
      </c>
      <c r="TE95" s="1">
        <v>0.81818181818181823</v>
      </c>
      <c r="TF95" s="487">
        <v>12.22</v>
      </c>
      <c r="TG95" s="1">
        <v>0.8</v>
      </c>
      <c r="TH95" s="488"/>
      <c r="TI95" s="1"/>
      <c r="TJ95" s="489">
        <v>58.4</v>
      </c>
      <c r="TK95" s="1">
        <v>0.9</v>
      </c>
      <c r="TL95" s="490">
        <v>87.48</v>
      </c>
      <c r="TM95" s="1">
        <v>1</v>
      </c>
      <c r="TN95" s="495">
        <v>-40.400000000000006</v>
      </c>
      <c r="TO95" s="1">
        <v>0.54545454545454541</v>
      </c>
      <c r="TP95" s="500">
        <v>-17.760000000000002</v>
      </c>
      <c r="TQ95" s="1">
        <v>0.5</v>
      </c>
      <c r="TR95" s="511">
        <v>-106.30000000000001</v>
      </c>
      <c r="TS95" s="1">
        <v>0.45454545454545453</v>
      </c>
      <c r="TT95" s="515">
        <v>-9.3799999999999955</v>
      </c>
      <c r="TU95" s="1">
        <v>0.6</v>
      </c>
      <c r="TV95" s="518">
        <v>-17.519999999999996</v>
      </c>
      <c r="TW95" s="1">
        <v>0.5714285714285714</v>
      </c>
      <c r="TX95" s="521"/>
      <c r="TY95" s="1"/>
      <c r="TZ95" s="524">
        <v>9.6999999999999993</v>
      </c>
      <c r="UA95" s="1">
        <v>0.6</v>
      </c>
      <c r="UB95" s="527">
        <v>25.72</v>
      </c>
      <c r="UC95" s="1">
        <v>0.81818181818181823</v>
      </c>
      <c r="UD95" s="530">
        <v>35.980000000000004</v>
      </c>
      <c r="UE95" s="1">
        <v>1</v>
      </c>
      <c r="UF95" s="533">
        <v>-8.94</v>
      </c>
      <c r="UG95" s="1">
        <v>0.5714285714285714</v>
      </c>
      <c r="UH95" s="536">
        <v>-24.5</v>
      </c>
      <c r="UI95" s="1">
        <v>0.55555555555555558</v>
      </c>
      <c r="UJ95" s="539">
        <v>18.919999999999995</v>
      </c>
      <c r="UK95" s="1">
        <v>0.84615384615384615</v>
      </c>
      <c r="UL95" s="540">
        <v>20.499999999999996</v>
      </c>
      <c r="UM95" s="1">
        <v>0.66666666666666663</v>
      </c>
      <c r="UN95" s="543">
        <v>8.8400000000000016</v>
      </c>
      <c r="UO95" s="1">
        <v>0.5</v>
      </c>
      <c r="UP95" s="544"/>
      <c r="UQ95" s="1"/>
      <c r="UR95" s="551">
        <v>-15.2</v>
      </c>
      <c r="US95" s="1">
        <v>0.66666666666666663</v>
      </c>
      <c r="UT95" s="551"/>
      <c r="UU95" s="1"/>
      <c r="UV95" s="562">
        <v>32.9</v>
      </c>
      <c r="UW95" s="1">
        <v>0.8571428571428571</v>
      </c>
      <c r="UX95" s="566">
        <v>-109.9</v>
      </c>
      <c r="UY95" s="1">
        <v>0.125</v>
      </c>
      <c r="UZ95" s="568">
        <v>21.34</v>
      </c>
      <c r="VA95" s="1">
        <v>1</v>
      </c>
      <c r="VB95" s="572"/>
      <c r="VC95" s="1"/>
      <c r="VD95" s="576"/>
      <c r="VE95" s="1"/>
      <c r="VF95" s="580">
        <v>49.220000000000006</v>
      </c>
      <c r="VG95" s="1">
        <v>1</v>
      </c>
      <c r="VH95" s="584"/>
      <c r="VI95" s="1"/>
      <c r="VJ95" s="589">
        <v>-11.08</v>
      </c>
      <c r="VK95" s="1">
        <v>0.33333333333333331</v>
      </c>
      <c r="VL95" s="593"/>
      <c r="VM95" s="1"/>
      <c r="VN95" s="597">
        <v>-31.1</v>
      </c>
      <c r="VO95" s="1">
        <v>0.4</v>
      </c>
      <c r="VP95" s="601">
        <v>-11.640000000000004</v>
      </c>
      <c r="VQ95" s="1">
        <v>0.6</v>
      </c>
      <c r="VR95" s="603">
        <v>6.94</v>
      </c>
      <c r="VS95" s="1">
        <v>1</v>
      </c>
      <c r="VT95" s="607">
        <v>-94.38</v>
      </c>
      <c r="VU95" s="1">
        <v>0.33333333333333331</v>
      </c>
      <c r="VV95" s="609"/>
      <c r="VW95" s="1"/>
      <c r="VX95" s="613"/>
      <c r="VY95" s="1"/>
      <c r="VZ95" s="617">
        <v>23.759999999999998</v>
      </c>
      <c r="WA95" s="1">
        <v>0.75</v>
      </c>
      <c r="WB95" s="619"/>
      <c r="WC95" s="1"/>
      <c r="WD95" s="624">
        <v>-17.16</v>
      </c>
      <c r="WE95" s="1">
        <v>0.625</v>
      </c>
      <c r="WF95" s="626">
        <v>-75.259999999999991</v>
      </c>
      <c r="WG95" s="1">
        <v>0.2</v>
      </c>
      <c r="WH95" s="630"/>
      <c r="WI95" s="1"/>
      <c r="WJ95" s="636"/>
      <c r="WK95" s="1"/>
      <c r="WL95" s="638"/>
      <c r="WM95" s="1"/>
      <c r="WN95" s="642"/>
      <c r="WO95" s="1"/>
      <c r="WP95" s="646">
        <v>21.24</v>
      </c>
      <c r="WQ95" s="1">
        <v>1</v>
      </c>
      <c r="WR95" s="652">
        <v>43.399999999999991</v>
      </c>
      <c r="WS95" s="1">
        <v>0.81818181818181823</v>
      </c>
      <c r="WT95" s="659"/>
      <c r="WU95" s="1"/>
      <c r="WV95" s="659"/>
      <c r="WW95" s="1"/>
      <c r="WX95" s="672">
        <v>79.860000000000014</v>
      </c>
      <c r="WY95" s="1">
        <v>0.92307692307692313</v>
      </c>
      <c r="WZ95" s="677"/>
      <c r="XA95" s="1"/>
      <c r="XB95" s="681">
        <v>53.959999999999994</v>
      </c>
      <c r="XC95" s="1">
        <v>0.8</v>
      </c>
      <c r="XD95" s="683">
        <v>-1.4399999999999977</v>
      </c>
      <c r="XE95" s="1">
        <v>0.8</v>
      </c>
      <c r="XF95" s="687"/>
      <c r="XG95" s="1"/>
      <c r="XH95" s="689"/>
      <c r="XI95" s="1"/>
      <c r="XJ95" s="696">
        <v>-4.5000000000000071</v>
      </c>
      <c r="XK95" s="1">
        <v>0.76923076923076927</v>
      </c>
      <c r="XL95" s="696"/>
      <c r="XM95" s="1"/>
      <c r="XN95" s="696">
        <v>-40.500000000000014</v>
      </c>
      <c r="XO95" s="1">
        <v>0.47368421052631576</v>
      </c>
      <c r="XP95" s="700">
        <v>-38.58</v>
      </c>
      <c r="XQ95" s="1">
        <v>0.4</v>
      </c>
      <c r="XR95" s="705"/>
      <c r="XS95" s="1"/>
      <c r="XT95" s="709"/>
      <c r="XU95" s="1"/>
      <c r="XV95" s="715"/>
      <c r="XW95" s="1"/>
    </row>
    <row r="96" spans="2:647" ht="15.75" thickBot="1" x14ac:dyDescent="0.3">
      <c r="B96" s="738"/>
      <c r="C96" s="740"/>
      <c r="D96" s="738" t="s">
        <v>17</v>
      </c>
      <c r="E96" s="738"/>
      <c r="F96" s="193">
        <v>0.6</v>
      </c>
      <c r="G96" s="478" t="s">
        <v>49</v>
      </c>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c r="AG96" s="20"/>
      <c r="AH96" s="20"/>
      <c r="AI96" s="20"/>
      <c r="AJ96" s="20"/>
      <c r="AK96" s="20"/>
      <c r="AL96" s="20"/>
      <c r="AM96" s="20"/>
      <c r="AN96" s="20"/>
      <c r="AO96" s="20"/>
      <c r="AP96" s="20"/>
      <c r="AQ96" s="20"/>
      <c r="AR96" s="20"/>
      <c r="AS96" s="20"/>
      <c r="AT96" s="20"/>
      <c r="AU96" s="20"/>
      <c r="AV96" s="20"/>
      <c r="AW96" s="20"/>
      <c r="AX96" s="20"/>
      <c r="AY96" s="20"/>
      <c r="AZ96" s="20"/>
      <c r="BA96" s="20"/>
      <c r="BB96" s="20"/>
      <c r="BC96" s="20"/>
      <c r="BD96" s="20"/>
      <c r="BE96" s="20"/>
      <c r="BF96" s="20"/>
      <c r="BG96" s="20"/>
      <c r="BH96" s="20"/>
      <c r="BI96" s="20"/>
      <c r="BJ96" s="20"/>
      <c r="BK96" s="20"/>
      <c r="BL96" s="20"/>
      <c r="BM96" s="20"/>
      <c r="BN96" s="20"/>
      <c r="BO96" s="20"/>
      <c r="BP96" s="20"/>
      <c r="BQ96" s="20"/>
      <c r="BR96" s="20"/>
      <c r="BS96" s="20"/>
      <c r="BT96" s="20"/>
      <c r="BU96" s="20"/>
      <c r="BV96" s="20"/>
      <c r="BW96" s="20"/>
      <c r="BX96" s="20"/>
      <c r="BY96" s="20"/>
      <c r="BZ96" s="20"/>
      <c r="CA96" s="20"/>
      <c r="CB96" s="20"/>
      <c r="CC96" s="20"/>
      <c r="CD96" s="20"/>
      <c r="CE96" s="20"/>
      <c r="CF96" s="20"/>
      <c r="CG96" s="20"/>
      <c r="CH96" s="20"/>
      <c r="CI96" s="20"/>
      <c r="CJ96" s="20"/>
      <c r="CK96" s="20"/>
      <c r="CL96" s="20"/>
      <c r="CM96" s="20"/>
      <c r="CN96" s="20"/>
      <c r="CO96" s="20"/>
      <c r="CP96" s="20"/>
      <c r="CQ96" s="20"/>
      <c r="CR96" s="20"/>
      <c r="CS96" s="20"/>
      <c r="CT96" s="20"/>
      <c r="CU96" s="20"/>
      <c r="CV96" s="20"/>
      <c r="CW96" s="20"/>
      <c r="CX96" s="20"/>
      <c r="CY96" s="20"/>
      <c r="CZ96" s="20"/>
      <c r="DA96" s="20"/>
      <c r="DB96" s="20"/>
      <c r="DC96" s="20"/>
      <c r="DD96" s="20"/>
      <c r="DE96" s="20"/>
      <c r="DF96" s="20"/>
      <c r="DG96" s="20"/>
      <c r="DH96" s="20"/>
      <c r="DI96" s="20"/>
      <c r="DJ96" s="20"/>
      <c r="DK96" s="20"/>
      <c r="DL96" s="20"/>
      <c r="DM96" s="20"/>
      <c r="DN96" s="20"/>
      <c r="DO96" s="20"/>
      <c r="DP96" s="20"/>
      <c r="DQ96" s="20"/>
      <c r="DR96" s="20"/>
      <c r="DS96" s="20"/>
      <c r="DT96" s="20"/>
      <c r="DU96" s="20"/>
      <c r="DV96" s="20"/>
      <c r="DW96" s="20"/>
      <c r="DX96" s="20"/>
      <c r="DY96" s="20"/>
      <c r="DZ96" s="20"/>
      <c r="EA96" s="20"/>
      <c r="EB96" s="20"/>
      <c r="EC96" s="20"/>
      <c r="ED96" s="20"/>
      <c r="EE96" s="20"/>
      <c r="EF96" s="20"/>
      <c r="EG96" s="20"/>
      <c r="EH96" s="20"/>
      <c r="EI96" s="20"/>
      <c r="EJ96" s="20"/>
      <c r="EK96" s="20"/>
      <c r="EL96" s="20"/>
      <c r="EM96" s="20"/>
      <c r="EN96" s="20"/>
      <c r="EO96" s="20"/>
      <c r="EP96" s="20"/>
      <c r="EQ96" s="20"/>
      <c r="ER96" s="59"/>
      <c r="ES96" s="60"/>
      <c r="ET96" s="59"/>
      <c r="EU96" s="60"/>
      <c r="EV96" s="59"/>
      <c r="EW96" s="60"/>
      <c r="EX96" s="59"/>
      <c r="EY96" s="60"/>
      <c r="EZ96" s="59"/>
      <c r="FA96" s="60"/>
      <c r="FB96" s="59"/>
      <c r="FC96" s="60"/>
      <c r="FD96" s="59"/>
      <c r="FE96" s="60"/>
      <c r="FF96" s="59"/>
      <c r="FG96" s="60"/>
      <c r="FH96" s="59"/>
      <c r="FI96" s="60"/>
      <c r="FJ96" s="59"/>
      <c r="FK96" s="60"/>
      <c r="FL96" s="59"/>
      <c r="FM96" s="60"/>
      <c r="FN96" s="59"/>
      <c r="FO96" s="60"/>
      <c r="FP96" s="59"/>
      <c r="FQ96" s="60"/>
      <c r="FR96" s="59"/>
      <c r="FS96" s="60"/>
      <c r="FT96" s="59"/>
      <c r="FU96" s="60"/>
      <c r="FV96" s="59"/>
      <c r="FW96" s="60"/>
      <c r="FX96" s="59"/>
      <c r="FY96" s="60"/>
      <c r="FZ96" s="59"/>
      <c r="GA96" s="60"/>
      <c r="GB96" s="59"/>
      <c r="GC96" s="60"/>
      <c r="GD96" s="59"/>
      <c r="GE96" s="60"/>
      <c r="GF96" s="59"/>
      <c r="GG96" s="60"/>
      <c r="GH96" s="59"/>
      <c r="GI96" s="60"/>
      <c r="GJ96" s="59"/>
      <c r="GK96" s="60"/>
      <c r="GL96" s="59"/>
      <c r="GM96" s="60"/>
      <c r="GN96" s="59"/>
      <c r="GO96" s="60"/>
      <c r="GP96" s="59"/>
      <c r="GQ96" s="60"/>
      <c r="GR96" s="59"/>
      <c r="GS96" s="60"/>
      <c r="GT96" s="59"/>
      <c r="GU96" s="60"/>
      <c r="GV96" s="59"/>
      <c r="GW96" s="60"/>
      <c r="GX96" s="59"/>
      <c r="GY96" s="60"/>
      <c r="GZ96" s="59"/>
      <c r="HA96" s="60"/>
      <c r="HB96" s="59"/>
      <c r="HC96" s="60"/>
      <c r="HD96" s="59"/>
      <c r="HE96" s="60"/>
      <c r="HF96" s="59"/>
      <c r="HG96" s="60"/>
      <c r="HH96" s="59"/>
      <c r="HI96" s="60"/>
      <c r="HJ96" s="59"/>
      <c r="HK96" s="60"/>
      <c r="HL96" s="59"/>
      <c r="HM96" s="60"/>
      <c r="HN96" s="59"/>
      <c r="HO96" s="60"/>
      <c r="HP96" s="59"/>
      <c r="HQ96" s="60"/>
      <c r="HR96" s="59"/>
      <c r="HS96" s="60"/>
      <c r="HT96" s="59"/>
      <c r="HU96" s="60"/>
      <c r="HV96" s="59"/>
      <c r="HW96" s="60"/>
      <c r="HX96" s="59"/>
      <c r="HY96" s="60"/>
      <c r="HZ96" s="59"/>
      <c r="IA96" s="60"/>
      <c r="IB96" s="59"/>
      <c r="IC96" s="60"/>
      <c r="ID96" s="59"/>
      <c r="IE96" s="60"/>
      <c r="IF96" s="59"/>
      <c r="IG96" s="60"/>
      <c r="IH96" s="59"/>
      <c r="II96" s="60"/>
      <c r="IJ96" s="59"/>
      <c r="IK96" s="60"/>
      <c r="IL96" s="59"/>
      <c r="IM96" s="60"/>
      <c r="IN96" s="59"/>
      <c r="IO96" s="60"/>
      <c r="IP96" s="59"/>
      <c r="IQ96" s="60"/>
      <c r="IR96" s="59"/>
      <c r="IS96" s="60"/>
      <c r="IT96" s="59"/>
      <c r="IU96" s="60"/>
      <c r="IV96" s="59"/>
      <c r="IW96" s="60"/>
      <c r="IX96" s="59"/>
      <c r="IY96" s="60"/>
      <c r="IZ96" s="59"/>
      <c r="JA96" s="60"/>
      <c r="JB96" s="59"/>
      <c r="JC96" s="60"/>
      <c r="JD96" s="59"/>
      <c r="JE96" s="60"/>
      <c r="JF96" s="59"/>
      <c r="JG96" s="60"/>
      <c r="JH96" s="59"/>
      <c r="JI96" s="60"/>
      <c r="JJ96" s="59"/>
      <c r="JK96" s="60"/>
      <c r="JL96" s="59"/>
      <c r="JM96" s="60"/>
      <c r="JN96" s="59"/>
      <c r="JO96" s="60"/>
      <c r="JP96" s="59"/>
      <c r="JQ96" s="60"/>
      <c r="JR96" s="59"/>
      <c r="JS96" s="60"/>
      <c r="JT96" s="59"/>
      <c r="JU96" s="60"/>
      <c r="JV96" s="59"/>
      <c r="JW96" s="60"/>
      <c r="JX96" s="59"/>
      <c r="JY96" s="60"/>
      <c r="JZ96" s="59"/>
      <c r="KA96" s="60"/>
      <c r="KB96" s="59"/>
      <c r="KC96" s="60"/>
      <c r="KD96" s="59"/>
      <c r="KE96" s="60"/>
      <c r="KF96" s="59"/>
      <c r="KG96" s="60"/>
      <c r="KH96" s="59"/>
      <c r="KI96" s="60"/>
      <c r="KJ96" s="59"/>
      <c r="KK96" s="60"/>
      <c r="KL96" s="59"/>
      <c r="KM96" s="60"/>
      <c r="KN96" s="59"/>
      <c r="KO96" s="60"/>
      <c r="KP96" s="59"/>
      <c r="KQ96" s="60"/>
      <c r="KR96" s="59"/>
      <c r="KS96" s="60"/>
      <c r="KT96" s="59"/>
      <c r="KU96" s="60"/>
      <c r="KV96" s="59"/>
      <c r="KW96" s="60"/>
      <c r="KX96" s="59"/>
      <c r="KY96" s="60"/>
      <c r="KZ96" s="59"/>
      <c r="LA96" s="60"/>
      <c r="LB96" s="59"/>
      <c r="LC96" s="60"/>
      <c r="LD96" s="59"/>
      <c r="LE96" s="60"/>
      <c r="LF96" s="59"/>
      <c r="LG96" s="60"/>
      <c r="LH96" s="59"/>
      <c r="LI96" s="60"/>
      <c r="LJ96" s="59"/>
      <c r="LK96" s="60"/>
      <c r="LL96" s="59"/>
      <c r="LM96" s="60"/>
      <c r="LN96" s="59"/>
      <c r="LO96" s="60"/>
      <c r="LP96" s="59"/>
      <c r="LQ96" s="60"/>
      <c r="LR96" s="59">
        <v>8.0571428571428569</v>
      </c>
      <c r="LS96" s="60">
        <v>1</v>
      </c>
      <c r="LT96" s="59">
        <v>-16.057142857142857</v>
      </c>
      <c r="LU96" s="60">
        <v>0</v>
      </c>
      <c r="LV96" s="59">
        <v>-16.457142857142859</v>
      </c>
      <c r="LW96" s="60">
        <v>0</v>
      </c>
      <c r="LX96" s="59"/>
      <c r="LY96" s="60"/>
      <c r="LZ96" s="59"/>
      <c r="MA96" s="60"/>
      <c r="MB96" s="59">
        <v>-7.4</v>
      </c>
      <c r="MC96" s="60">
        <v>0</v>
      </c>
      <c r="MD96" s="59">
        <v>7.6571428571428584</v>
      </c>
      <c r="ME96" s="60">
        <v>1</v>
      </c>
      <c r="MF96" s="59">
        <v>-16.057142857142857</v>
      </c>
      <c r="MG96" s="60">
        <v>0</v>
      </c>
      <c r="MH96" s="59">
        <v>8.8000000000000007</v>
      </c>
      <c r="MI96" s="60">
        <v>1</v>
      </c>
      <c r="MJ96" s="59"/>
      <c r="MK96" s="60"/>
      <c r="ML96" s="59">
        <v>8.6285714285714299</v>
      </c>
      <c r="MM96" s="60">
        <v>1</v>
      </c>
      <c r="MN96" s="59">
        <v>8.4857142857142875</v>
      </c>
      <c r="MO96" s="60">
        <v>1</v>
      </c>
      <c r="MP96" s="59">
        <v>8.2142857142857153</v>
      </c>
      <c r="MQ96" s="60">
        <v>1</v>
      </c>
      <c r="MR96" s="59"/>
      <c r="MS96" s="60"/>
      <c r="MT96" s="59"/>
      <c r="MU96" s="60"/>
      <c r="MV96" s="59"/>
      <c r="MW96" s="60"/>
      <c r="MX96" s="59"/>
      <c r="MY96" s="60"/>
      <c r="MZ96" s="59">
        <v>2.2571428571428576</v>
      </c>
      <c r="NA96" s="60">
        <v>1</v>
      </c>
      <c r="NB96" s="59">
        <v>0.34285714285714286</v>
      </c>
      <c r="NC96" s="60">
        <v>1</v>
      </c>
      <c r="ND96" s="59"/>
      <c r="NE96" s="60"/>
      <c r="NF96" s="59"/>
      <c r="NG96" s="60"/>
      <c r="NH96" s="59"/>
      <c r="NI96" s="60"/>
      <c r="NJ96" s="59"/>
      <c r="NK96" s="60"/>
      <c r="NL96" s="59"/>
      <c r="NM96" s="60"/>
      <c r="NN96" s="59">
        <v>4.8142857142857149</v>
      </c>
      <c r="NO96" s="60">
        <v>1</v>
      </c>
      <c r="NP96" s="59">
        <v>3.785714285714286</v>
      </c>
      <c r="NQ96" s="60">
        <v>1</v>
      </c>
      <c r="NR96" s="59">
        <v>-8.5142857142857142</v>
      </c>
      <c r="NS96" s="60">
        <v>0</v>
      </c>
      <c r="NT96" s="59"/>
      <c r="NU96" s="60"/>
      <c r="NV96" s="59"/>
      <c r="NW96" s="60"/>
      <c r="NX96" s="59"/>
      <c r="NY96" s="60"/>
      <c r="NZ96" s="59">
        <v>8.1571428571428584</v>
      </c>
      <c r="OA96" s="60">
        <v>1</v>
      </c>
      <c r="OB96" s="59"/>
      <c r="OC96" s="60"/>
      <c r="OD96" s="59"/>
      <c r="OE96" s="60"/>
      <c r="OF96" s="59"/>
      <c r="OG96" s="60"/>
      <c r="OH96" s="59"/>
      <c r="OI96" s="60"/>
      <c r="OJ96" s="59">
        <v>0.78571428571428581</v>
      </c>
      <c r="OK96" s="60">
        <v>1</v>
      </c>
      <c r="OL96" s="59"/>
      <c r="OM96" s="60"/>
      <c r="ON96" s="59">
        <v>4.8142857142857149</v>
      </c>
      <c r="OO96" s="60">
        <v>1</v>
      </c>
      <c r="OP96" s="59">
        <v>-1.8714285714285717</v>
      </c>
      <c r="OQ96" s="60">
        <v>0</v>
      </c>
      <c r="OR96" s="59">
        <v>-2.2142857142857144</v>
      </c>
      <c r="OS96" s="60">
        <v>0</v>
      </c>
      <c r="OT96" s="59"/>
      <c r="OU96" s="60"/>
      <c r="OV96" s="59">
        <v>1</v>
      </c>
      <c r="OW96" s="60">
        <v>1</v>
      </c>
      <c r="OX96" s="59"/>
      <c r="OY96" s="60"/>
      <c r="OZ96" s="59">
        <v>-28.885714285714286</v>
      </c>
      <c r="PA96" s="60">
        <v>0.375</v>
      </c>
      <c r="PB96" s="59">
        <v>10.657142857142858</v>
      </c>
      <c r="PC96" s="60">
        <v>0.6</v>
      </c>
      <c r="PD96" s="59">
        <v>-26.1</v>
      </c>
      <c r="PE96" s="60">
        <v>0.5714285714285714</v>
      </c>
      <c r="PF96" s="59">
        <v>-4.0714285714285685</v>
      </c>
      <c r="PG96" s="60">
        <v>0.7142857142857143</v>
      </c>
      <c r="PH96" s="59">
        <v>31.657142857142858</v>
      </c>
      <c r="PI96" s="60">
        <v>0.66666666666666663</v>
      </c>
      <c r="PJ96" s="59">
        <v>-13.242857142857147</v>
      </c>
      <c r="PK96" s="60">
        <v>0.45454545454545453</v>
      </c>
      <c r="PL96" s="59"/>
      <c r="PM96" s="60"/>
      <c r="PN96" s="59"/>
      <c r="PO96" s="60"/>
      <c r="PP96" s="59">
        <v>40.9</v>
      </c>
      <c r="PQ96" s="60">
        <v>0.7</v>
      </c>
      <c r="PR96" s="59"/>
      <c r="PS96" s="60"/>
      <c r="PT96" s="59">
        <v>-29.114285714285714</v>
      </c>
      <c r="PU96" s="60">
        <v>0.5</v>
      </c>
      <c r="PV96" s="59">
        <v>-27.928571428571438</v>
      </c>
      <c r="PW96" s="60">
        <v>0.46153846153846156</v>
      </c>
      <c r="PX96" s="59">
        <v>38.114285714285714</v>
      </c>
      <c r="PY96" s="60">
        <v>0.8571428571428571</v>
      </c>
      <c r="PZ96" s="59">
        <v>-33.771428571428572</v>
      </c>
      <c r="QA96" s="60">
        <v>0.44444444444444442</v>
      </c>
      <c r="QB96" s="59">
        <v>3.7857142857142865</v>
      </c>
      <c r="QC96" s="60">
        <v>0.66666666666666663</v>
      </c>
      <c r="QD96" s="59">
        <v>4.8428571428571416</v>
      </c>
      <c r="QE96" s="60">
        <v>0.54545454545454541</v>
      </c>
      <c r="QF96" s="59">
        <v>-14.37142857142857</v>
      </c>
      <c r="QG96" s="60">
        <v>0</v>
      </c>
      <c r="QH96" s="59">
        <v>4.6571428571428584</v>
      </c>
      <c r="QI96" s="60">
        <v>0.66666666666666663</v>
      </c>
      <c r="QJ96" s="59">
        <v>-8.7285714285714278</v>
      </c>
      <c r="QK96" s="60">
        <v>0.375</v>
      </c>
      <c r="QL96" s="59">
        <v>-34.214285714285715</v>
      </c>
      <c r="QM96" s="60">
        <v>0.44444444444444442</v>
      </c>
      <c r="QN96" s="59">
        <v>-16.328571428571429</v>
      </c>
      <c r="QO96" s="60">
        <v>0</v>
      </c>
      <c r="QP96" s="59">
        <v>-15.085714285714287</v>
      </c>
      <c r="QQ96" s="60">
        <v>0.5</v>
      </c>
      <c r="QR96" s="59">
        <v>-7.9857142857142858</v>
      </c>
      <c r="QS96" s="60">
        <v>0.5</v>
      </c>
      <c r="QT96" s="59"/>
      <c r="QU96" s="60"/>
      <c r="QV96" s="59">
        <v>-21.642857142857149</v>
      </c>
      <c r="QW96" s="60">
        <v>0.5</v>
      </c>
      <c r="QX96" s="59">
        <v>-43.114285714285721</v>
      </c>
      <c r="QY96" s="60">
        <v>0.22222222222222221</v>
      </c>
      <c r="QZ96" s="59">
        <v>5.2285714285714313</v>
      </c>
      <c r="RA96" s="60">
        <v>0.5</v>
      </c>
      <c r="RB96" s="59">
        <v>-7.128571428571429</v>
      </c>
      <c r="RC96" s="60">
        <v>0.42857142857142855</v>
      </c>
      <c r="RD96" s="59">
        <v>-48.25714285714286</v>
      </c>
      <c r="RE96" s="60">
        <v>0.18181818181818182</v>
      </c>
      <c r="RF96" s="59">
        <v>5.6000000000000005</v>
      </c>
      <c r="RG96" s="60">
        <v>0.66666666666666663</v>
      </c>
      <c r="RH96" s="59">
        <v>-32.957142857142863</v>
      </c>
      <c r="RI96" s="60">
        <v>0.14285714285714285</v>
      </c>
      <c r="RJ96" s="59">
        <v>-15.700000000000005</v>
      </c>
      <c r="RK96" s="60">
        <v>0.2</v>
      </c>
      <c r="RL96" s="59"/>
      <c r="RM96" s="60"/>
      <c r="RN96" s="59">
        <v>-21.671428571428574</v>
      </c>
      <c r="RO96" s="60">
        <v>0.2857142857142857</v>
      </c>
      <c r="RP96" s="59">
        <v>0.22857142857143006</v>
      </c>
      <c r="RQ96" s="60">
        <v>0.5</v>
      </c>
      <c r="RR96" s="59">
        <v>8.0857142857142854</v>
      </c>
      <c r="RS96" s="60">
        <v>0.5714285714285714</v>
      </c>
      <c r="RT96" s="59">
        <v>19.242857142857144</v>
      </c>
      <c r="RU96" s="60">
        <v>0.83333333333333337</v>
      </c>
      <c r="RV96" s="59">
        <v>1.8285714285714296</v>
      </c>
      <c r="RW96" s="60">
        <v>0.5</v>
      </c>
      <c r="RX96" s="59">
        <v>-28.328571428571429</v>
      </c>
      <c r="RY96" s="60">
        <v>0.33333333333333331</v>
      </c>
      <c r="RZ96" s="59">
        <v>-11.157142857142855</v>
      </c>
      <c r="SA96" s="60">
        <v>0.375</v>
      </c>
      <c r="SB96" s="59">
        <v>-76.171428571428578</v>
      </c>
      <c r="SC96" s="60">
        <v>0.14285714285714285</v>
      </c>
      <c r="SD96" s="59"/>
      <c r="SE96" s="60"/>
      <c r="SF96" s="59">
        <v>-29.05714285714286</v>
      </c>
      <c r="SG96" s="60">
        <v>0.2</v>
      </c>
      <c r="SH96" s="59">
        <v>-3.7571428571428584</v>
      </c>
      <c r="SI96" s="60">
        <v>0.33333333333333331</v>
      </c>
      <c r="SJ96" s="59">
        <v>-5.1000000000000005</v>
      </c>
      <c r="SK96" s="60">
        <v>0.625</v>
      </c>
      <c r="SL96" s="59">
        <v>3.1142857142857148</v>
      </c>
      <c r="SM96" s="60">
        <v>0.5</v>
      </c>
      <c r="SN96" s="59">
        <v>8.0857142857142836</v>
      </c>
      <c r="SO96" s="60">
        <v>0.66666666666666663</v>
      </c>
      <c r="SP96" s="59">
        <v>3.9857142857142862</v>
      </c>
      <c r="SQ96" s="60">
        <v>0.5</v>
      </c>
      <c r="SR96" s="59">
        <v>20.571428571428573</v>
      </c>
      <c r="SS96" s="60">
        <v>0.6</v>
      </c>
      <c r="ST96" s="59"/>
      <c r="SU96" s="60"/>
      <c r="SV96" s="59"/>
      <c r="SW96" s="60"/>
      <c r="SX96" s="59">
        <v>-4.771428571428574</v>
      </c>
      <c r="SY96" s="60">
        <v>0.55555555555555558</v>
      </c>
      <c r="SZ96" s="59">
        <v>16.371428571428574</v>
      </c>
      <c r="TA96" s="60">
        <v>0.6</v>
      </c>
      <c r="TB96" s="59">
        <v>0.58571428571428463</v>
      </c>
      <c r="TC96" s="60">
        <v>0.5714285714285714</v>
      </c>
      <c r="TD96" s="59">
        <v>-38.314285714285724</v>
      </c>
      <c r="TE96" s="60">
        <v>0.14285714285714285</v>
      </c>
      <c r="TF96" s="59">
        <v>-10.871428571428572</v>
      </c>
      <c r="TG96" s="60">
        <v>0.42857142857142855</v>
      </c>
      <c r="TH96" s="59"/>
      <c r="TI96" s="60"/>
      <c r="TJ96" s="59">
        <v>-36.38333333333334</v>
      </c>
      <c r="TK96" s="60">
        <v>0.42857142857142855</v>
      </c>
      <c r="TL96" s="59">
        <v>-13.91666666666667</v>
      </c>
      <c r="TM96" s="60">
        <v>0.55555555555555558</v>
      </c>
      <c r="TN96" s="59">
        <v>-62.633333333333333</v>
      </c>
      <c r="TO96" s="60">
        <v>0.44444444444444442</v>
      </c>
      <c r="TP96" s="59">
        <v>10.916666666666666</v>
      </c>
      <c r="TQ96" s="60">
        <v>0.4</v>
      </c>
      <c r="TR96" s="59">
        <v>-24.966666666666669</v>
      </c>
      <c r="TS96" s="60">
        <v>0.375</v>
      </c>
      <c r="TT96" s="59">
        <v>4.383333333333332</v>
      </c>
      <c r="TU96" s="60">
        <v>0.55555555555555558</v>
      </c>
      <c r="TV96" s="59">
        <v>-17.133333333333336</v>
      </c>
      <c r="TW96" s="60">
        <v>0.42857142857142855</v>
      </c>
      <c r="TX96" s="59"/>
      <c r="TY96" s="60"/>
      <c r="TZ96" s="59">
        <v>-9.5999999999999979</v>
      </c>
      <c r="UA96" s="60">
        <v>0.5</v>
      </c>
      <c r="UB96" s="59">
        <v>-9.8833333333333346</v>
      </c>
      <c r="UC96" s="60">
        <v>0.5</v>
      </c>
      <c r="UD96" s="59">
        <v>11.133333333333333</v>
      </c>
      <c r="UE96" s="60">
        <v>0.55555555555555558</v>
      </c>
      <c r="UF96" s="59">
        <v>18.300000000000008</v>
      </c>
      <c r="UG96" s="60">
        <v>0.66666666666666663</v>
      </c>
      <c r="UH96" s="59">
        <v>-26.349999999999998</v>
      </c>
      <c r="UI96" s="60">
        <v>0.42857142857142855</v>
      </c>
      <c r="UJ96" s="59">
        <v>-32.133333333333333</v>
      </c>
      <c r="UK96" s="60">
        <v>0.22222222222222221</v>
      </c>
      <c r="UL96" s="59">
        <v>-38.500000000000007</v>
      </c>
      <c r="UM96" s="60">
        <v>0.33333333333333331</v>
      </c>
      <c r="UN96" s="59">
        <v>-5.700000000000002</v>
      </c>
      <c r="UO96" s="60">
        <v>0.2857142857142857</v>
      </c>
      <c r="UP96" s="59"/>
      <c r="UQ96" s="60"/>
      <c r="UR96" s="59">
        <v>-67.333333333333343</v>
      </c>
      <c r="US96" s="60">
        <v>0.2</v>
      </c>
      <c r="UT96" s="59"/>
      <c r="UU96" s="60"/>
      <c r="UV96" s="59">
        <v>2.1000000000000014</v>
      </c>
      <c r="UW96" s="60">
        <v>0.6</v>
      </c>
      <c r="UX96" s="59">
        <v>-13.283333333333333</v>
      </c>
      <c r="UY96" s="60">
        <v>0.4</v>
      </c>
      <c r="UZ96" s="59">
        <v>-19.083333333333329</v>
      </c>
      <c r="VA96" s="60">
        <v>0.375</v>
      </c>
      <c r="VB96" s="59"/>
      <c r="VC96" s="60"/>
      <c r="VD96" s="59"/>
      <c r="VE96" s="60"/>
      <c r="VF96" s="59">
        <v>-47.516666666666673</v>
      </c>
      <c r="VG96" s="60">
        <v>0.27272727272727271</v>
      </c>
      <c r="VH96" s="59">
        <v>-7.45</v>
      </c>
      <c r="VI96" s="60">
        <v>0.5</v>
      </c>
      <c r="VJ96" s="59">
        <v>22.06666666666667</v>
      </c>
      <c r="VK96" s="60">
        <v>0.66666666666666663</v>
      </c>
      <c r="VL96" s="59"/>
      <c r="VM96" s="60"/>
      <c r="VN96" s="59">
        <v>-28.833333333333336</v>
      </c>
      <c r="VO96" s="60">
        <v>0.5</v>
      </c>
      <c r="VP96" s="59">
        <v>-31.166666666666668</v>
      </c>
      <c r="VQ96" s="60">
        <v>0.4</v>
      </c>
      <c r="VR96" s="59">
        <v>-17.466666666666669</v>
      </c>
      <c r="VS96" s="60">
        <v>0.2857142857142857</v>
      </c>
      <c r="VT96" s="59">
        <v>5.6333333333333337</v>
      </c>
      <c r="VU96" s="60">
        <v>0.66666666666666663</v>
      </c>
      <c r="VV96" s="59"/>
      <c r="VW96" s="60"/>
      <c r="VX96" s="59"/>
      <c r="VY96" s="60"/>
      <c r="VZ96" s="59">
        <v>5.0000000000000009</v>
      </c>
      <c r="WA96" s="60">
        <v>0.5</v>
      </c>
      <c r="WB96" s="59"/>
      <c r="WC96" s="60"/>
      <c r="WD96" s="59">
        <v>-24.183333333333337</v>
      </c>
      <c r="WE96" s="60">
        <v>0.44444444444444442</v>
      </c>
      <c r="WF96" s="59">
        <v>-9.8333333333333321</v>
      </c>
      <c r="WG96" s="60">
        <v>0.375</v>
      </c>
      <c r="WH96" s="59"/>
      <c r="WI96" s="60"/>
      <c r="WJ96" s="59"/>
      <c r="WK96" s="60"/>
      <c r="WL96" s="59"/>
      <c r="WM96" s="60"/>
      <c r="WN96" s="59"/>
      <c r="WO96" s="60"/>
      <c r="WP96" s="59">
        <v>26.166666666666668</v>
      </c>
      <c r="WQ96" s="60">
        <v>0.8</v>
      </c>
      <c r="WR96" s="59">
        <v>-16.666666666666671</v>
      </c>
      <c r="WS96" s="60">
        <v>0.33333333333333331</v>
      </c>
      <c r="WT96" s="59"/>
      <c r="WU96" s="60"/>
      <c r="WV96" s="59"/>
      <c r="WW96" s="60"/>
      <c r="WX96" s="59">
        <v>-70.350000000000009</v>
      </c>
      <c r="WY96" s="60">
        <v>0.18181818181818182</v>
      </c>
      <c r="WZ96" s="59"/>
      <c r="XA96" s="60"/>
      <c r="XB96" s="59">
        <v>-49.133333333333333</v>
      </c>
      <c r="XC96" s="60">
        <v>0.3</v>
      </c>
      <c r="XD96" s="59">
        <v>-16.083333333333336</v>
      </c>
      <c r="XE96" s="60">
        <v>0.5</v>
      </c>
      <c r="XF96" s="59"/>
      <c r="XG96" s="60"/>
      <c r="XH96" s="59"/>
      <c r="XI96" s="60"/>
      <c r="XJ96" s="59">
        <v>-25.700000000000003</v>
      </c>
      <c r="XK96" s="60">
        <v>0.2857142857142857</v>
      </c>
      <c r="XL96" s="59"/>
      <c r="XM96" s="60"/>
      <c r="XN96" s="59">
        <v>-10.1</v>
      </c>
      <c r="XO96" s="60">
        <v>0.47058823529411764</v>
      </c>
      <c r="XP96" s="59">
        <v>-0.79999999999999927</v>
      </c>
      <c r="XQ96" s="60">
        <v>0.6</v>
      </c>
      <c r="XR96" s="59"/>
      <c r="XS96" s="60"/>
      <c r="XT96" s="59"/>
      <c r="XU96" s="60"/>
      <c r="XV96" s="59"/>
      <c r="XW96" s="60"/>
    </row>
    <row r="98" spans="3:646" ht="15" customHeight="1" x14ac:dyDescent="0.25">
      <c r="C98" s="726" t="s">
        <v>18</v>
      </c>
      <c r="D98" s="775" t="s">
        <v>26</v>
      </c>
      <c r="E98" s="775"/>
      <c r="F98" s="776" t="s">
        <v>28</v>
      </c>
      <c r="G98" s="776"/>
      <c r="FD98" s="3">
        <f>+FB59+FD59</f>
        <v>32.1</v>
      </c>
      <c r="FF98" s="79">
        <f>+FD98+FF59</f>
        <v>29.299999999999997</v>
      </c>
      <c r="FH98" s="79">
        <f>+FF98+FH59</f>
        <v>62.1</v>
      </c>
      <c r="FJ98" s="79">
        <f>+FH98+FJ59</f>
        <v>91.366666666666674</v>
      </c>
      <c r="FL98" s="79">
        <f>+FJ98+FL59</f>
        <v>91.366666666666674</v>
      </c>
      <c r="FN98" s="79">
        <f>+FL98+FN59</f>
        <v>73.13333333333334</v>
      </c>
      <c r="FP98" s="79">
        <f>+FN98+FP59</f>
        <v>91.26666666666668</v>
      </c>
      <c r="FR98" s="79">
        <f>+FP98+FR59</f>
        <v>94.100000000000009</v>
      </c>
      <c r="FT98" s="79">
        <f>+FR98+FT59</f>
        <v>100.60000000000001</v>
      </c>
      <c r="FV98" s="79">
        <f>+FT98+FV59</f>
        <v>136.63333333333335</v>
      </c>
      <c r="FX98" s="79">
        <f>+FV98+FX59</f>
        <v>116.56666666666669</v>
      </c>
      <c r="FZ98" s="79">
        <f>+FX98+FZ59</f>
        <v>132.56666666666669</v>
      </c>
      <c r="GB98" s="79">
        <f>+FZ98+GB59</f>
        <v>103.56666666666669</v>
      </c>
      <c r="GD98" s="79">
        <f>+GB98+GD59</f>
        <v>111.26666666666669</v>
      </c>
      <c r="GF98" s="79">
        <f>+GD98+GF59</f>
        <v>95.066666666666691</v>
      </c>
      <c r="GH98" s="79">
        <f>+GF98+GH59</f>
        <v>95.833333333333357</v>
      </c>
      <c r="GJ98" s="3">
        <f>+GH98+GH59</f>
        <v>96.600000000000023</v>
      </c>
      <c r="GL98" s="79">
        <f>+GJ99+GL59</f>
        <v>42.866666666666667</v>
      </c>
      <c r="GN98" s="79">
        <f>+GL98+GN59</f>
        <v>42.866666666666667</v>
      </c>
      <c r="GP98" s="79">
        <f>+GN98+GP59</f>
        <v>67.966666666666669</v>
      </c>
      <c r="GR98" s="79">
        <f>+GP98+GR59</f>
        <v>50.966666666666661</v>
      </c>
      <c r="GT98" s="79">
        <f>+GR98+GT59</f>
        <v>84.199999999999989</v>
      </c>
      <c r="GV98" s="79">
        <f>+GT98+GV59</f>
        <v>97.533333333333317</v>
      </c>
      <c r="GX98" s="79">
        <f>+GV98+GX59</f>
        <v>96.699999999999989</v>
      </c>
      <c r="GZ98" s="79">
        <f>+GX98+GZ59</f>
        <v>96.699999999999989</v>
      </c>
      <c r="HB98" s="79">
        <f>+GZ98+HB59</f>
        <v>71.833333333333314</v>
      </c>
      <c r="HD98" s="79">
        <f>+HB98+HD59</f>
        <v>138.13333333333333</v>
      </c>
      <c r="HF98" s="79">
        <f>+HD98+HF59</f>
        <v>131.26666666666665</v>
      </c>
      <c r="HH98" s="79">
        <f>+HF98+HH59</f>
        <v>149.66666666666666</v>
      </c>
      <c r="HJ98" s="80">
        <f>+HH98+HJ59</f>
        <v>167.26666666666665</v>
      </c>
      <c r="HL98" s="81">
        <f>+HJ98+HL59</f>
        <v>153.76666666666665</v>
      </c>
      <c r="HN98" s="82">
        <f>+HL98+HN59</f>
        <v>182.03333333333333</v>
      </c>
      <c r="HP98" s="83">
        <f>+HN98+HP59</f>
        <v>173.16666666666666</v>
      </c>
      <c r="HR98" s="84">
        <f>+HP98+HR59</f>
        <v>178.33333333333331</v>
      </c>
      <c r="HT98" s="85">
        <f>+HR98+HT59</f>
        <v>122.53333333333333</v>
      </c>
      <c r="HV98" s="88">
        <f>+HT98+HV59</f>
        <v>139.69999999999999</v>
      </c>
      <c r="HX98" s="89">
        <f>+HV98+HX59</f>
        <v>139.69999999999999</v>
      </c>
      <c r="HZ98" s="91">
        <f>+HX98+HZ59</f>
        <v>71.033333333333331</v>
      </c>
      <c r="IB98" s="92">
        <f>+HZ98+IB59</f>
        <v>54.233333333333334</v>
      </c>
      <c r="ID98" s="93">
        <f>+IB98+ID59</f>
        <v>52.466666666666669</v>
      </c>
      <c r="IF98" s="94">
        <f>+ID98+IF59</f>
        <v>52.466666666666669</v>
      </c>
      <c r="IH98" s="97">
        <f>+IF98+IH59</f>
        <v>59.56666666666667</v>
      </c>
      <c r="IJ98" s="98">
        <f>+IH98+IJ59</f>
        <v>59.56666666666667</v>
      </c>
      <c r="IL98" s="99">
        <f>+IJ98+IL59</f>
        <v>81.5</v>
      </c>
      <c r="IN98" s="100">
        <f>+IL98+IN59</f>
        <v>73.533333333333331</v>
      </c>
      <c r="IP98" s="101">
        <f>+IN98+IP59</f>
        <v>73.708333333333329</v>
      </c>
      <c r="IR98" s="102">
        <f>+IP98+IR59</f>
        <v>47.174999999999997</v>
      </c>
      <c r="IT98" s="103">
        <f>+IR98+IT59</f>
        <v>54.30833333333333</v>
      </c>
      <c r="IV98" s="104">
        <f>+IT98+IV59</f>
        <v>30.508333333333329</v>
      </c>
      <c r="IX98" s="104">
        <f>+IV98+IX59</f>
        <v>8.1083333333333307</v>
      </c>
      <c r="IZ98" s="105">
        <f>+IX98+IZ59</f>
        <v>30.675000000000001</v>
      </c>
      <c r="JB98" s="112">
        <f>+IZ98+JB59</f>
        <v>76.308333333333337</v>
      </c>
      <c r="JD98" s="113">
        <f>+JB98+JD59</f>
        <v>90.275000000000006</v>
      </c>
      <c r="JF98" s="114">
        <f>+JD98+JF59</f>
        <v>91.275000000000006</v>
      </c>
      <c r="JH98" s="115">
        <f>+JF98+JH59</f>
        <v>98.341666666666669</v>
      </c>
      <c r="JJ98" s="116">
        <f>+JH98+JJ59</f>
        <v>107.84166666666667</v>
      </c>
      <c r="JL98" s="117">
        <f>+JJ98+JL59</f>
        <v>72.375</v>
      </c>
      <c r="JN98" s="118">
        <f>+JL98+JN59</f>
        <v>72.375</v>
      </c>
      <c r="JP98" s="119">
        <f>+JN98+JP59</f>
        <v>53.674999999999997</v>
      </c>
      <c r="JR98" s="120">
        <f>+JP98+JR59</f>
        <v>53.674999999999997</v>
      </c>
      <c r="JT98" s="122">
        <f>+JR98+JT59</f>
        <v>64.608333333333334</v>
      </c>
      <c r="JV98" s="126">
        <f>+JT98+JV59</f>
        <v>50.308333333333337</v>
      </c>
      <c r="JX98" s="132">
        <f>+JV98+JX59</f>
        <v>64.875</v>
      </c>
      <c r="JZ98" s="133">
        <f>+JX98+JZ59</f>
        <v>61.274999999999999</v>
      </c>
      <c r="KB98" s="138">
        <f>+JZ98+KB59</f>
        <v>76.241666666666674</v>
      </c>
      <c r="KD98" s="140">
        <f>+KB98+KD59</f>
        <v>82.275000000000006</v>
      </c>
      <c r="KF98" s="144">
        <f>+KD98+KF59</f>
        <v>86.375</v>
      </c>
      <c r="KH98" s="148">
        <f>+KF98+KH59</f>
        <v>106.74166666666667</v>
      </c>
      <c r="KJ98" s="152">
        <f>+KH98+KJ59</f>
        <v>105.77500000000001</v>
      </c>
      <c r="KL98" s="156">
        <f>+KJ98+KL59</f>
        <v>114.67500000000001</v>
      </c>
      <c r="KN98" s="160">
        <f>+KL98+KN59</f>
        <v>149.74166666666667</v>
      </c>
      <c r="KP98" s="163">
        <f>+KN98+KP59</f>
        <v>149.74166666666667</v>
      </c>
      <c r="KR98" s="165">
        <f>+KP98+KR59</f>
        <v>129.54166666666669</v>
      </c>
      <c r="KT98" s="168">
        <f>+KR98+KT59</f>
        <v>129.54166666666669</v>
      </c>
      <c r="KV98" s="171">
        <f>+KT98+KV59</f>
        <v>99.075000000000017</v>
      </c>
      <c r="KX98" s="174">
        <f>+KV98+KX59</f>
        <v>120.37500000000001</v>
      </c>
      <c r="KZ98" s="179">
        <f>+KX98+KZ59</f>
        <v>134.54166666666669</v>
      </c>
      <c r="LB98" s="183">
        <f>+KZ98+LB59</f>
        <v>132.57500000000002</v>
      </c>
      <c r="LD98" s="187">
        <f>+LB98+LD59</f>
        <v>161.10833333333335</v>
      </c>
      <c r="LF98" s="189">
        <f>+LD98+LF59</f>
        <v>161.10833333333335</v>
      </c>
      <c r="LH98" s="191">
        <f>+LF98+LH59</f>
        <v>139.57500000000002</v>
      </c>
      <c r="LJ98" s="194">
        <f>+LH98+LJ59</f>
        <v>139.57500000000002</v>
      </c>
      <c r="LL98" s="196">
        <f>+LJ98+LL59</f>
        <v>110.77500000000001</v>
      </c>
      <c r="LN98" s="198">
        <f>+LL98+LN59</f>
        <v>91.575000000000003</v>
      </c>
      <c r="LP98" s="200">
        <f>+LN98+LP59</f>
        <v>98.50833333333334</v>
      </c>
      <c r="LR98" s="202">
        <f>+LP98+LR59</f>
        <v>105.74166666666667</v>
      </c>
      <c r="LT98" s="204">
        <f>+LR98+LT59</f>
        <v>95.308333333333337</v>
      </c>
      <c r="LV98" s="206">
        <f>+LT98+LV59</f>
        <v>87.741666666666674</v>
      </c>
      <c r="LX98" s="208">
        <f>+LV98+LX59</f>
        <v>43.641666666666673</v>
      </c>
      <c r="LZ98" s="210">
        <f>+LX98+LZ59</f>
        <v>34.475000000000009</v>
      </c>
      <c r="MB98" s="212">
        <f>+LZ98+MB59</f>
        <v>31.675000000000008</v>
      </c>
      <c r="MD98" s="214">
        <f>+MB98+MD59</f>
        <v>31.675000000000008</v>
      </c>
      <c r="MF98" s="216">
        <f>+MD98+MF59</f>
        <v>46.141666666666673</v>
      </c>
      <c r="MH98" s="218">
        <f>+MF98+MH59</f>
        <v>83.675000000000011</v>
      </c>
      <c r="MJ98" s="220">
        <f>+MH98+MJ59</f>
        <v>51.041666666666671</v>
      </c>
      <c r="ML98" s="222">
        <f>+MJ98+ML59</f>
        <v>72.241666666666674</v>
      </c>
      <c r="MN98" s="224">
        <f>+ML98+MN59</f>
        <v>69.975000000000009</v>
      </c>
      <c r="MP98" s="226">
        <f>+MN98+MP59</f>
        <v>84.075000000000017</v>
      </c>
      <c r="MR98" s="228">
        <f>+MP98+MR59</f>
        <v>95.375000000000014</v>
      </c>
      <c r="MT98" s="230">
        <f>+MR98+MT59</f>
        <v>77.041666666666686</v>
      </c>
      <c r="MV98" s="232">
        <f>+MT98+MV59</f>
        <v>91.975000000000023</v>
      </c>
      <c r="MX98" s="234">
        <f>+MV98+MX59</f>
        <v>92.608333333333348</v>
      </c>
      <c r="MZ98" s="236">
        <f>+MX98+MZ59</f>
        <v>38.541666666666686</v>
      </c>
      <c r="NB98" s="238">
        <f>+MZ98+NB59</f>
        <v>-13.924999999999976</v>
      </c>
      <c r="ND98" s="240">
        <f>+NB98+ND59</f>
        <v>-13.924999999999976</v>
      </c>
      <c r="NF98" s="242">
        <f>+ND98+NF59</f>
        <v>-52.624999999999979</v>
      </c>
      <c r="NH98" s="244">
        <f>+NF98+NH59</f>
        <v>-91.324999999999989</v>
      </c>
      <c r="NJ98" s="244">
        <f>+NH98+NJ59</f>
        <v>-103.39166666666667</v>
      </c>
      <c r="NL98" s="246">
        <f>+NJ98+NL59</f>
        <v>-147.49166666666667</v>
      </c>
      <c r="NN98" s="248">
        <f>+NL98+NN59</f>
        <v>-147.49166666666667</v>
      </c>
      <c r="NP98" s="250">
        <f>+NN98+NP59</f>
        <v>-140.59166666666667</v>
      </c>
      <c r="NR98" s="252">
        <f>+NP98+NR59</f>
        <v>-149.45833333333334</v>
      </c>
      <c r="NT98" s="254">
        <f>+NR98+NT59</f>
        <v>-179.52500000000001</v>
      </c>
      <c r="NV98" s="256">
        <f>+NT98+NV59</f>
        <v>-189.35833333333335</v>
      </c>
      <c r="NX98" s="258">
        <f>+NV98+NX59</f>
        <v>-192.12500000000003</v>
      </c>
      <c r="NZ98" s="260">
        <f>+NX98+NZ59</f>
        <v>-168.19166666666669</v>
      </c>
      <c r="OB98" s="262">
        <f>+NZ98+OB59</f>
        <v>-161.39166666666668</v>
      </c>
      <c r="OD98" s="264">
        <f>+OB98+OD59</f>
        <v>-164.39166666666668</v>
      </c>
      <c r="OF98" s="266">
        <f>+OD98+OF59</f>
        <v>-178.75833333333335</v>
      </c>
      <c r="OH98" s="268">
        <f>+OF98+OH59</f>
        <v>-175.15833333333336</v>
      </c>
      <c r="OJ98" s="270">
        <f>+OH98+OJ59</f>
        <v>-175.15833333333336</v>
      </c>
      <c r="OL98" s="272">
        <f>+OJ98+OL59</f>
        <v>-185.02500000000003</v>
      </c>
      <c r="ON98" s="274">
        <f>+OL98+ON59</f>
        <v>-185.02500000000003</v>
      </c>
      <c r="OP98" s="276">
        <f>+ON98+OP59</f>
        <v>-195.75833333333338</v>
      </c>
      <c r="OR98" s="278">
        <f>+OP98+OR59</f>
        <v>-195.75833333333338</v>
      </c>
      <c r="OT98" s="280">
        <f>+OR98+OT59</f>
        <v>-220.55833333333339</v>
      </c>
      <c r="OV98" s="282">
        <f>+OT98+OV59</f>
        <v>-220.55833333333339</v>
      </c>
      <c r="OX98" s="285">
        <f>+OV98+OX59</f>
        <v>-187.69166666666672</v>
      </c>
      <c r="OZ98" s="288">
        <f>+OX98+OZ59</f>
        <v>-166.22500000000005</v>
      </c>
      <c r="PB98" s="292">
        <f>+OZ98+PB59</f>
        <v>-178.52500000000006</v>
      </c>
      <c r="PD98" s="297">
        <f>+PB98+PD59</f>
        <v>-219.82500000000007</v>
      </c>
      <c r="PF98" s="298">
        <f>+PD98+PF59</f>
        <v>-221.15833333333342</v>
      </c>
      <c r="PH98" s="301">
        <f>+PF98+PH59</f>
        <v>-214.09166666666675</v>
      </c>
      <c r="PJ98" s="302">
        <f>+PH98+PJ59</f>
        <v>-214.09166666666675</v>
      </c>
      <c r="PL98" s="309">
        <f>+PJ98+PL59</f>
        <v>-217.89166666666677</v>
      </c>
      <c r="PN98" s="313">
        <f>+PL98+PN59</f>
        <v>-212.35833333333343</v>
      </c>
      <c r="PP98" s="313">
        <f>+PN98+PP59</f>
        <v>-235.22500000000011</v>
      </c>
      <c r="PR98" s="315">
        <f>+PP98+PR59</f>
        <v>-305.55833333333345</v>
      </c>
      <c r="PT98" s="318">
        <f>+PR98+PT59</f>
        <v>-290.95833333333343</v>
      </c>
      <c r="PV98" s="321">
        <f>+PT98+PV59</f>
        <v>-283.15833333333342</v>
      </c>
      <c r="PX98" s="323">
        <f>+PV98+PX59</f>
        <v>-254.42500000000007</v>
      </c>
      <c r="PZ98" s="325">
        <f>+PX98+PZ59</f>
        <v>-254.42500000000007</v>
      </c>
      <c r="QB98" s="327">
        <f>+PZ98+QB59</f>
        <v>-276.69166666666672</v>
      </c>
      <c r="QD98" s="334">
        <f>+QB98+QD59</f>
        <v>-327.79166666666674</v>
      </c>
      <c r="QF98" s="339">
        <f>+QD98+QF59</f>
        <v>-428.19166666666672</v>
      </c>
      <c r="QH98" s="345">
        <f>+QF98+QH59</f>
        <v>-409.39166666666671</v>
      </c>
      <c r="QJ98" s="352">
        <f>+QH98+QJ59</f>
        <v>-370.5916666666667</v>
      </c>
      <c r="QL98" s="356">
        <f>+QJ98+QL59</f>
        <v>-354.12500000000006</v>
      </c>
      <c r="QN98" s="360">
        <f>+QL98+QN59</f>
        <v>-351.39166666666671</v>
      </c>
      <c r="QP98" s="363">
        <f>+QN98+QP59</f>
        <v>-316.5916666666667</v>
      </c>
      <c r="QR98" s="366">
        <f>+QP98+QR59</f>
        <v>-361.25833333333338</v>
      </c>
      <c r="QT98" s="371">
        <f>+QR98+QT59</f>
        <v>-383.05833333333339</v>
      </c>
      <c r="QV98" s="374">
        <f>+QT98+QV59</f>
        <v>-352.39166666666671</v>
      </c>
      <c r="QX98" s="378">
        <f>+QV98+QX59</f>
        <v>-364.65833333333336</v>
      </c>
      <c r="QZ98" s="386">
        <f>+QX98+QZ59</f>
        <v>-364.65833333333336</v>
      </c>
      <c r="RB98" s="395">
        <f>+QZ98+RB59</f>
        <v>-343.65833333333336</v>
      </c>
      <c r="RD98" s="399">
        <f>+RB98+RD59</f>
        <v>-338.72500000000002</v>
      </c>
      <c r="RF98" s="399">
        <f>+RD98+RF59</f>
        <v>-333.45833333333337</v>
      </c>
      <c r="RH98" s="403">
        <f>+RF98+RH59</f>
        <v>-375.12500000000006</v>
      </c>
      <c r="RJ98" s="405">
        <f>+RH98+RJ59</f>
        <v>-339.62500000000006</v>
      </c>
      <c r="RL98" s="407">
        <f>+RJ98+RL59</f>
        <v>-339.62500000000006</v>
      </c>
      <c r="RN98" s="410">
        <f>+RL98+RN59</f>
        <v>-325.89166666666671</v>
      </c>
      <c r="RP98" s="412">
        <f>+RN98+RP59</f>
        <v>-300.72500000000002</v>
      </c>
      <c r="RR98" s="415">
        <f>+RP98+RR59</f>
        <v>-300.72500000000002</v>
      </c>
      <c r="RT98" s="417">
        <f>+RR98+RT59</f>
        <v>-289.79166666666669</v>
      </c>
      <c r="RV98" s="422">
        <f>+RT98+RV59</f>
        <v>-350.92500000000001</v>
      </c>
      <c r="RX98" s="427">
        <f>+RV98+RX59</f>
        <v>-411.75833333333338</v>
      </c>
      <c r="RZ98" s="433">
        <f>+RX98+RZ59</f>
        <v>-493.39166666666671</v>
      </c>
      <c r="SB98" s="436">
        <f>+RZ98+SB59</f>
        <v>-457.69166666666672</v>
      </c>
      <c r="SD98" s="443">
        <f>+SB98+SD59</f>
        <v>-457.69166666666672</v>
      </c>
      <c r="SF98" s="445">
        <f>+SD98+SF59</f>
        <v>-457.69166666666672</v>
      </c>
      <c r="SH98" s="450">
        <f>+SF98+SH59</f>
        <v>-520.39166666666677</v>
      </c>
      <c r="SJ98" s="452">
        <f>+SH98+SJ59</f>
        <v>-527.35833333333346</v>
      </c>
      <c r="SL98" s="457">
        <f>+SJ98+SL59</f>
        <v>-519.52500000000009</v>
      </c>
      <c r="SN98" s="459">
        <f>+SL98+SN59</f>
        <v>-522.29166666666674</v>
      </c>
      <c r="SP98" s="461">
        <f>+SN98+SP59</f>
        <v>-538.52500000000009</v>
      </c>
      <c r="SR98" s="463">
        <f>+SP98+SR59</f>
        <v>-553.05833333333339</v>
      </c>
      <c r="ST98" s="464">
        <f>+SR98+ST59</f>
        <v>-521.62500000000011</v>
      </c>
      <c r="SV98" s="466">
        <f>+ST98+SV59</f>
        <v>-542.72500000000014</v>
      </c>
      <c r="SX98" s="467">
        <f>+SV98+SX59</f>
        <v>-542.72500000000014</v>
      </c>
      <c r="SZ98" s="469">
        <f>+SX98+SZ59</f>
        <v>-611.55833333333351</v>
      </c>
      <c r="TB98" s="471">
        <f>+SZ98+TB59</f>
        <v>-654.09166666666681</v>
      </c>
      <c r="TD98" s="472">
        <f>+TB98+TD59</f>
        <v>-642.35833333333346</v>
      </c>
      <c r="TF98" s="474">
        <f>+TD98+TF59</f>
        <v>-646.79166666666674</v>
      </c>
      <c r="TH98" s="488">
        <f>+TF98+TH59</f>
        <v>-635.35833333333346</v>
      </c>
      <c r="TJ98" s="489">
        <f>+TH98+TJ59</f>
        <v>-670.39166666666677</v>
      </c>
      <c r="TL98" s="490">
        <f>+TJ98+TL59</f>
        <v>-700.35833333333346</v>
      </c>
      <c r="TN98" s="495">
        <f>+TL98+TN59</f>
        <v>-700.35833333333346</v>
      </c>
      <c r="TP98" s="500">
        <f>+TN98+TP59</f>
        <v>-729.89166666666677</v>
      </c>
      <c r="TR98" s="511">
        <f>+TP98+TR59</f>
        <v>-746.49166666666679</v>
      </c>
      <c r="TT98" s="515">
        <f>+TR98+TT59</f>
        <v>-771.89166666666677</v>
      </c>
      <c r="TV98" s="518">
        <f>+TT98+TV59</f>
        <v>-818.35833333333346</v>
      </c>
      <c r="TX98" s="521">
        <f>+TV98+TX59</f>
        <v>-875.82500000000016</v>
      </c>
      <c r="TZ98" s="524">
        <f>+TX98+TZ59</f>
        <v>-895.49166666666679</v>
      </c>
      <c r="UB98" s="527">
        <f>+TZ98+UB59</f>
        <v>-896.25833333333344</v>
      </c>
      <c r="UD98" s="530">
        <f>+UB98+UD59</f>
        <v>-899.75833333333344</v>
      </c>
      <c r="UF98" s="533">
        <f>+UD98+UF59</f>
        <v>-885.25833333333344</v>
      </c>
      <c r="UH98" s="536">
        <f>+UF98+UH59</f>
        <v>-871.35833333333346</v>
      </c>
      <c r="UJ98" s="539">
        <f>+UH98+UJ59</f>
        <v>-871.35833333333346</v>
      </c>
      <c r="UL98" s="540">
        <f>+UJ98+UL59</f>
        <v>-910.19166666666683</v>
      </c>
      <c r="UN98" s="543">
        <f>+UL98+UN59</f>
        <v>-881.19166666666683</v>
      </c>
      <c r="UP98" s="544">
        <f>+UN98+UP59</f>
        <v>-859.75833333333355</v>
      </c>
      <c r="UR98" s="551">
        <f>+UP98+UR59</f>
        <v>-870.32500000000027</v>
      </c>
      <c r="UT98" s="551">
        <f>+UR98+UT59</f>
        <v>-853.29166666666697</v>
      </c>
      <c r="UV98" s="562">
        <f>+UT98+UV59</f>
        <v>-878.32500000000027</v>
      </c>
      <c r="UX98" s="566">
        <f>+UV98+UX59</f>
        <v>-843.09166666666692</v>
      </c>
      <c r="UZ98" s="568">
        <f>+UX98+UZ59</f>
        <v>-843.09166666666692</v>
      </c>
      <c r="VB98" s="572">
        <f>+UZ98+VB59</f>
        <v>-856.4916666666669</v>
      </c>
      <c r="VD98" s="576">
        <f>+VB98+VD59</f>
        <v>-905.9250000000003</v>
      </c>
      <c r="VF98" s="580">
        <f>+VD98+VF59</f>
        <v>-883.12500000000034</v>
      </c>
      <c r="VH98" s="584">
        <f>+VF98+VH59</f>
        <v>-865.19166666666706</v>
      </c>
      <c r="VJ98" s="589">
        <f>+VH98+VJ59</f>
        <v>-897.29166666666708</v>
      </c>
      <c r="VL98" s="593">
        <f>+VJ98+VL59</f>
        <v>-925.29166666666708</v>
      </c>
      <c r="VN98" s="597">
        <f>+VL98+VN59</f>
        <v>-918.15833333333376</v>
      </c>
      <c r="VP98" s="601">
        <f>+VN98+VP59</f>
        <v>-979.02500000000043</v>
      </c>
      <c r="VR98" s="603">
        <f>+VP98+VR59</f>
        <v>-979.02500000000043</v>
      </c>
      <c r="VT98" s="607">
        <f>+VR98+VT59</f>
        <v>-1009.7583333333338</v>
      </c>
      <c r="VV98" s="609">
        <f>+VT98+VV59</f>
        <v>-1011.4250000000004</v>
      </c>
      <c r="VX98" s="613">
        <f>+VV98+VX59</f>
        <v>-1041.4583333333337</v>
      </c>
      <c r="VZ98" s="617">
        <f>+VX98+VZ59</f>
        <v>-1048.0583333333336</v>
      </c>
      <c r="WB98" s="619">
        <f>+VZ98+WB59</f>
        <v>-1026.491666666667</v>
      </c>
      <c r="WD98" s="624">
        <f>+WB98+WD59</f>
        <v>-1035.7583333333337</v>
      </c>
      <c r="WF98" s="626">
        <f>+WD98+WF59</f>
        <v>-1047.991666666667</v>
      </c>
      <c r="WH98" s="630">
        <f>+WF98+WH59</f>
        <v>-1096.0916666666669</v>
      </c>
      <c r="WJ98" s="636">
        <f>+WH98+WJ59</f>
        <v>-1079.1583333333335</v>
      </c>
      <c r="WL98" s="638">
        <f>+WJ98+WL59</f>
        <v>-1075.3916666666669</v>
      </c>
      <c r="WN98" s="642">
        <f>+WL98+WN59</f>
        <v>-1054.2250000000001</v>
      </c>
      <c r="WP98" s="646">
        <f>+WN98+WP59</f>
        <v>-1032.8583333333336</v>
      </c>
      <c r="WR98" s="652">
        <f>+WP98+WR59</f>
        <v>-1062.291666666667</v>
      </c>
      <c r="WT98" s="659">
        <f>+WR98+WT59</f>
        <v>-1056.491666666667</v>
      </c>
      <c r="WV98" s="659">
        <f>+WT98+WV59</f>
        <v>-1059.8250000000003</v>
      </c>
      <c r="WX98" s="672">
        <f>+WV98+WX59</f>
        <v>-1035.6916666666668</v>
      </c>
      <c r="WZ98" s="677">
        <f>+WX98+WZ59</f>
        <v>-1135.2250000000001</v>
      </c>
      <c r="XB98" s="681">
        <f>+WZ98+XB59</f>
        <v>-1114.4583333333335</v>
      </c>
      <c r="XD98" s="683">
        <f>+XB98+XD59</f>
        <v>-1114.4583333333335</v>
      </c>
      <c r="XF98" s="687">
        <f>+XD98+XF59</f>
        <v>-1140.5250000000001</v>
      </c>
      <c r="XH98" s="689">
        <f>+XF98+XH59</f>
        <v>-1150.7916666666667</v>
      </c>
      <c r="XJ98" s="696">
        <f>+XH98+XJ59</f>
        <v>-1143.7916666666667</v>
      </c>
      <c r="XL98" s="696">
        <f>+XJ98+XL59</f>
        <v>-1183.1583333333333</v>
      </c>
      <c r="XN98" s="696">
        <f>+XL98+XN59</f>
        <v>-1218.9916666666666</v>
      </c>
      <c r="XP98" s="700">
        <f>+XN98+XP59</f>
        <v>-1215.6583333333333</v>
      </c>
      <c r="XR98" s="705">
        <f>+XP98+XR59</f>
        <v>-1267.425</v>
      </c>
      <c r="XT98" s="709">
        <f>+XR98+XT59</f>
        <v>-1228.8916666666667</v>
      </c>
      <c r="XV98" s="715">
        <f>+XT98+XV59</f>
        <v>-1229.6916666666666</v>
      </c>
    </row>
    <row r="99" spans="3:646" x14ac:dyDescent="0.25">
      <c r="C99" s="728"/>
      <c r="D99" s="750"/>
      <c r="E99" s="750"/>
      <c r="F99" s="777"/>
      <c r="G99" s="777"/>
      <c r="GJ99" s="3">
        <f>+GJ59</f>
        <v>41.800000000000004</v>
      </c>
    </row>
    <row r="100" spans="3:646" x14ac:dyDescent="0.25">
      <c r="GD100" s="67"/>
    </row>
    <row r="101" spans="3:646" x14ac:dyDescent="0.25">
      <c r="C101" s="761" t="s">
        <v>8</v>
      </c>
      <c r="D101" s="775" t="s">
        <v>26</v>
      </c>
      <c r="E101" s="775"/>
      <c r="F101" s="776" t="s">
        <v>28</v>
      </c>
      <c r="G101" s="776"/>
      <c r="FD101" s="3">
        <f>+FB81+FD81</f>
        <v>8.7666666666666657</v>
      </c>
      <c r="FF101" s="79">
        <f>+FD101+FD81</f>
        <v>3.5333333333333341</v>
      </c>
      <c r="FH101" s="79">
        <f>+FF101+FF81</f>
        <v>30.500000000000004</v>
      </c>
      <c r="FJ101" s="79">
        <f>+FH101+FH81</f>
        <v>-16.000000000000004</v>
      </c>
      <c r="FL101" s="79">
        <f>+FJ101+FJ81</f>
        <v>-27.600000000000005</v>
      </c>
      <c r="FN101" s="79">
        <f>+FL101+FL81</f>
        <v>-38.833333333333336</v>
      </c>
      <c r="FP101" s="79">
        <f>+FN101+FN81</f>
        <v>-103.86666666666665</v>
      </c>
      <c r="FR101" s="79">
        <f>+FP101+FP81</f>
        <v>-56.733333333333306</v>
      </c>
      <c r="FT101" s="79">
        <f>+FR101+FR81</f>
        <v>-53.666666666666636</v>
      </c>
      <c r="FV101" s="79">
        <f>+FT101+FT81</f>
        <v>-66.066666666666634</v>
      </c>
      <c r="FX101" s="79">
        <f>+FV101+FV81</f>
        <v>-41.299999999999969</v>
      </c>
      <c r="FZ101" s="79">
        <f>+FX101+FX81</f>
        <v>-26.933333333333302</v>
      </c>
      <c r="GB101" s="79">
        <f>+FZ101+FZ81</f>
        <v>-25.199999999999967</v>
      </c>
      <c r="GD101" s="79">
        <f>+GB101+GB81</f>
        <v>6.7666666666667012</v>
      </c>
      <c r="GF101" s="79">
        <f>+GD101+GD81</f>
        <v>-24.566666666666627</v>
      </c>
      <c r="GH101" s="3">
        <f>+GF101+GF81</f>
        <v>-22.966666666666629</v>
      </c>
      <c r="GJ101" s="3">
        <f>+GH101+GH81</f>
        <v>5.3666666666667062</v>
      </c>
      <c r="GL101" s="3">
        <f>+GJ102+GL81</f>
        <v>14.2</v>
      </c>
      <c r="GN101" s="79">
        <f>+GL101+GN81</f>
        <v>14.2</v>
      </c>
      <c r="GP101" s="79">
        <f>+GN101+GP81</f>
        <v>31.466666666666665</v>
      </c>
      <c r="GR101" s="79">
        <f>+GP101+GR81</f>
        <v>-11.500000000000004</v>
      </c>
      <c r="GT101" s="79">
        <f>+GR101+GT81</f>
        <v>4.2999999999999954</v>
      </c>
      <c r="GV101" s="79">
        <f>+GT101+GV81</f>
        <v>4.9333333333333282</v>
      </c>
      <c r="GX101" s="79">
        <f>+GV101+GX81</f>
        <v>24.966666666666654</v>
      </c>
      <c r="GZ101" s="79">
        <f>+GX101+GZ81</f>
        <v>24.966666666666654</v>
      </c>
      <c r="HB101" s="79">
        <f>+GZ101+HB81</f>
        <v>43.23333333333332</v>
      </c>
      <c r="HD101" s="79">
        <f>+HB101+HD81</f>
        <v>65.133333333333326</v>
      </c>
      <c r="HF101" s="79">
        <f>+HD101+HF81</f>
        <v>-45.466666666666683</v>
      </c>
      <c r="HH101" s="79">
        <f>+HF101+HH81</f>
        <v>-47.733333333333356</v>
      </c>
      <c r="HJ101" s="80">
        <f>+HH101+HJ81</f>
        <v>-53.166666666666686</v>
      </c>
      <c r="HL101" s="81">
        <f>+HJ101+HL81</f>
        <v>-53.166666666666686</v>
      </c>
      <c r="HN101" s="82">
        <f>+HL101+HN81</f>
        <v>-46.733333333333348</v>
      </c>
      <c r="HP101" s="83">
        <f>+HN101+HP81</f>
        <v>-37.533333333333346</v>
      </c>
      <c r="HR101" s="84">
        <f>+HP101+HR81</f>
        <v>-16.133333333333344</v>
      </c>
      <c r="HT101" s="85">
        <f>+HR101+HT81</f>
        <v>-56.366666666666674</v>
      </c>
      <c r="HV101" s="88">
        <f>+HT101+HV81</f>
        <v>-105.93333333333334</v>
      </c>
      <c r="HX101" s="89">
        <f>+HV101+HX81</f>
        <v>-105.93333333333334</v>
      </c>
      <c r="HZ101" s="91">
        <f>+HX101+HZ81</f>
        <v>-108.5</v>
      </c>
      <c r="IB101" s="92">
        <f>+HZ101+IB81</f>
        <v>-119.33333333333333</v>
      </c>
      <c r="ID101" s="93">
        <f>+IB101+ID81</f>
        <v>-122.1</v>
      </c>
      <c r="IF101" s="94">
        <f>+ID101+IF81</f>
        <v>-176</v>
      </c>
      <c r="IH101" s="97">
        <f>+IF101+IH81</f>
        <v>-227.4</v>
      </c>
      <c r="IJ101" s="98">
        <f>+IH101+IJ81</f>
        <v>-239.5</v>
      </c>
      <c r="IL101" s="99">
        <f>+IJ101+IL81</f>
        <v>-239.5</v>
      </c>
      <c r="IN101" s="100">
        <f>+IL101+IN81</f>
        <v>-239.56666666666666</v>
      </c>
      <c r="IP101" s="101">
        <f>+IN101+IP81</f>
        <v>-288.9666666666667</v>
      </c>
      <c r="IR101" s="102">
        <f>+IP101+IR81</f>
        <v>-281.73333333333335</v>
      </c>
      <c r="IT101" s="103">
        <f>+IR101+IT81</f>
        <v>-287.9666666666667</v>
      </c>
      <c r="IV101" s="104">
        <f>+IT101+IV81</f>
        <v>-280.93333333333334</v>
      </c>
      <c r="IX101" s="104">
        <f>+IV101+IX81</f>
        <v>-281.56666666666666</v>
      </c>
      <c r="IZ101" s="105">
        <f>+IX101+IZ81</f>
        <v>-264.10000000000002</v>
      </c>
      <c r="JB101" s="112">
        <f>+IZ101+JB81</f>
        <v>-269.60000000000002</v>
      </c>
      <c r="JD101" s="113">
        <f>+JB101+JD81</f>
        <v>-262.43333333333334</v>
      </c>
      <c r="JF101" s="114">
        <f>+JD101+JF81</f>
        <v>-274.8</v>
      </c>
      <c r="JH101" s="115">
        <f>+JF101+JH81</f>
        <v>-267.13333333333333</v>
      </c>
      <c r="JJ101" s="116">
        <f>+JH101+JJ81</f>
        <v>-287.63333333333333</v>
      </c>
      <c r="JL101" s="117">
        <f>+JJ101+JL81</f>
        <v>-287.63333333333333</v>
      </c>
      <c r="JN101" s="118">
        <f>+JL101+JN81</f>
        <v>-287.63333333333333</v>
      </c>
      <c r="JP101" s="119">
        <f>+JN101+JP81</f>
        <v>-278.56666666666666</v>
      </c>
      <c r="JR101" s="120">
        <f>+JP101+JR81</f>
        <v>-274.0333333333333</v>
      </c>
      <c r="JT101" s="122">
        <f>+JR101+JT81</f>
        <v>-261.06666666666661</v>
      </c>
      <c r="JV101" s="126">
        <f>+JT101+JV81</f>
        <v>-301.93333333333328</v>
      </c>
      <c r="JX101" s="132">
        <f>+JV101+JX81</f>
        <v>-301.93333333333328</v>
      </c>
      <c r="JZ101" s="133">
        <f>+JX101+JZ81</f>
        <v>-273.5333333333333</v>
      </c>
      <c r="KB101" s="138">
        <f>+JZ101+KB81</f>
        <v>-266.5333333333333</v>
      </c>
      <c r="KD101" s="140">
        <f>+KB101+KD81</f>
        <v>-241.79999999999998</v>
      </c>
      <c r="KF101" s="144">
        <f>+KD101+KF81</f>
        <v>-217.36666666666665</v>
      </c>
      <c r="KH101" s="148">
        <f>+KF101+KH81</f>
        <v>-186.13333333333333</v>
      </c>
      <c r="KJ101" s="152">
        <f>+KH101+KJ81</f>
        <v>-164.73333333333332</v>
      </c>
      <c r="KL101" s="156">
        <f>+KJ101+KL81</f>
        <v>-150.73333333333332</v>
      </c>
      <c r="KN101" s="160">
        <f>+KL101+KN81</f>
        <v>-124.89999999999999</v>
      </c>
      <c r="KP101" s="163">
        <f>+KN101+KP81</f>
        <v>-124.89999999999999</v>
      </c>
      <c r="KR101" s="165">
        <f>+KP101+KR81</f>
        <v>-153.56666666666666</v>
      </c>
      <c r="KT101" s="168">
        <f>+KR101+KT81</f>
        <v>-153.56666666666666</v>
      </c>
      <c r="KV101" s="171">
        <f>+KT101+KV81</f>
        <v>-151.5</v>
      </c>
      <c r="KX101" s="174">
        <f>+KV101+KX81</f>
        <v>-130.23333333333335</v>
      </c>
      <c r="KZ101" s="179">
        <f>+KX101+KZ81</f>
        <v>-122.73333333333335</v>
      </c>
      <c r="LB101" s="183">
        <f>+KZ101+LB81</f>
        <v>-122.73333333333335</v>
      </c>
      <c r="LD101" s="187">
        <f>+LB101+LD81</f>
        <v>-92.733333333333348</v>
      </c>
      <c r="LF101" s="189">
        <f>+LD101+LF81</f>
        <v>-110.56666666666668</v>
      </c>
      <c r="LH101" s="191">
        <f>+LF101+LH81</f>
        <v>-89.200000000000017</v>
      </c>
      <c r="LJ101" s="194">
        <f>+LH101+LJ81</f>
        <v>-89.200000000000017</v>
      </c>
      <c r="LL101" s="196">
        <f>+LJ101+LL81</f>
        <v>-57.76666666666668</v>
      </c>
      <c r="LN101" s="198">
        <f>+LL101+LN81</f>
        <v>-155.20000000000002</v>
      </c>
      <c r="LP101" s="200">
        <f>+LN101+LP81</f>
        <v>-206.26666666666668</v>
      </c>
      <c r="LR101" s="202">
        <f>+LP101+LR81</f>
        <v>-204.70000000000002</v>
      </c>
      <c r="LT101" s="204">
        <f>+LR101+LT81</f>
        <v>-162.70000000000002</v>
      </c>
      <c r="LV101" s="206">
        <f>+LT101+LV81</f>
        <v>-162.70000000000002</v>
      </c>
      <c r="LX101" s="208">
        <f>+LV101+LX81</f>
        <v>-162.70000000000002</v>
      </c>
      <c r="LZ101" s="210">
        <f>+LX101+LZ81</f>
        <v>-162.70000000000002</v>
      </c>
      <c r="MB101" s="212">
        <f>+LZ101+MB81</f>
        <v>-154.60000000000002</v>
      </c>
      <c r="MD101" s="214">
        <f>+MB101+MD81</f>
        <v>-154.60000000000002</v>
      </c>
      <c r="MF101" s="216">
        <f>+MD101+MF81</f>
        <v>-168.00000000000003</v>
      </c>
      <c r="MH101" s="218">
        <f>+MF101+MH81</f>
        <v>-160.33333333333337</v>
      </c>
      <c r="MJ101" s="220">
        <f>+MH101+MJ81</f>
        <v>-186.00000000000003</v>
      </c>
      <c r="ML101" s="222">
        <f>+MJ101+ML81</f>
        <v>-165.50000000000003</v>
      </c>
      <c r="MN101" s="224">
        <f>+ML101+MN81</f>
        <v>-183.90000000000003</v>
      </c>
      <c r="MP101" s="226">
        <f>+MN101+MP81</f>
        <v>-225.66666666666671</v>
      </c>
      <c r="MR101" s="228">
        <f>+MP101+MR81</f>
        <v>-235.66666666666671</v>
      </c>
      <c r="MT101" s="230">
        <f>+MR101+MT81</f>
        <v>-256.10000000000002</v>
      </c>
      <c r="MV101" s="232">
        <f>+MT101+MV81</f>
        <v>-243.76666666666668</v>
      </c>
      <c r="MX101" s="234">
        <f>+MV101+MX81</f>
        <v>-281.63333333333333</v>
      </c>
      <c r="MZ101" s="236">
        <f>+MX101+MZ81</f>
        <v>-286.43333333333334</v>
      </c>
      <c r="NB101" s="238">
        <f>+MZ101+NB81</f>
        <v>-284.3</v>
      </c>
      <c r="ND101" s="240">
        <f>+NB101+ND81</f>
        <v>-284.3</v>
      </c>
      <c r="NF101" s="242">
        <f>+ND101+NF81</f>
        <v>-327.56666666666666</v>
      </c>
      <c r="NH101" s="244">
        <f>+NF101+NH81</f>
        <v>-370.83333333333331</v>
      </c>
      <c r="NJ101" s="244">
        <f>+NH101+NJ81</f>
        <v>-374.4</v>
      </c>
      <c r="NL101" s="246">
        <f>+NJ101+NL81</f>
        <v>-354.06666666666666</v>
      </c>
      <c r="NN101" s="248">
        <f>+NL101+NN81</f>
        <v>-354.06666666666666</v>
      </c>
      <c r="NP101" s="250">
        <f>+NN101+NP81</f>
        <v>-371.9</v>
      </c>
      <c r="NR101" s="252">
        <f>+NP101+NR81</f>
        <v>-404.63333333333333</v>
      </c>
      <c r="NT101" s="254">
        <f>+NR101+NT81</f>
        <v>-397.59999999999997</v>
      </c>
      <c r="NV101" s="256">
        <f>+NT101+NV81</f>
        <v>-382.9</v>
      </c>
      <c r="NX101" s="258">
        <f>+NV101+NX81</f>
        <v>-382.9</v>
      </c>
      <c r="NZ101" s="260">
        <f>+NX101+NZ81</f>
        <v>-368.7</v>
      </c>
      <c r="OB101" s="262">
        <f>+NZ101+OB81</f>
        <v>-354.4</v>
      </c>
      <c r="OD101" s="264">
        <f>+OB101+OD81</f>
        <v>-354.4</v>
      </c>
      <c r="OF101" s="266">
        <f>+OD101+OF81</f>
        <v>-355.56666666666666</v>
      </c>
      <c r="OH101" s="268">
        <f>+OF101+OH81</f>
        <v>-417.06666666666666</v>
      </c>
      <c r="OJ101" s="270">
        <f>+OH101+OJ81</f>
        <v>-417.06666666666666</v>
      </c>
      <c r="OL101" s="272">
        <f>+OJ101+OL81</f>
        <v>-409.56666666666666</v>
      </c>
      <c r="ON101" s="274">
        <f>+OL101+ON81</f>
        <v>-395.13333333333333</v>
      </c>
      <c r="OP101" s="276">
        <f>+ON101+OP81</f>
        <v>-461</v>
      </c>
      <c r="OR101" s="278">
        <f>+OP101+OR81</f>
        <v>-525.9666666666667</v>
      </c>
      <c r="OT101" s="280">
        <f>+OR101+OT81</f>
        <v>-543.66666666666674</v>
      </c>
      <c r="OV101" s="282">
        <f>+OT101+OV81</f>
        <v>-543.66666666666674</v>
      </c>
      <c r="OX101" s="285">
        <f>+OV101+OX81</f>
        <v>-525.06666666666672</v>
      </c>
      <c r="OZ101" s="288">
        <f>+OX101+OZ81</f>
        <v>-525.06666666666672</v>
      </c>
      <c r="PB101" s="292">
        <f>+OZ101+PB81</f>
        <v>-519.16666666666674</v>
      </c>
      <c r="PD101" s="297">
        <f>+PB101+PD81</f>
        <v>-549.33333333333337</v>
      </c>
      <c r="PF101" s="298">
        <f>+PD101+PF81</f>
        <v>-552.63333333333333</v>
      </c>
      <c r="PH101" s="301">
        <f>+PF101+PH81</f>
        <v>-554.9666666666667</v>
      </c>
      <c r="PJ101" s="302">
        <f>+PH101+PJ81</f>
        <v>-554.9666666666667</v>
      </c>
      <c r="PL101" s="309">
        <f>+PJ101+PL81</f>
        <v>-554.9666666666667</v>
      </c>
      <c r="PN101" s="313">
        <f>+PL101+PN81</f>
        <v>-512.26666666666665</v>
      </c>
      <c r="PP101" s="313">
        <f>+PN101+PP81</f>
        <v>-512.26666666666665</v>
      </c>
      <c r="PR101" s="315">
        <f>+PP101+PR81</f>
        <v>-512.26666666666665</v>
      </c>
      <c r="PT101" s="318">
        <f>+PR101+PT81</f>
        <v>-512.26666666666665</v>
      </c>
      <c r="PV101" s="321">
        <f>+PT101+PV81</f>
        <v>-515.86666666666667</v>
      </c>
      <c r="PX101" s="323">
        <f>+PV101+PX81</f>
        <v>-496.43333333333334</v>
      </c>
      <c r="PZ101" s="325">
        <f>+PX101+PZ81</f>
        <v>-477.9666666666667</v>
      </c>
      <c r="QB101" s="327">
        <f>+PZ101+QB81</f>
        <v>-587.86666666666667</v>
      </c>
      <c r="QD101" s="334">
        <f>+QB101+QD81</f>
        <v>-545.23333333333335</v>
      </c>
      <c r="QF101" s="339">
        <f>+QD101+QF81</f>
        <v>-555.5333333333333</v>
      </c>
      <c r="QH101" s="345">
        <f>+QF101+QH81</f>
        <v>-595.4666666666667</v>
      </c>
      <c r="QJ101" s="352">
        <f>+QH101+QJ81</f>
        <v>-657.03333333333342</v>
      </c>
      <c r="QL101" s="356">
        <f>+QJ101+QL81</f>
        <v>-619.73333333333346</v>
      </c>
      <c r="QN101" s="360">
        <f>+QL101+QN81</f>
        <v>-657.16666666666674</v>
      </c>
      <c r="QP101" s="363">
        <f>+QN101+QP81</f>
        <v>-687.10000000000014</v>
      </c>
      <c r="QR101" s="366">
        <f>+QP101+QR81</f>
        <v>-697.50000000000011</v>
      </c>
      <c r="QT101" s="371">
        <f>+QR101+QT81</f>
        <v>-697.50000000000011</v>
      </c>
      <c r="QV101" s="374">
        <f>+QT101+QV81</f>
        <v>-708.80000000000007</v>
      </c>
      <c r="QX101" s="378">
        <f>+QV101+QX81</f>
        <v>-709.63333333333344</v>
      </c>
      <c r="QZ101" s="386">
        <f>+QX101+QZ81</f>
        <v>-709.63333333333344</v>
      </c>
      <c r="RB101" s="395">
        <f>+QZ101+RB81</f>
        <v>-724.20000000000016</v>
      </c>
      <c r="RD101" s="399">
        <f>+RB101+RD81</f>
        <v>-724.83333333333348</v>
      </c>
      <c r="RF101" s="399">
        <f>+RD101+RF81</f>
        <v>-732.86666666666679</v>
      </c>
      <c r="RH101" s="403">
        <f>+RF101+RH81</f>
        <v>-808.66666666666674</v>
      </c>
      <c r="RJ101" s="405">
        <f>+RH101+RJ81</f>
        <v>-831.4666666666667</v>
      </c>
      <c r="RL101" s="407">
        <f>+RJ101+RL81</f>
        <v>-854.43333333333339</v>
      </c>
      <c r="RN101" s="410">
        <f>+RL101+RN81</f>
        <v>-887.76666666666677</v>
      </c>
      <c r="RP101" s="412">
        <f>+RN101+RP81</f>
        <v>-924.26666666666677</v>
      </c>
      <c r="RR101" s="415">
        <f>+RP101+RR81</f>
        <v>-917.00000000000011</v>
      </c>
      <c r="RT101" s="417">
        <f>+RR101+RT81</f>
        <v>-925.33333333333348</v>
      </c>
      <c r="RV101" s="422">
        <f>+RT101+RV81</f>
        <v>-961.06666666666683</v>
      </c>
      <c r="RX101" s="427">
        <f>+RV101+RX81</f>
        <v>-975.83333333333348</v>
      </c>
      <c r="RZ101" s="433">
        <f>+RX101+RZ81</f>
        <v>-947.70000000000016</v>
      </c>
      <c r="SB101" s="436">
        <f>+RZ101+SB81</f>
        <v>-933.63333333333344</v>
      </c>
      <c r="SD101" s="443">
        <f>+SB101+SD81</f>
        <v>-933.63333333333344</v>
      </c>
      <c r="SF101" s="445">
        <f>+SD101+SF81</f>
        <v>-933.63333333333344</v>
      </c>
      <c r="SH101" s="450">
        <f>+SF101+SH81</f>
        <v>-971.13333333333344</v>
      </c>
      <c r="SJ101" s="452">
        <f>+SH101+SJ81</f>
        <v>-992.53333333333342</v>
      </c>
      <c r="SL101" s="457">
        <f>+SJ101+SL81</f>
        <v>-994.33333333333337</v>
      </c>
      <c r="SN101" s="459">
        <f>+SL101+SN81</f>
        <v>-1004.0333333333334</v>
      </c>
      <c r="SP101" s="461">
        <f>+SN101+SP81</f>
        <v>-1037.4666666666667</v>
      </c>
      <c r="SR101" s="463">
        <f>+SP101+SR81</f>
        <v>-1030.4333333333334</v>
      </c>
      <c r="ST101" s="464">
        <f>+SR101+ST81</f>
        <v>-1005.1333333333334</v>
      </c>
      <c r="SV101" s="466">
        <f>+ST101+SV81</f>
        <v>-1016.4666666666668</v>
      </c>
      <c r="SX101" s="467">
        <f>+SV101+SX81</f>
        <v>-1016.4666666666668</v>
      </c>
      <c r="SZ101" s="469">
        <f>+SX101+SZ81</f>
        <v>-1033.1666666666667</v>
      </c>
      <c r="TB101" s="471">
        <f>+SZ101+TB81</f>
        <v>-1080.8000000000002</v>
      </c>
      <c r="TD101" s="472">
        <f>+TB101+TD81</f>
        <v>-1074.6333333333334</v>
      </c>
      <c r="TF101" s="474">
        <f>+TD101+TF81</f>
        <v>-1074.6333333333334</v>
      </c>
      <c r="TH101" s="488">
        <f>+TF101+TH81</f>
        <v>-1068.0333333333335</v>
      </c>
      <c r="TJ101" s="489">
        <f>+TH101+TJ81</f>
        <v>-1068.0333333333335</v>
      </c>
      <c r="TL101" s="490">
        <f>+TJ101+TL81</f>
        <v>-1058.4666666666669</v>
      </c>
      <c r="TN101" s="495">
        <f>+TL101+TN81</f>
        <v>-1058.4666666666669</v>
      </c>
      <c r="TP101" s="500">
        <f>+TN101+TP81</f>
        <v>-1085.5333333333335</v>
      </c>
      <c r="TR101" s="511">
        <f>+TP101+TR81</f>
        <v>-1198.5000000000002</v>
      </c>
      <c r="TT101" s="515">
        <f>+TR101+TT81</f>
        <v>-1228.2000000000003</v>
      </c>
      <c r="TV101" s="518">
        <f>+TT101+TV81</f>
        <v>-1236.4000000000003</v>
      </c>
      <c r="TX101" s="521">
        <f>+TV101+TX81</f>
        <v>-1262.4666666666669</v>
      </c>
      <c r="TZ101" s="524">
        <f>+TX101+TZ81</f>
        <v>-1270.7333333333336</v>
      </c>
      <c r="UB101" s="527">
        <f>+TZ101+UB81</f>
        <v>-1289.2666666666669</v>
      </c>
      <c r="UD101" s="530">
        <f>+UB101+UD81</f>
        <v>-1300.2666666666669</v>
      </c>
      <c r="UF101" s="533">
        <f>+UD101+UF81</f>
        <v>-1300.2666666666669</v>
      </c>
      <c r="UH101" s="536">
        <f>+UF101+UH81</f>
        <v>-1300.2666666666669</v>
      </c>
      <c r="UJ101" s="539">
        <f>+UH101+UJ81</f>
        <v>-1272.4666666666669</v>
      </c>
      <c r="UL101" s="540">
        <f>+UJ101+UL81</f>
        <v>-1316.0333333333335</v>
      </c>
      <c r="UN101" s="543">
        <f>+UL101+UN81</f>
        <v>-1327.8333333333335</v>
      </c>
      <c r="UP101" s="544">
        <f>+UN101+UP81</f>
        <v>-1346.2333333333336</v>
      </c>
      <c r="UR101" s="551">
        <f>+UP101+UR81</f>
        <v>-1346.2333333333336</v>
      </c>
      <c r="UT101" s="551">
        <f>+UR101+UT81</f>
        <v>-1310.9666666666669</v>
      </c>
      <c r="UV101" s="562">
        <f>+UT101+UV81</f>
        <v>-1310.9666666666669</v>
      </c>
      <c r="UX101" s="566">
        <f>+UV101+UX81</f>
        <v>-1431.0333333333335</v>
      </c>
      <c r="UZ101" s="568">
        <f>+UX101+UZ81</f>
        <v>-1431.0333333333335</v>
      </c>
      <c r="VB101" s="572">
        <f>+UZ101+VB81</f>
        <v>-1417.0333333333335</v>
      </c>
      <c r="VD101" s="576">
        <f>+VB101+VD81</f>
        <v>-1428.7666666666669</v>
      </c>
      <c r="VF101" s="580">
        <f>+VD101+VF81</f>
        <v>-1428.7666666666669</v>
      </c>
      <c r="VH101" s="584">
        <f>+VF101+VH81</f>
        <v>-1401.166666666667</v>
      </c>
      <c r="VJ101" s="589">
        <f>+VH101+VJ81</f>
        <v>-1401.166666666667</v>
      </c>
      <c r="VL101" s="593">
        <f>+VJ101+VL81</f>
        <v>-1416.0000000000002</v>
      </c>
      <c r="VN101" s="597">
        <f>+VL101+VN81</f>
        <v>-1416.0000000000002</v>
      </c>
      <c r="VP101" s="601">
        <f>+VN101+VP81</f>
        <v>-1388.2000000000003</v>
      </c>
      <c r="VR101" s="603">
        <f>+VP101+VR81</f>
        <v>-1388.2000000000003</v>
      </c>
      <c r="VT101" s="607">
        <f>+VR101+VT81</f>
        <v>-1388.2000000000003</v>
      </c>
      <c r="VV101" s="609">
        <f>+VT101+VV81</f>
        <v>-1353.2333333333336</v>
      </c>
      <c r="VX101" s="613">
        <f>+VV101+VX81</f>
        <v>-1345.5333333333335</v>
      </c>
      <c r="VZ101" s="617">
        <f>+VX101+VZ81</f>
        <v>-1326.5666666666668</v>
      </c>
      <c r="WB101" s="619">
        <f>+VZ101+WB81</f>
        <v>-1431.0000000000002</v>
      </c>
      <c r="WD101" s="624">
        <f>+WB101+WD81</f>
        <v>-1472.166666666667</v>
      </c>
      <c r="WF101" s="626">
        <f>+WD101+WF81</f>
        <v>-1513.7666666666669</v>
      </c>
      <c r="WH101" s="630">
        <f>+WF101+WH81</f>
        <v>-1518.8000000000002</v>
      </c>
      <c r="WJ101" s="636">
        <f>+WH101+WJ81</f>
        <v>-1467.5666666666668</v>
      </c>
      <c r="WL101" s="638">
        <f>+WJ101+WL81</f>
        <v>-1497.7000000000003</v>
      </c>
      <c r="WN101" s="642">
        <f>+WL101+WN81</f>
        <v>-1484.866666666667</v>
      </c>
      <c r="WP101" s="646">
        <f>+WN101+WP81</f>
        <v>-1484.866666666667</v>
      </c>
      <c r="WR101" s="652">
        <f>+WP101+WR81</f>
        <v>-1484.866666666667</v>
      </c>
      <c r="WT101" s="659">
        <f>+WR101+WT81</f>
        <v>-1506.8000000000004</v>
      </c>
      <c r="WV101" s="659">
        <f>+WT101+WV81</f>
        <v>-1551.5000000000005</v>
      </c>
      <c r="WX101" s="672">
        <f>+WV101+WX81</f>
        <v>-1551.5000000000005</v>
      </c>
      <c r="WZ101" s="677">
        <f>+WX101+WZ81</f>
        <v>-1551.5000000000005</v>
      </c>
      <c r="XB101" s="681">
        <f>+WZ101+XB81</f>
        <v>-1551.5000000000005</v>
      </c>
      <c r="XD101" s="683">
        <f>+XB101+XD81</f>
        <v>-1551.5000000000005</v>
      </c>
      <c r="XF101" s="687">
        <f>+XD101+XF81</f>
        <v>-1578.866666666667</v>
      </c>
      <c r="XH101" s="689">
        <f>+XF101+XH81</f>
        <v>-1578.866666666667</v>
      </c>
      <c r="XJ101" s="696">
        <f>+XH101+XJ81</f>
        <v>-1578.866666666667</v>
      </c>
      <c r="XL101" s="696">
        <f>+XJ101+XL81</f>
        <v>-1578.866666666667</v>
      </c>
      <c r="XN101" s="696">
        <f>+XL101+XN81</f>
        <v>-1578.866666666667</v>
      </c>
      <c r="XP101" s="700">
        <f>+XN101+XP81</f>
        <v>-1578.866666666667</v>
      </c>
      <c r="XR101" s="705">
        <f>+XP101+XR81</f>
        <v>-1578.866666666667</v>
      </c>
      <c r="XT101" s="709">
        <f>+XR101+XT81</f>
        <v>-1578.866666666667</v>
      </c>
      <c r="XV101" s="715">
        <f>+XT101+XV81</f>
        <v>-1648.8333333333337</v>
      </c>
    </row>
    <row r="102" spans="3:646" x14ac:dyDescent="0.25">
      <c r="C102" s="734"/>
      <c r="D102" s="750"/>
      <c r="E102" s="750"/>
      <c r="F102" s="777"/>
      <c r="G102" s="777"/>
      <c r="GJ102" s="3">
        <f>+GJ81</f>
        <v>21.3</v>
      </c>
    </row>
    <row r="104" spans="3:646" x14ac:dyDescent="0.25">
      <c r="C104" s="721" t="s">
        <v>10</v>
      </c>
      <c r="D104" s="775" t="s">
        <v>26</v>
      </c>
      <c r="E104" s="775"/>
      <c r="F104" s="776" t="s">
        <v>28</v>
      </c>
      <c r="G104" s="776"/>
      <c r="FD104" s="83">
        <f>+FB80+FD80</f>
        <v>0</v>
      </c>
      <c r="FF104" s="83">
        <f>+FD104+FF80</f>
        <v>0</v>
      </c>
      <c r="FH104" s="83">
        <f>+FF104+FH80</f>
        <v>0</v>
      </c>
      <c r="FJ104" s="83">
        <f>+FH104+FJ80</f>
        <v>0</v>
      </c>
      <c r="FL104" s="83">
        <f>+FJ104+FL80</f>
        <v>0</v>
      </c>
      <c r="FN104" s="83">
        <f>+FL104+FN80</f>
        <v>0</v>
      </c>
      <c r="FP104" s="83">
        <f>+FN104+FP80</f>
        <v>0</v>
      </c>
      <c r="FR104" s="83">
        <f>+FP104+FR80</f>
        <v>0</v>
      </c>
      <c r="FT104" s="83">
        <f>+FR104+FT80</f>
        <v>0</v>
      </c>
      <c r="FV104" s="83">
        <f>+FT104+FV80</f>
        <v>0</v>
      </c>
      <c r="FX104" s="83">
        <f>+FV104+FX80</f>
        <v>0</v>
      </c>
      <c r="FZ104" s="83">
        <f>+FX104+FZ80</f>
        <v>0</v>
      </c>
      <c r="GB104" s="83">
        <f>+FZ104+GB80</f>
        <v>0</v>
      </c>
      <c r="GD104" s="83">
        <f>+GB104+GD80</f>
        <v>0</v>
      </c>
      <c r="GF104" s="83">
        <f>+GD104+GF80</f>
        <v>0</v>
      </c>
      <c r="GH104" s="83">
        <f>+GF104+GH80</f>
        <v>0</v>
      </c>
      <c r="GJ104" s="83">
        <f>+GH104+GH80</f>
        <v>0</v>
      </c>
      <c r="GL104" s="83">
        <f>+GJ105+GL80</f>
        <v>0</v>
      </c>
      <c r="GN104" s="83">
        <f>+GL104+GN80</f>
        <v>0</v>
      </c>
      <c r="GP104" s="83">
        <f>+GN104+GP80</f>
        <v>0</v>
      </c>
      <c r="GR104" s="83">
        <f>+GP104+GR80</f>
        <v>0</v>
      </c>
      <c r="GT104" s="83">
        <f>+GR104+GT80</f>
        <v>0</v>
      </c>
      <c r="GV104" s="83">
        <f>+GT104+GV80</f>
        <v>0</v>
      </c>
      <c r="GX104" s="83">
        <f>+GV104+GX80</f>
        <v>0</v>
      </c>
      <c r="GZ104" s="83">
        <f>+GX104+GZ80</f>
        <v>0</v>
      </c>
      <c r="HB104" s="83">
        <f>+GZ104+HB80</f>
        <v>0</v>
      </c>
      <c r="HD104" s="83">
        <f>+HB104+HD80</f>
        <v>0</v>
      </c>
      <c r="HF104" s="83">
        <f>+HD104+HF80</f>
        <v>0</v>
      </c>
      <c r="HH104" s="83">
        <f>+HF104+HH80</f>
        <v>0</v>
      </c>
      <c r="HJ104" s="83">
        <f>+HH104+HJ80</f>
        <v>0</v>
      </c>
      <c r="HL104" s="83">
        <f>+HJ104+HL80</f>
        <v>0</v>
      </c>
      <c r="HN104" s="83">
        <f>+HL104+HN80</f>
        <v>0</v>
      </c>
      <c r="HP104" s="83">
        <f>+HN104+HP80</f>
        <v>0</v>
      </c>
      <c r="HR104" s="84">
        <f>+HP104+HR80</f>
        <v>0</v>
      </c>
      <c r="HT104" s="85">
        <f>+HR104+HT80</f>
        <v>0</v>
      </c>
      <c r="HV104" s="88">
        <f>+HT104+HV80</f>
        <v>0</v>
      </c>
      <c r="HX104" s="89">
        <f>+HV104+HX80</f>
        <v>0</v>
      </c>
      <c r="HZ104" s="91">
        <f>+HX104+HZ80</f>
        <v>0</v>
      </c>
      <c r="IB104" s="92">
        <f>+HZ104+IB80</f>
        <v>0</v>
      </c>
      <c r="ID104" s="93">
        <f>+IB104+ID80</f>
        <v>0</v>
      </c>
      <c r="IF104" s="94">
        <f>+ID104+IF80</f>
        <v>0</v>
      </c>
      <c r="IH104" s="97">
        <f>+IF104+IH80</f>
        <v>0</v>
      </c>
      <c r="IJ104" s="98">
        <f>+IH104+IJ80</f>
        <v>0</v>
      </c>
      <c r="IL104" s="99">
        <f>+IJ104+IL80</f>
        <v>0</v>
      </c>
      <c r="IN104" s="100">
        <f>+IL104+IN80</f>
        <v>0</v>
      </c>
      <c r="IP104" s="101">
        <f>+IN104+IP80</f>
        <v>0</v>
      </c>
      <c r="IR104" s="102">
        <f>+IP104+IR80</f>
        <v>0</v>
      </c>
      <c r="IT104" s="103">
        <f>+IR104+IT80</f>
        <v>0</v>
      </c>
      <c r="IV104" s="104">
        <f>+IT104+IV80</f>
        <v>0</v>
      </c>
      <c r="IX104" s="104">
        <f>+IV104+IX80</f>
        <v>0</v>
      </c>
      <c r="IZ104" s="105">
        <f>+IX104+IZ80</f>
        <v>0</v>
      </c>
      <c r="JB104" s="112">
        <f>+IZ104+JB80</f>
        <v>0</v>
      </c>
      <c r="JD104" s="113">
        <f>+JB104+JD80</f>
        <v>0</v>
      </c>
      <c r="JF104" s="114">
        <f>+JD104+JF80</f>
        <v>0</v>
      </c>
      <c r="JH104" s="115">
        <f>+JF104+JH80</f>
        <v>0</v>
      </c>
      <c r="JJ104" s="116">
        <f>+JH104+JJ80</f>
        <v>0</v>
      </c>
      <c r="JL104" s="117">
        <f>+JJ104+JL80</f>
        <v>0</v>
      </c>
      <c r="JN104" s="118">
        <f>+JL104+JN80</f>
        <v>0</v>
      </c>
      <c r="JP104" s="119">
        <f>+JN104+JP80</f>
        <v>0</v>
      </c>
      <c r="JR104" s="120">
        <f>+JP104+JR80</f>
        <v>0</v>
      </c>
      <c r="JT104" s="122">
        <f>+JR104+JT80</f>
        <v>0</v>
      </c>
      <c r="JV104" s="126">
        <f>+JT104+JV80</f>
        <v>0</v>
      </c>
      <c r="JX104" s="132">
        <f>+JV104+JX80</f>
        <v>0</v>
      </c>
      <c r="JZ104" s="133">
        <f>+JX104+JZ80</f>
        <v>0</v>
      </c>
      <c r="KB104" s="138">
        <f>+JZ104+KB80</f>
        <v>0</v>
      </c>
      <c r="KD104" s="140">
        <f>+KB104+KD80</f>
        <v>0</v>
      </c>
      <c r="KF104" s="144">
        <f>+KD104+KF80</f>
        <v>0</v>
      </c>
      <c r="KH104" s="148">
        <f>+KF104+KH80</f>
        <v>0</v>
      </c>
      <c r="KJ104" s="152">
        <f>+KH104+KJ80</f>
        <v>0</v>
      </c>
      <c r="KL104" s="156">
        <f>+KJ104+KL80</f>
        <v>0</v>
      </c>
      <c r="KN104" s="160">
        <f>+KL104+KN80</f>
        <v>0</v>
      </c>
      <c r="KP104" s="163">
        <f>+KN104+KP80</f>
        <v>0</v>
      </c>
      <c r="KR104" s="165">
        <f>+KP104+KR80</f>
        <v>0</v>
      </c>
      <c r="KT104" s="168">
        <f>+KR104+KT80</f>
        <v>0</v>
      </c>
      <c r="KV104" s="171">
        <f>+KT104+KV80</f>
        <v>0</v>
      </c>
      <c r="KX104" s="174">
        <f>+KV104+KX80</f>
        <v>0</v>
      </c>
      <c r="KZ104" s="179">
        <f>+KX104+KZ80</f>
        <v>0</v>
      </c>
      <c r="LB104" s="183">
        <f>+KZ104+LB80</f>
        <v>0</v>
      </c>
      <c r="LD104" s="187">
        <f>+LB104+LD80</f>
        <v>0</v>
      </c>
      <c r="LF104" s="189">
        <f>+LD104+LF80</f>
        <v>0</v>
      </c>
      <c r="LH104" s="191">
        <f>+LF104+LH80</f>
        <v>0</v>
      </c>
      <c r="LJ104" s="194">
        <f>+LH104+LJ80</f>
        <v>0</v>
      </c>
      <c r="LL104" s="196">
        <f>+LJ104+LL80</f>
        <v>0</v>
      </c>
      <c r="LN104" s="198">
        <f>+LL104+LN80</f>
        <v>0</v>
      </c>
      <c r="LP104" s="200">
        <f>+LN104+LP80</f>
        <v>0</v>
      </c>
      <c r="LR104" s="202">
        <f>+LP104+LR80</f>
        <v>0</v>
      </c>
      <c r="LT104" s="204">
        <f>+LR104+LT80</f>
        <v>0</v>
      </c>
      <c r="LV104" s="206">
        <f>+LT104+LV80</f>
        <v>0</v>
      </c>
      <c r="LX104" s="208">
        <f>+LV104+LX80</f>
        <v>0</v>
      </c>
      <c r="LZ104" s="210">
        <f>+LX104+LZ80</f>
        <v>0</v>
      </c>
      <c r="MB104" s="212">
        <f>+LZ104+MB80</f>
        <v>0</v>
      </c>
      <c r="MD104" s="214">
        <f>+MB104+MD80</f>
        <v>0</v>
      </c>
      <c r="MF104" s="216">
        <f>+MD104+MF80</f>
        <v>0</v>
      </c>
      <c r="MH104" s="218">
        <f>+MF104+MH80</f>
        <v>0</v>
      </c>
      <c r="MJ104" s="220">
        <f>+MH104+MJ80</f>
        <v>0</v>
      </c>
      <c r="ML104" s="222">
        <f>+MJ104+ML80</f>
        <v>0</v>
      </c>
      <c r="MN104" s="224">
        <f>+ML104+MN80</f>
        <v>0</v>
      </c>
      <c r="MP104" s="226">
        <f>+MN104+MP80</f>
        <v>0</v>
      </c>
      <c r="MR104" s="228">
        <f>+MP104+MR80</f>
        <v>0</v>
      </c>
      <c r="MT104" s="230">
        <f>+MR104+MT80</f>
        <v>0</v>
      </c>
      <c r="MV104" s="232">
        <f>+MT104+MV80</f>
        <v>0</v>
      </c>
      <c r="MX104" s="234">
        <f>+MV104+MX80</f>
        <v>0</v>
      </c>
      <c r="MZ104" s="236">
        <f>+MX104+MZ80</f>
        <v>0</v>
      </c>
      <c r="NB104" s="238">
        <f>+MZ104+NB80</f>
        <v>0</v>
      </c>
      <c r="ND104" s="240">
        <f>+NB104+ND80</f>
        <v>0</v>
      </c>
      <c r="NF104" s="242">
        <f>+ND104+NF80</f>
        <v>0</v>
      </c>
      <c r="NH104" s="244">
        <f>+NF104+NH80</f>
        <v>0</v>
      </c>
      <c r="NJ104" s="244">
        <f>+NH104+NJ80</f>
        <v>0</v>
      </c>
      <c r="NL104" s="246">
        <f>+NJ104+NL80</f>
        <v>0</v>
      </c>
      <c r="NN104" s="248">
        <f>+NL104+NN80</f>
        <v>0</v>
      </c>
      <c r="NP104" s="250">
        <f>+NN104+NP80</f>
        <v>0</v>
      </c>
      <c r="NR104" s="252">
        <f>+NP104+NR80</f>
        <v>0</v>
      </c>
      <c r="NT104" s="254">
        <f>+NR104+NT80</f>
        <v>0</v>
      </c>
      <c r="NV104" s="256">
        <f>+NT104+NV80</f>
        <v>0</v>
      </c>
      <c r="NX104" s="258">
        <f>+NV104+NX80</f>
        <v>0</v>
      </c>
      <c r="NZ104" s="260">
        <f>+NX104+NZ80</f>
        <v>0</v>
      </c>
      <c r="OB104" s="262">
        <f>+NZ104+OB80</f>
        <v>0</v>
      </c>
      <c r="OD104" s="264">
        <f>+OB104+OD80</f>
        <v>0</v>
      </c>
      <c r="OF104" s="266">
        <f>+OD104+OF80</f>
        <v>0</v>
      </c>
      <c r="OH104" s="268">
        <f>+OF104+OH80</f>
        <v>0</v>
      </c>
      <c r="OJ104" s="270">
        <f>+OH104+OJ80</f>
        <v>0</v>
      </c>
      <c r="OL104" s="272">
        <f>+OJ104+OL80</f>
        <v>0</v>
      </c>
      <c r="ON104" s="274">
        <f>+OL104+ON80</f>
        <v>0</v>
      </c>
      <c r="OP104" s="276">
        <f>+ON104+OP80</f>
        <v>0</v>
      </c>
      <c r="OR104" s="278">
        <f>+OP104+OR80</f>
        <v>0</v>
      </c>
      <c r="OT104" s="280">
        <f>+OR104+OT80</f>
        <v>0</v>
      </c>
      <c r="OV104" s="282">
        <f>+OT104+OV80</f>
        <v>0</v>
      </c>
      <c r="OX104" s="285">
        <f>+OV104+OX80</f>
        <v>0</v>
      </c>
      <c r="OZ104" s="288">
        <f>+OX104+OZ80</f>
        <v>0</v>
      </c>
      <c r="PB104" s="292">
        <f>+OZ104+PB80</f>
        <v>0</v>
      </c>
      <c r="PD104" s="297">
        <f>+PB104+PD80</f>
        <v>0</v>
      </c>
      <c r="PF104" s="298">
        <f>+PD104+PF80</f>
        <v>0</v>
      </c>
      <c r="PH104" s="301">
        <f>+PF104+PH80</f>
        <v>0</v>
      </c>
      <c r="PJ104" s="302">
        <f>+PH104+PJ80</f>
        <v>0</v>
      </c>
      <c r="PL104" s="309">
        <f>+PJ104+PL80</f>
        <v>0</v>
      </c>
      <c r="PN104" s="313">
        <f>+PL104+PN80</f>
        <v>0</v>
      </c>
      <c r="PP104" s="313">
        <f>+PN104+PP80</f>
        <v>0</v>
      </c>
      <c r="PR104" s="315">
        <f>+PP104+PR80</f>
        <v>0</v>
      </c>
      <c r="PT104" s="318">
        <f>+PR104+PT80</f>
        <v>0</v>
      </c>
      <c r="PV104" s="321">
        <f>+PT104+PV80</f>
        <v>0</v>
      </c>
      <c r="PX104" s="323">
        <f>+PV104+PX80</f>
        <v>0</v>
      </c>
      <c r="PZ104" s="325">
        <f>+PX104+PZ80</f>
        <v>0</v>
      </c>
      <c r="QB104" s="327">
        <f>+PZ104+QB80</f>
        <v>0</v>
      </c>
      <c r="QD104" s="334">
        <f>+QB104+QD80</f>
        <v>0</v>
      </c>
      <c r="QF104" s="339">
        <f>+QD104+QF80</f>
        <v>0</v>
      </c>
      <c r="QH104" s="345">
        <f>+QF104+QH80</f>
        <v>0</v>
      </c>
      <c r="QJ104" s="352">
        <f>+QH104+QJ80</f>
        <v>0</v>
      </c>
      <c r="QL104" s="356">
        <f>+QJ104+QL80</f>
        <v>0</v>
      </c>
      <c r="QN104" s="360">
        <f>+QL104+QN80</f>
        <v>0</v>
      </c>
      <c r="QP104" s="363">
        <f>+QN104+QP80</f>
        <v>0</v>
      </c>
      <c r="QR104" s="366">
        <f>+QP104+QR80</f>
        <v>0</v>
      </c>
      <c r="QT104" s="371">
        <f>+QR104+QT80</f>
        <v>0</v>
      </c>
      <c r="QV104" s="374">
        <f>+QT104+QV80</f>
        <v>0</v>
      </c>
      <c r="QX104" s="378">
        <f>+QV104+QX80</f>
        <v>0</v>
      </c>
      <c r="QZ104" s="386">
        <f>+QX104+QZ80</f>
        <v>0</v>
      </c>
      <c r="RB104" s="395">
        <f>+QZ104+RB80</f>
        <v>0</v>
      </c>
      <c r="RD104" s="399">
        <f>+RB104+RD80</f>
        <v>0</v>
      </c>
      <c r="RF104" s="399">
        <f>+RD104+RF80</f>
        <v>0</v>
      </c>
      <c r="RH104" s="403">
        <f>+RF104+RH80</f>
        <v>0</v>
      </c>
      <c r="RJ104" s="405">
        <f>+RH104+RJ80</f>
        <v>0</v>
      </c>
      <c r="RL104" s="407">
        <f>+RJ104+RL80</f>
        <v>0</v>
      </c>
      <c r="RN104" s="410">
        <f>+RL104+RN80</f>
        <v>0</v>
      </c>
      <c r="RP104" s="412">
        <f>+RN104+RP80</f>
        <v>0</v>
      </c>
      <c r="RR104" s="415">
        <f>+RP104+RR80</f>
        <v>0</v>
      </c>
      <c r="RT104" s="417">
        <f>+RR104+RT80</f>
        <v>0</v>
      </c>
      <c r="RV104" s="422">
        <f>+RT104+RV80</f>
        <v>0</v>
      </c>
      <c r="RX104" s="427">
        <f>+RV104+RX80</f>
        <v>0</v>
      </c>
      <c r="RZ104" s="433">
        <f>+RX104+RZ80</f>
        <v>0</v>
      </c>
      <c r="SB104" s="436">
        <f>+RZ104+SB80</f>
        <v>0</v>
      </c>
      <c r="SD104" s="443">
        <f>+SB104+SD80</f>
        <v>0</v>
      </c>
      <c r="SF104" s="445">
        <f>+SD104+SF80</f>
        <v>10.425000000000001</v>
      </c>
      <c r="SH104" s="450">
        <f>+SF104+SH80</f>
        <v>2.6416666666666639</v>
      </c>
      <c r="SJ104" s="452">
        <f>+SH104+SJ80</f>
        <v>10.983333333333331</v>
      </c>
      <c r="SL104" s="457">
        <f>+SJ104+SL80</f>
        <v>-23.041666666666675</v>
      </c>
      <c r="SN104" s="459">
        <f>+SL104+SN80</f>
        <v>-23.041666666666675</v>
      </c>
      <c r="SP104" s="461">
        <f>+SN104+SP80</f>
        <v>-23.041666666666675</v>
      </c>
      <c r="SR104" s="463">
        <f>+SP104+SR80</f>
        <v>-15.925000000000008</v>
      </c>
      <c r="ST104" s="464">
        <f>+SR104+ST80</f>
        <v>-51.63333333333334</v>
      </c>
      <c r="SV104" s="466">
        <f>+ST104+SV80</f>
        <v>-88.791666666666686</v>
      </c>
      <c r="SX104" s="467">
        <f>+SV104+SX80</f>
        <v>-81.783333333333346</v>
      </c>
      <c r="SZ104" s="469">
        <f>+SX104+SZ80</f>
        <v>-112.44166666666668</v>
      </c>
      <c r="TB104" s="471">
        <f>+SZ104+TB80</f>
        <v>-113.10833333333335</v>
      </c>
      <c r="TD104" s="472">
        <f>+TB104+TD80</f>
        <v>-124.12500000000001</v>
      </c>
      <c r="TF104" s="474">
        <f>+TD104+TF80</f>
        <v>-126.39166666666668</v>
      </c>
      <c r="TH104" s="488">
        <f>+TF104+TH80</f>
        <v>-119.41666666666669</v>
      </c>
      <c r="TJ104" s="489">
        <f>+TH104+TJ80</f>
        <v>-160.11666666666667</v>
      </c>
      <c r="TL104" s="490">
        <f>+TJ104+TL80</f>
        <v>-190.95833333333334</v>
      </c>
      <c r="TN104" s="495">
        <f>+TL104+TN80</f>
        <v>-206.07500000000002</v>
      </c>
      <c r="TP104" s="500">
        <f>+TN104+TP80</f>
        <v>-206.07500000000002</v>
      </c>
      <c r="TR104" s="511">
        <f>+TP104+TR80</f>
        <v>-202.69166666666669</v>
      </c>
      <c r="TT104" s="515">
        <f>+TR104+TT80</f>
        <v>-184.85833333333335</v>
      </c>
      <c r="TV104" s="518">
        <f>+TT104+TV80</f>
        <v>-206.97500000000002</v>
      </c>
      <c r="TX104" s="521">
        <f>+TV104+TX80</f>
        <v>-206.97500000000002</v>
      </c>
      <c r="TZ104" s="524">
        <f>+TX104+TZ80</f>
        <v>-215.06666666666669</v>
      </c>
      <c r="UB104" s="527">
        <f>+TZ104+UB80</f>
        <v>-249.55</v>
      </c>
      <c r="UD104" s="530">
        <f>+UB104+UD80</f>
        <v>-243.35000000000002</v>
      </c>
      <c r="UF104" s="533">
        <f>+UD104+UF80</f>
        <v>-258.88333333333338</v>
      </c>
      <c r="UH104" s="536">
        <f>+UF104+UH80</f>
        <v>-238.72500000000005</v>
      </c>
      <c r="UJ104" s="539">
        <f>+UH104+UJ80</f>
        <v>-250.55000000000004</v>
      </c>
      <c r="UL104" s="540">
        <f>+UJ104+UL80</f>
        <v>-230.05833333333337</v>
      </c>
      <c r="UN104" s="543">
        <f>+UL104+UN80</f>
        <v>-242.75000000000003</v>
      </c>
      <c r="UP104" s="544">
        <f>+UN104+UP80</f>
        <v>-278.06666666666672</v>
      </c>
      <c r="UR104" s="551">
        <f>+UP104+UR80</f>
        <v>-278.06666666666672</v>
      </c>
      <c r="UT104" s="551">
        <f>+UR104+UT80</f>
        <v>-278.06666666666672</v>
      </c>
      <c r="UV104" s="562">
        <f>+UT104+UV80</f>
        <v>-303.9666666666667</v>
      </c>
      <c r="UX104" s="566">
        <f>+UV104+UX80</f>
        <v>-308.13333333333338</v>
      </c>
      <c r="UZ104" s="568">
        <f>+UX104+UZ80</f>
        <v>-301.43333333333339</v>
      </c>
      <c r="VB104" s="572">
        <f>+UZ104+VB80</f>
        <v>-312.46666666666675</v>
      </c>
      <c r="VD104" s="576">
        <f>+VB104+VD80</f>
        <v>-296.80000000000007</v>
      </c>
      <c r="VF104" s="580">
        <f>+VD104+VF80</f>
        <v>-281.22500000000008</v>
      </c>
      <c r="VH104" s="584">
        <f>+VF104+VH80</f>
        <v>-315.71666666666675</v>
      </c>
      <c r="VJ104" s="589">
        <f>+VH104+VJ80</f>
        <v>-315.71666666666675</v>
      </c>
      <c r="VL104" s="593">
        <f>+VJ104+VL80</f>
        <v>-326.71666666666675</v>
      </c>
      <c r="VN104" s="597">
        <f>+VL104+VN80</f>
        <v>-330.03333333333342</v>
      </c>
      <c r="VP104" s="601">
        <f>+VN104+VP80</f>
        <v>-347.5750000000001</v>
      </c>
      <c r="VR104" s="603">
        <f>+VP104+VR80</f>
        <v>-369.74166666666679</v>
      </c>
      <c r="VT104" s="607">
        <f>+VR104+VT80</f>
        <v>-409.00000000000011</v>
      </c>
      <c r="VV104" s="609">
        <f>+VT104+VV80</f>
        <v>-409.00000000000011</v>
      </c>
      <c r="VX104" s="613">
        <f>+VV104+VX80</f>
        <v>-409.00000000000011</v>
      </c>
      <c r="VZ104" s="617">
        <f>+VX104+VZ80</f>
        <v>-409.00000000000011</v>
      </c>
      <c r="WB104" s="619">
        <f>+VZ104+WB80</f>
        <v>-409.00000000000011</v>
      </c>
      <c r="WD104" s="624">
        <f>+WB104+WD80</f>
        <v>-436.01666666666677</v>
      </c>
      <c r="WF104" s="626">
        <f>+WD104+WF80</f>
        <v>-436.01666666666677</v>
      </c>
      <c r="WH104" s="630">
        <f>+WF104+WH80</f>
        <v>-436.01666666666677</v>
      </c>
      <c r="WJ104" s="636">
        <f>+WH104+WJ80</f>
        <v>-440.55833333333345</v>
      </c>
      <c r="WL104" s="638">
        <f>+WJ104+WL80</f>
        <v>-440.55833333333345</v>
      </c>
      <c r="WN104" s="642">
        <f>+WL104+WN80</f>
        <v>-440.55833333333345</v>
      </c>
      <c r="WP104" s="646">
        <f>+WN104+WP80</f>
        <v>-425.73333333333346</v>
      </c>
      <c r="WR104" s="652">
        <f>+WP104+WR80</f>
        <v>-425.73333333333346</v>
      </c>
      <c r="WT104" s="659">
        <f>+WR104+WT80</f>
        <v>-460.15833333333347</v>
      </c>
      <c r="WV104" s="659">
        <f>+WT104+WV80</f>
        <v>-480.07500000000016</v>
      </c>
      <c r="WX104" s="672">
        <f>+WV104+WX80</f>
        <v>-463.27500000000015</v>
      </c>
      <c r="WZ104" s="677">
        <f>+WX104+WZ80</f>
        <v>-463.27500000000015</v>
      </c>
      <c r="XB104" s="681">
        <f>+WZ104+XB80</f>
        <v>-490.28333333333347</v>
      </c>
      <c r="XD104" s="683">
        <f>+XB104+XD80</f>
        <v>-491.84166666666681</v>
      </c>
      <c r="XF104" s="687">
        <f>+XD104+XF80</f>
        <v>-470.30833333333345</v>
      </c>
      <c r="XH104" s="689">
        <f>+XF104+XH80</f>
        <v>-470.30833333333345</v>
      </c>
      <c r="XJ104" s="696">
        <f>+XH104+XJ80</f>
        <v>-463.13333333333344</v>
      </c>
      <c r="XL104" s="696">
        <f>+XJ104+XL80</f>
        <v>-463.13333333333344</v>
      </c>
      <c r="XN104" s="696">
        <f>+XL104+XN80</f>
        <v>-496.03333333333342</v>
      </c>
      <c r="XP104" s="700">
        <f>+XN104+XP80</f>
        <v>-501.58333333333343</v>
      </c>
      <c r="XR104" s="705">
        <f>+XP104+XR80</f>
        <v>-501.58333333333343</v>
      </c>
      <c r="XT104" s="709">
        <f>+XR104+XT80</f>
        <v>-501.58333333333343</v>
      </c>
      <c r="XV104" s="715">
        <f>+XT104+XV80</f>
        <v>-501.58333333333343</v>
      </c>
    </row>
    <row r="105" spans="3:646" x14ac:dyDescent="0.25">
      <c r="C105" s="723"/>
      <c r="D105" s="750"/>
      <c r="E105" s="750"/>
      <c r="F105" s="777"/>
      <c r="G105" s="777"/>
      <c r="GJ105" s="83">
        <f>+GJ80</f>
        <v>0</v>
      </c>
      <c r="GK105" s="68"/>
    </row>
    <row r="106" spans="3:646" x14ac:dyDescent="0.25">
      <c r="GJ106" s="68"/>
      <c r="GK106" s="68"/>
    </row>
    <row r="117" spans="192:193" x14ac:dyDescent="0.25">
      <c r="GJ117" s="68"/>
      <c r="GK117" s="68"/>
    </row>
    <row r="118" spans="192:193" x14ac:dyDescent="0.25">
      <c r="GJ118" s="68"/>
      <c r="GK118" s="68"/>
    </row>
    <row r="119" spans="192:193" x14ac:dyDescent="0.25">
      <c r="GJ119" s="68"/>
      <c r="GK119" s="68"/>
    </row>
    <row r="120" spans="192:193" x14ac:dyDescent="0.25">
      <c r="GJ120" s="68"/>
      <c r="GK120" s="68"/>
    </row>
    <row r="121" spans="192:193" x14ac:dyDescent="0.25">
      <c r="GJ121" s="68"/>
      <c r="GK121" s="68"/>
    </row>
    <row r="122" spans="192:193" x14ac:dyDescent="0.25">
      <c r="GJ122" s="68"/>
      <c r="GK122" s="68"/>
    </row>
    <row r="123" spans="192:193" x14ac:dyDescent="0.25">
      <c r="GJ123" s="68"/>
      <c r="GK123" s="68"/>
    </row>
    <row r="124" spans="192:193" x14ac:dyDescent="0.25">
      <c r="GJ124" s="68"/>
      <c r="GK124" s="68"/>
    </row>
    <row r="125" spans="192:193" x14ac:dyDescent="0.25">
      <c r="GJ125" s="68"/>
      <c r="GK125" s="68"/>
    </row>
    <row r="126" spans="192:193" x14ac:dyDescent="0.25">
      <c r="GJ126" s="68"/>
      <c r="GK126" s="68"/>
    </row>
    <row r="127" spans="192:193" x14ac:dyDescent="0.25">
      <c r="GJ127" s="68"/>
      <c r="GK127" s="68"/>
    </row>
    <row r="128" spans="192:193" x14ac:dyDescent="0.25">
      <c r="GJ128" s="68"/>
      <c r="GK128" s="68"/>
    </row>
    <row r="129" spans="192:193" x14ac:dyDescent="0.25">
      <c r="GJ129" s="68"/>
      <c r="GK129" s="68"/>
    </row>
    <row r="130" spans="192:193" x14ac:dyDescent="0.25">
      <c r="GJ130" s="68"/>
      <c r="GK130" s="68"/>
    </row>
    <row r="131" spans="192:193" x14ac:dyDescent="0.25">
      <c r="GJ131" s="68"/>
      <c r="GK131" s="68"/>
    </row>
    <row r="132" spans="192:193" x14ac:dyDescent="0.25">
      <c r="GJ132" s="68"/>
      <c r="GK132" s="68"/>
    </row>
    <row r="133" spans="192:193" x14ac:dyDescent="0.25">
      <c r="GJ133" s="68"/>
      <c r="GK133" s="68"/>
    </row>
    <row r="134" spans="192:193" x14ac:dyDescent="0.25">
      <c r="GJ134" s="68"/>
      <c r="GK134" s="68"/>
    </row>
    <row r="135" spans="192:193" x14ac:dyDescent="0.25">
      <c r="GJ135" s="68"/>
      <c r="GK135" s="68"/>
    </row>
    <row r="136" spans="192:193" x14ac:dyDescent="0.25">
      <c r="GJ136" s="68"/>
      <c r="GK136" s="68"/>
    </row>
    <row r="137" spans="192:193" x14ac:dyDescent="0.25">
      <c r="GJ137" s="68"/>
      <c r="GK137" s="68"/>
    </row>
    <row r="138" spans="192:193" x14ac:dyDescent="0.25">
      <c r="GJ138" s="68"/>
      <c r="GK138" s="68"/>
    </row>
    <row r="139" spans="192:193" x14ac:dyDescent="0.25">
      <c r="GJ139" s="68"/>
      <c r="GK139" s="68"/>
    </row>
    <row r="140" spans="192:193" x14ac:dyDescent="0.25">
      <c r="GJ140" s="68"/>
      <c r="GK140" s="68"/>
    </row>
    <row r="141" spans="192:193" x14ac:dyDescent="0.25">
      <c r="GJ141" s="68"/>
      <c r="GK141" s="68"/>
    </row>
    <row r="142" spans="192:193" x14ac:dyDescent="0.25">
      <c r="GJ142" s="68"/>
      <c r="GK142" s="68"/>
    </row>
    <row r="143" spans="192:193" x14ac:dyDescent="0.25">
      <c r="GJ143" s="68"/>
      <c r="GK143" s="68"/>
    </row>
    <row r="144" spans="192:193" x14ac:dyDescent="0.25">
      <c r="GJ144" s="68"/>
      <c r="GK144" s="68"/>
    </row>
    <row r="145" spans="192:193" x14ac:dyDescent="0.25">
      <c r="GJ145" s="68"/>
      <c r="GK145" s="68"/>
    </row>
    <row r="146" spans="192:193" x14ac:dyDescent="0.25">
      <c r="GJ146" s="68"/>
      <c r="GK146" s="68"/>
    </row>
    <row r="147" spans="192:193" x14ac:dyDescent="0.25">
      <c r="GJ147" s="68"/>
      <c r="GK147" s="68"/>
    </row>
    <row r="148" spans="192:193" x14ac:dyDescent="0.25">
      <c r="GJ148" s="68"/>
      <c r="GK148" s="68"/>
    </row>
    <row r="149" spans="192:193" x14ac:dyDescent="0.25">
      <c r="GJ149" s="68"/>
      <c r="GK149" s="68"/>
    </row>
    <row r="150" spans="192:193" x14ac:dyDescent="0.25">
      <c r="GJ150" s="68"/>
      <c r="GK150" s="68"/>
    </row>
    <row r="151" spans="192:193" x14ac:dyDescent="0.25">
      <c r="GJ151" s="68"/>
      <c r="GK151" s="68"/>
    </row>
    <row r="152" spans="192:193" x14ac:dyDescent="0.25">
      <c r="GJ152" s="68"/>
      <c r="GK152" s="68"/>
    </row>
    <row r="153" spans="192:193" x14ac:dyDescent="0.25">
      <c r="GJ153" s="68"/>
      <c r="GK153" s="68"/>
    </row>
    <row r="154" spans="192:193" x14ac:dyDescent="0.25">
      <c r="GJ154" s="68"/>
      <c r="GK154" s="68"/>
    </row>
    <row r="155" spans="192:193" x14ac:dyDescent="0.25">
      <c r="GJ155" s="68"/>
      <c r="GK155" s="68"/>
    </row>
    <row r="156" spans="192:193" x14ac:dyDescent="0.25">
      <c r="GJ156" s="68"/>
      <c r="GK156" s="68"/>
    </row>
    <row r="157" spans="192:193" x14ac:dyDescent="0.25">
      <c r="GJ157" s="68"/>
      <c r="GK157" s="68"/>
    </row>
    <row r="158" spans="192:193" x14ac:dyDescent="0.25">
      <c r="GJ158" s="68"/>
      <c r="GK158" s="68"/>
    </row>
    <row r="159" spans="192:193" x14ac:dyDescent="0.25">
      <c r="GJ159" s="68"/>
      <c r="GK159" s="68"/>
    </row>
    <row r="160" spans="192:193" x14ac:dyDescent="0.25">
      <c r="GJ160" s="68"/>
      <c r="GK160" s="68"/>
    </row>
    <row r="161" spans="192:193" x14ac:dyDescent="0.25">
      <c r="GJ161" s="68"/>
      <c r="GK161" s="68"/>
    </row>
    <row r="162" spans="192:193" x14ac:dyDescent="0.25">
      <c r="GJ162" s="68"/>
      <c r="GK162" s="68"/>
    </row>
    <row r="163" spans="192:193" x14ac:dyDescent="0.25">
      <c r="GJ163" s="68"/>
      <c r="GK163" s="68"/>
    </row>
    <row r="164" spans="192:193" x14ac:dyDescent="0.25">
      <c r="GJ164" s="68"/>
      <c r="GK164" s="68"/>
    </row>
    <row r="165" spans="192:193" x14ac:dyDescent="0.25">
      <c r="GJ165" s="68"/>
      <c r="GK165" s="68"/>
    </row>
    <row r="166" spans="192:193" x14ac:dyDescent="0.25">
      <c r="GJ166" s="68"/>
      <c r="GK166" s="68"/>
    </row>
    <row r="167" spans="192:193" x14ac:dyDescent="0.25">
      <c r="GJ167" s="68"/>
      <c r="GK167" s="68"/>
    </row>
    <row r="168" spans="192:193" x14ac:dyDescent="0.25">
      <c r="GJ168" s="68"/>
      <c r="GK168" s="68"/>
    </row>
    <row r="169" spans="192:193" x14ac:dyDescent="0.25">
      <c r="GJ169" s="68"/>
      <c r="GK169" s="68"/>
    </row>
    <row r="170" spans="192:193" x14ac:dyDescent="0.25">
      <c r="GJ170" s="68"/>
      <c r="GK170" s="68"/>
    </row>
    <row r="171" spans="192:193" x14ac:dyDescent="0.25">
      <c r="GJ171" s="68"/>
      <c r="GK171" s="68"/>
    </row>
    <row r="172" spans="192:193" x14ac:dyDescent="0.25">
      <c r="GJ172" s="68"/>
      <c r="GK172" s="68"/>
    </row>
    <row r="173" spans="192:193" x14ac:dyDescent="0.25">
      <c r="GJ173" s="68"/>
      <c r="GK173" s="68"/>
    </row>
    <row r="174" spans="192:193" x14ac:dyDescent="0.25">
      <c r="GJ174" s="68"/>
      <c r="GK174" s="68"/>
    </row>
    <row r="175" spans="192:193" x14ac:dyDescent="0.25">
      <c r="GJ175" s="68"/>
      <c r="GK175" s="68"/>
    </row>
    <row r="176" spans="192:193" x14ac:dyDescent="0.25">
      <c r="GJ176" s="68"/>
      <c r="GK176" s="68"/>
    </row>
    <row r="177" spans="192:193" x14ac:dyDescent="0.25">
      <c r="GJ177" s="68"/>
      <c r="GK177" s="68"/>
    </row>
    <row r="178" spans="192:193" x14ac:dyDescent="0.25">
      <c r="GJ178" s="68"/>
      <c r="GK178" s="68"/>
    </row>
    <row r="179" spans="192:193" x14ac:dyDescent="0.25">
      <c r="GJ179" s="68"/>
      <c r="GK179" s="68"/>
    </row>
    <row r="180" spans="192:193" x14ac:dyDescent="0.25">
      <c r="GJ180" s="68"/>
      <c r="GK180" s="68"/>
    </row>
    <row r="181" spans="192:193" x14ac:dyDescent="0.25">
      <c r="GJ181" s="68"/>
      <c r="GK181" s="68"/>
    </row>
    <row r="182" spans="192:193" x14ac:dyDescent="0.25">
      <c r="GJ182" s="68"/>
      <c r="GK182" s="68"/>
    </row>
    <row r="183" spans="192:193" x14ac:dyDescent="0.25">
      <c r="GJ183" s="68"/>
      <c r="GK183" s="68"/>
    </row>
    <row r="184" spans="192:193" x14ac:dyDescent="0.25">
      <c r="GJ184" s="68"/>
      <c r="GK184" s="68"/>
    </row>
    <row r="185" spans="192:193" x14ac:dyDescent="0.25">
      <c r="GJ185" s="68"/>
      <c r="GK185" s="68"/>
    </row>
    <row r="186" spans="192:193" x14ac:dyDescent="0.25">
      <c r="GJ186" s="68"/>
      <c r="GK186" s="68"/>
    </row>
    <row r="187" spans="192:193" x14ac:dyDescent="0.25">
      <c r="GJ187" s="68"/>
      <c r="GK187" s="68"/>
    </row>
    <row r="188" spans="192:193" x14ac:dyDescent="0.25">
      <c r="GJ188" s="68"/>
      <c r="GK188" s="68"/>
    </row>
    <row r="189" spans="192:193" x14ac:dyDescent="0.25">
      <c r="GJ189" s="68"/>
      <c r="GK189" s="68"/>
    </row>
  </sheetData>
  <mergeCells count="439">
    <mergeCell ref="XV1:XW1"/>
    <mergeCell ref="UZ1:VA1"/>
    <mergeCell ref="VD1:VE1"/>
    <mergeCell ref="TV1:TW1"/>
    <mergeCell ref="UP1:UQ1"/>
    <mergeCell ref="UV1:UW1"/>
    <mergeCell ref="TR1:TS1"/>
    <mergeCell ref="UF1:UG1"/>
    <mergeCell ref="XR1:XS1"/>
    <mergeCell ref="XJ1:XK1"/>
    <mergeCell ref="XL1:XM1"/>
    <mergeCell ref="XN1:XO1"/>
    <mergeCell ref="XF1:XG1"/>
    <mergeCell ref="XB1:XC1"/>
    <mergeCell ref="WX1:WY1"/>
    <mergeCell ref="WR1:WS1"/>
    <mergeCell ref="WN1:WO1"/>
    <mergeCell ref="QZ1:RA1"/>
    <mergeCell ref="QV1:QW1"/>
    <mergeCell ref="QT1:QU1"/>
    <mergeCell ref="WJ1:WK1"/>
    <mergeCell ref="WF1:WG1"/>
    <mergeCell ref="WB1:WC1"/>
    <mergeCell ref="VX1:VY1"/>
    <mergeCell ref="VT1:VU1"/>
    <mergeCell ref="VP1:VQ1"/>
    <mergeCell ref="VL1:VM1"/>
    <mergeCell ref="TP1:TQ1"/>
    <mergeCell ref="UB1:UC1"/>
    <mergeCell ref="UN1:UO1"/>
    <mergeCell ref="UJ1:UK1"/>
    <mergeCell ref="TL1:TM1"/>
    <mergeCell ref="UL1:UM1"/>
    <mergeCell ref="VF1:VG1"/>
    <mergeCell ref="VB1:VC1"/>
    <mergeCell ref="UX1:UY1"/>
    <mergeCell ref="UR1:US1"/>
    <mergeCell ref="UT1:UU1"/>
    <mergeCell ref="UH1:UI1"/>
    <mergeCell ref="UD1:UE1"/>
    <mergeCell ref="TZ1:UA1"/>
    <mergeCell ref="RX1:RY1"/>
    <mergeCell ref="RT1:RU1"/>
    <mergeCell ref="RR1:RS1"/>
    <mergeCell ref="SD1:SE1"/>
    <mergeCell ref="RJ1:RK1"/>
    <mergeCell ref="SN1:SO1"/>
    <mergeCell ref="SL1:SM1"/>
    <mergeCell ref="SH1:SI1"/>
    <mergeCell ref="SF1:SG1"/>
    <mergeCell ref="DR1:DS1"/>
    <mergeCell ref="DP1:DQ1"/>
    <mergeCell ref="EV1:EW1"/>
    <mergeCell ref="DJ1:DK1"/>
    <mergeCell ref="EH1:EI1"/>
    <mergeCell ref="DD1:DE1"/>
    <mergeCell ref="CX1:CY1"/>
    <mergeCell ref="PB1:PC1"/>
    <mergeCell ref="QF1:QG1"/>
    <mergeCell ref="QD1:QE1"/>
    <mergeCell ref="QB1:QC1"/>
    <mergeCell ref="OZ1:PA1"/>
    <mergeCell ref="PX1:PY1"/>
    <mergeCell ref="OV1:OW1"/>
    <mergeCell ref="PP1:PQ1"/>
    <mergeCell ref="PL1:PM1"/>
    <mergeCell ref="PJ1:PK1"/>
    <mergeCell ref="PF1:PG1"/>
    <mergeCell ref="OX1:OY1"/>
    <mergeCell ref="PR1:PS1"/>
    <mergeCell ref="PD1:PE1"/>
    <mergeCell ref="PN1:PO1"/>
    <mergeCell ref="PH1:PI1"/>
    <mergeCell ref="IR1:IS1"/>
    <mergeCell ref="AT1:AU1"/>
    <mergeCell ref="AR1:AS1"/>
    <mergeCell ref="D10:E10"/>
    <mergeCell ref="G3:G6"/>
    <mergeCell ref="AL1:AM1"/>
    <mergeCell ref="FR1:FS1"/>
    <mergeCell ref="GL1:GM1"/>
    <mergeCell ref="EP1:EQ1"/>
    <mergeCell ref="EL1:EM1"/>
    <mergeCell ref="DV1:DW1"/>
    <mergeCell ref="EJ1:EK1"/>
    <mergeCell ref="EN1:EO1"/>
    <mergeCell ref="EB1:EC1"/>
    <mergeCell ref="GH1:GI1"/>
    <mergeCell ref="EZ1:FA1"/>
    <mergeCell ref="DF1:DG1"/>
    <mergeCell ref="CZ1:DA1"/>
    <mergeCell ref="DH1:DI1"/>
    <mergeCell ref="DL1:DM1"/>
    <mergeCell ref="CV1:CW1"/>
    <mergeCell ref="DN1:DO1"/>
    <mergeCell ref="ET1:EU1"/>
    <mergeCell ref="ER1:ES1"/>
    <mergeCell ref="EX1:EY1"/>
    <mergeCell ref="H1:I1"/>
    <mergeCell ref="P1:Q1"/>
    <mergeCell ref="V1:W1"/>
    <mergeCell ref="G11:G14"/>
    <mergeCell ref="AJ1:AK1"/>
    <mergeCell ref="AB1:AC1"/>
    <mergeCell ref="J1:K1"/>
    <mergeCell ref="L1:M1"/>
    <mergeCell ref="AD1:AE1"/>
    <mergeCell ref="N1:O1"/>
    <mergeCell ref="Z1:AA1"/>
    <mergeCell ref="R1:S1"/>
    <mergeCell ref="CR1:CS1"/>
    <mergeCell ref="AZ1:BA1"/>
    <mergeCell ref="AX1:AY1"/>
    <mergeCell ref="AV1:AW1"/>
    <mergeCell ref="BN1:BO1"/>
    <mergeCell ref="BZ1:CA1"/>
    <mergeCell ref="BX1:BY1"/>
    <mergeCell ref="CT1:CU1"/>
    <mergeCell ref="CB1:CC1"/>
    <mergeCell ref="CH1:CI1"/>
    <mergeCell ref="BV1:BW1"/>
    <mergeCell ref="BB1:BC1"/>
    <mergeCell ref="BT1:BU1"/>
    <mergeCell ref="BR1:BS1"/>
    <mergeCell ref="CJ1:CK1"/>
    <mergeCell ref="CL1:CM1"/>
    <mergeCell ref="BF1:BG1"/>
    <mergeCell ref="BJ1:BK1"/>
    <mergeCell ref="BH1:BI1"/>
    <mergeCell ref="BD1:BE1"/>
    <mergeCell ref="BP1:BQ1"/>
    <mergeCell ref="BL1:BM1"/>
    <mergeCell ref="FH1:FI1"/>
    <mergeCell ref="FJ1:FK1"/>
    <mergeCell ref="D28:E28"/>
    <mergeCell ref="D30:E30"/>
    <mergeCell ref="ID1:IE1"/>
    <mergeCell ref="IB1:IC1"/>
    <mergeCell ref="HR1:HS1"/>
    <mergeCell ref="FZ1:GA1"/>
    <mergeCell ref="GB1:GC1"/>
    <mergeCell ref="GD1:GE1"/>
    <mergeCell ref="ED1:EE1"/>
    <mergeCell ref="AH1:AI1"/>
    <mergeCell ref="D9:E9"/>
    <mergeCell ref="CF1:CG1"/>
    <mergeCell ref="CP1:CQ1"/>
    <mergeCell ref="AF1:AG1"/>
    <mergeCell ref="GV1:GW1"/>
    <mergeCell ref="D12:E12"/>
    <mergeCell ref="T1:U1"/>
    <mergeCell ref="G7:G10"/>
    <mergeCell ref="D6:E6"/>
    <mergeCell ref="D4:E4"/>
    <mergeCell ref="D3:E3"/>
    <mergeCell ref="X1:Y1"/>
    <mergeCell ref="F104:G105"/>
    <mergeCell ref="HT1:HU1"/>
    <mergeCell ref="HJ1:HK1"/>
    <mergeCell ref="DB1:DC1"/>
    <mergeCell ref="F98:G99"/>
    <mergeCell ref="F101:G102"/>
    <mergeCell ref="G23:G27"/>
    <mergeCell ref="FT1:FU1"/>
    <mergeCell ref="FV1:FW1"/>
    <mergeCell ref="GF1:GG1"/>
    <mergeCell ref="DT1:DU1"/>
    <mergeCell ref="DZ1:EA1"/>
    <mergeCell ref="DX1:DY1"/>
    <mergeCell ref="EF1:EG1"/>
    <mergeCell ref="FD1:FE1"/>
    <mergeCell ref="FF1:FG1"/>
    <mergeCell ref="FN1:FO1"/>
    <mergeCell ref="FL1:FM1"/>
    <mergeCell ref="CN1:CO1"/>
    <mergeCell ref="G15:G18"/>
    <mergeCell ref="FB1:FC1"/>
    <mergeCell ref="CD1:CE1"/>
    <mergeCell ref="AN1:AO1"/>
    <mergeCell ref="AP1:AQ1"/>
    <mergeCell ref="C104:C105"/>
    <mergeCell ref="D104:E105"/>
    <mergeCell ref="D44:E44"/>
    <mergeCell ref="D37:E37"/>
    <mergeCell ref="D43:E43"/>
    <mergeCell ref="D34:E34"/>
    <mergeCell ref="D41:E41"/>
    <mergeCell ref="D42:E42"/>
    <mergeCell ref="D46:E46"/>
    <mergeCell ref="D38:E38"/>
    <mergeCell ref="D40:E40"/>
    <mergeCell ref="D39:E39"/>
    <mergeCell ref="C98:C99"/>
    <mergeCell ref="D98:E99"/>
    <mergeCell ref="C101:C102"/>
    <mergeCell ref="D35:E35"/>
    <mergeCell ref="D36:E36"/>
    <mergeCell ref="D69:E69"/>
    <mergeCell ref="D68:E68"/>
    <mergeCell ref="D101:E102"/>
    <mergeCell ref="C69:C80"/>
    <mergeCell ref="D63:E63"/>
    <mergeCell ref="C48:C58"/>
    <mergeCell ref="D54:E56"/>
    <mergeCell ref="G19:G22"/>
    <mergeCell ref="D20:E20"/>
    <mergeCell ref="G28:G32"/>
    <mergeCell ref="G33:G37"/>
    <mergeCell ref="D25:E25"/>
    <mergeCell ref="D19:E19"/>
    <mergeCell ref="D27:E27"/>
    <mergeCell ref="D26:E26"/>
    <mergeCell ref="D94:E95"/>
    <mergeCell ref="D66:E66"/>
    <mergeCell ref="D67:E67"/>
    <mergeCell ref="G38:G42"/>
    <mergeCell ref="G43:G47"/>
    <mergeCell ref="D45:E45"/>
    <mergeCell ref="D59:E59"/>
    <mergeCell ref="D88:E88"/>
    <mergeCell ref="D50:E51"/>
    <mergeCell ref="D62:E62"/>
    <mergeCell ref="D61:E61"/>
    <mergeCell ref="D64:E64"/>
    <mergeCell ref="D60:E60"/>
    <mergeCell ref="D58:E58"/>
    <mergeCell ref="D76:E77"/>
    <mergeCell ref="D78:E80"/>
    <mergeCell ref="D48:E49"/>
    <mergeCell ref="D13:E13"/>
    <mergeCell ref="D11:E11"/>
    <mergeCell ref="D91:E91"/>
    <mergeCell ref="D86:E86"/>
    <mergeCell ref="D65:E65"/>
    <mergeCell ref="D85:E85"/>
    <mergeCell ref="D74:E75"/>
    <mergeCell ref="D83:E83"/>
    <mergeCell ref="D72:E73"/>
    <mergeCell ref="D82:E82"/>
    <mergeCell ref="D89:E89"/>
    <mergeCell ref="D70:E71"/>
    <mergeCell ref="D81:E81"/>
    <mergeCell ref="D84:E84"/>
    <mergeCell ref="D90:E90"/>
    <mergeCell ref="D52:E53"/>
    <mergeCell ref="D57:E57"/>
    <mergeCell ref="D14:E14"/>
    <mergeCell ref="D24:E24"/>
    <mergeCell ref="D87:E87"/>
    <mergeCell ref="D47:E47"/>
    <mergeCell ref="D22:E22"/>
    <mergeCell ref="D23:E23"/>
    <mergeCell ref="C59:C68"/>
    <mergeCell ref="C81:C90"/>
    <mergeCell ref="B23:B47"/>
    <mergeCell ref="C28:C32"/>
    <mergeCell ref="C11:C14"/>
    <mergeCell ref="C33:C37"/>
    <mergeCell ref="C38:C42"/>
    <mergeCell ref="C43:C47"/>
    <mergeCell ref="C19:C22"/>
    <mergeCell ref="B48:B96"/>
    <mergeCell ref="B3:B22"/>
    <mergeCell ref="C91:C96"/>
    <mergeCell ref="D33:E33"/>
    <mergeCell ref="C7:C10"/>
    <mergeCell ref="D7:E7"/>
    <mergeCell ref="D8:E8"/>
    <mergeCell ref="C15:C18"/>
    <mergeCell ref="D15:E15"/>
    <mergeCell ref="C3:C6"/>
    <mergeCell ref="D16:E16"/>
    <mergeCell ref="D5:E5"/>
    <mergeCell ref="D21:E21"/>
    <mergeCell ref="C23:C27"/>
    <mergeCell ref="D31:E31"/>
    <mergeCell ref="D32:E32"/>
    <mergeCell ref="D18:E18"/>
    <mergeCell ref="D17:E17"/>
    <mergeCell ref="D29:E29"/>
    <mergeCell ref="FP1:FQ1"/>
    <mergeCell ref="HD1:HE1"/>
    <mergeCell ref="HB1:HC1"/>
    <mergeCell ref="GX1:GY1"/>
    <mergeCell ref="GT1:GU1"/>
    <mergeCell ref="GR1:GS1"/>
    <mergeCell ref="GP1:GQ1"/>
    <mergeCell ref="GN1:GO1"/>
    <mergeCell ref="HZ1:IA1"/>
    <mergeCell ref="HH1:HI1"/>
    <mergeCell ref="HV1:HW1"/>
    <mergeCell ref="HF1:HG1"/>
    <mergeCell ref="HP1:HQ1"/>
    <mergeCell ref="HN1:HO1"/>
    <mergeCell ref="GZ1:HA1"/>
    <mergeCell ref="KX1:KY1"/>
    <mergeCell ref="KT1:KU1"/>
    <mergeCell ref="KR1:KS1"/>
    <mergeCell ref="KP1:KQ1"/>
    <mergeCell ref="LR1:LS1"/>
    <mergeCell ref="HL1:HM1"/>
    <mergeCell ref="GJ1:GK1"/>
    <mergeCell ref="FX1:FY1"/>
    <mergeCell ref="IN1:IO1"/>
    <mergeCell ref="IP1:IQ1"/>
    <mergeCell ref="IH1:II1"/>
    <mergeCell ref="IF1:IG1"/>
    <mergeCell ref="HX1:HY1"/>
    <mergeCell ref="IV1:IW1"/>
    <mergeCell ref="JH1:JI1"/>
    <mergeCell ref="IX1:IY1"/>
    <mergeCell ref="JB1:JC1"/>
    <mergeCell ref="IT1:IU1"/>
    <mergeCell ref="LZ1:MA1"/>
    <mergeCell ref="KL1:KM1"/>
    <mergeCell ref="LN1:LO1"/>
    <mergeCell ref="LD1:LE1"/>
    <mergeCell ref="LB1:LC1"/>
    <mergeCell ref="KH1:KI1"/>
    <mergeCell ref="KD1:KE1"/>
    <mergeCell ref="JZ1:KA1"/>
    <mergeCell ref="KJ1:KK1"/>
    <mergeCell ref="LX1:LY1"/>
    <mergeCell ref="LT1:LU1"/>
    <mergeCell ref="LP1:LQ1"/>
    <mergeCell ref="LL1:LM1"/>
    <mergeCell ref="LJ1:LK1"/>
    <mergeCell ref="LH1:LI1"/>
    <mergeCell ref="LF1:LG1"/>
    <mergeCell ref="KN1:KO1"/>
    <mergeCell ref="KV1:KW1"/>
    <mergeCell ref="LV1:LW1"/>
    <mergeCell ref="KB1:KC1"/>
    <mergeCell ref="KF1:KG1"/>
    <mergeCell ref="JT1:JU1"/>
    <mergeCell ref="IZ1:JA1"/>
    <mergeCell ref="JD1:JE1"/>
    <mergeCell ref="JF1:JG1"/>
    <mergeCell ref="JR1:JS1"/>
    <mergeCell ref="JL1:JM1"/>
    <mergeCell ref="JN1:JO1"/>
    <mergeCell ref="JJ1:JK1"/>
    <mergeCell ref="JP1:JQ1"/>
    <mergeCell ref="D96:E96"/>
    <mergeCell ref="D92:E92"/>
    <mergeCell ref="NR1:NS1"/>
    <mergeCell ref="NN1:NO1"/>
    <mergeCell ref="NH1:NI1"/>
    <mergeCell ref="NJ1:NK1"/>
    <mergeCell ref="NF1:NG1"/>
    <mergeCell ref="OB1:OC1"/>
    <mergeCell ref="NB1:NC1"/>
    <mergeCell ref="MV1:MW1"/>
    <mergeCell ref="MP1:MQ1"/>
    <mergeCell ref="ML1:MM1"/>
    <mergeCell ref="MH1:MI1"/>
    <mergeCell ref="MD1:ME1"/>
    <mergeCell ref="MT1:MU1"/>
    <mergeCell ref="MF1:MG1"/>
    <mergeCell ref="MJ1:MK1"/>
    <mergeCell ref="NX1:NY1"/>
    <mergeCell ref="MN1:MO1"/>
    <mergeCell ref="KZ1:LA1"/>
    <mergeCell ref="IJ1:IK1"/>
    <mergeCell ref="IL1:IM1"/>
    <mergeCell ref="JX1:JY1"/>
    <mergeCell ref="JV1:JW1"/>
    <mergeCell ref="TN1:TO1"/>
    <mergeCell ref="TJ1:TK1"/>
    <mergeCell ref="PV1:PW1"/>
    <mergeCell ref="QJ1:QK1"/>
    <mergeCell ref="RH1:RI1"/>
    <mergeCell ref="OP1:OQ1"/>
    <mergeCell ref="OL1:OM1"/>
    <mergeCell ref="OH1:OI1"/>
    <mergeCell ref="OD1:OE1"/>
    <mergeCell ref="OJ1:OK1"/>
    <mergeCell ref="ON1:OO1"/>
    <mergeCell ref="OF1:OG1"/>
    <mergeCell ref="TD1:TE1"/>
    <mergeCell ref="TF1:TG1"/>
    <mergeCell ref="QH1:QI1"/>
    <mergeCell ref="TH1:TI1"/>
    <mergeCell ref="SV1:SW1"/>
    <mergeCell ref="TB1:TC1"/>
    <mergeCell ref="SZ1:TA1"/>
    <mergeCell ref="SX1:SY1"/>
    <mergeCell ref="ST1:SU1"/>
    <mergeCell ref="QP1:QQ1"/>
    <mergeCell ref="QN1:QO1"/>
    <mergeCell ref="QL1:QM1"/>
    <mergeCell ref="D93:E93"/>
    <mergeCell ref="VZ1:WA1"/>
    <mergeCell ref="VV1:VW1"/>
    <mergeCell ref="VR1:VS1"/>
    <mergeCell ref="VN1:VO1"/>
    <mergeCell ref="VJ1:VK1"/>
    <mergeCell ref="VH1:VI1"/>
    <mergeCell ref="SR1:SS1"/>
    <mergeCell ref="OT1:OU1"/>
    <mergeCell ref="RB1:RC1"/>
    <mergeCell ref="SP1:SQ1"/>
    <mergeCell ref="SJ1:SK1"/>
    <mergeCell ref="SB1:SC1"/>
    <mergeCell ref="RV1:RW1"/>
    <mergeCell ref="RN1:RO1"/>
    <mergeCell ref="RL1:RM1"/>
    <mergeCell ref="MZ1:NA1"/>
    <mergeCell ref="ND1:NE1"/>
    <mergeCell ref="MB1:MC1"/>
    <mergeCell ref="NZ1:OA1"/>
    <mergeCell ref="MX1:MY1"/>
    <mergeCell ref="NT1:NU1"/>
    <mergeCell ref="NP1:NQ1"/>
    <mergeCell ref="NL1:NM1"/>
    <mergeCell ref="MR1:MS1"/>
    <mergeCell ref="XD1:XE1"/>
    <mergeCell ref="WZ1:XA1"/>
    <mergeCell ref="WT1:WU1"/>
    <mergeCell ref="XT1:XU1"/>
    <mergeCell ref="QR1:QS1"/>
    <mergeCell ref="RP1:RQ1"/>
    <mergeCell ref="RZ1:SA1"/>
    <mergeCell ref="QX1:QY1"/>
    <mergeCell ref="XP1:XQ1"/>
    <mergeCell ref="XH1:XI1"/>
    <mergeCell ref="NV1:NW1"/>
    <mergeCell ref="WV1:WW1"/>
    <mergeCell ref="WP1:WQ1"/>
    <mergeCell ref="WL1:WM1"/>
    <mergeCell ref="WH1:WI1"/>
    <mergeCell ref="WD1:WE1"/>
    <mergeCell ref="OR1:OS1"/>
    <mergeCell ref="PT1:PU1"/>
    <mergeCell ref="RD1:RE1"/>
    <mergeCell ref="RF1:RG1"/>
    <mergeCell ref="TX1:TY1"/>
    <mergeCell ref="TT1:TU1"/>
    <mergeCell ref="PZ1:QA1"/>
  </mergeCells>
  <conditionalFormatting sqref="H11 J11 L11 N11 P11 R11 T11 V11 X11 Z11 AB11 AD11 AF11 AH11 AJ11 AL11 AN11 AP11 AR11 AT11 AV11 AX11 AZ11 BB11 BD11 BF11 BH11 BJ11 BL11 BN11 BP11 BR11 BT11 BV11 BX11 BZ11 CB11 CD11 CF11 CH11 CJ11 CL11 CN11 CP11 CR11 CT11 CV11 CX11 CZ11 DB11 DD11 DF11 DH11 DJ11 DL11 DN11 DP11 DR11 DT11 DV11 DX11 DZ11 EB11 ED11 EF11 EH11 EJ11 EL11 EN11 EP11 ER11 ET11 EV11 EX11 EZ11 H19 J19 L19 N19 P19 R19 T19 V19 X19 Z19 AB19 AD19 AF19 AH19 AJ19 AL19 AN19 AP19 AR19 AT19 AV19 AX19 AZ19 BB19 BD19 BF19 BH19 BJ19 BL19 BN19 BP19 BR19 BT19 BV19 BX19 BZ19 CB19 CD19 CF19 CH19 CJ19 CL19 CN19 CP19 CR19 CT19 CV19 CX19 CZ19 DB19 DD19 DF19 DH19 DJ19 DL19 DN19 DP19 DR19 DT19 DV19 DX19 DZ19 EB19 ED19 EF19 EH19 EJ19 EL19 EN19 EP19 ER19 ET19 EV19 EX19 EZ19 H3 J3 L3 N3 P3 R3 T3 V3 X3 Z3 AB3 AD3 AF3 AH3 AJ3 AL3 AN3 AP3 AR3 AT3 AV3 AX3 AZ3 BB3 BD3 BF3 BH3 BJ3 BL3 BN3 BP3 BR3 BT3 BV3 BX3 BZ3 CB3 CD3 CF3 CH3 CJ3 CL3 CN3 CP3 CR3 CT3 CV3 CX3 CZ3 DB3 DD3 DF3 DH3 DJ3 DL3 DN3 DP3 DR3 DT3 DV3 DX3 DZ3 EB3 ED3 EF3 EH3 EJ3 EL3 EN3 EP3 ER3 ET3 EV3 EX3 EZ3 BF24:BF26 BH24:BH26 BJ24:BJ26 BL24:BL26 BN24:BN26 BP24:BP26 BR24:BR26 BT24:BT26 BV24:BV26 BX24:BX26 BZ24:BZ26 CH24:CH26 CB24:CB26 CD24:CD26 CF24:CF26 CV24:CV26 CJ24:CJ26 CR24:CR26 CL24:CL26 CT24:CT26 CN24:CN26 CP24:CP26 CX24:CX26 CZ24:CZ26 DH24:DH26 DB24:DB26 DD24:DD26 DF24:DF26 DJ24:DJ26 DL24:DL26 DN24:DN26 DP24:DP26 EF24:EF26 DR24:DR26 EH24:EH26 DT24:DT26 EJ24:EJ26 DV24:DV26 EL24:EL26 DX24:DX26 EN24:EN26 DZ24:DZ26 EP24:EP26 EB24:EB26 ER24:ER26 ED24:ED26 ET24:ET26 EV24:EV26 EX24:EX26 H24:H32 J24:J32 L24:L32 AD24:AD32 N24:N32 AF24:AF32 P24:P32 AH24:AH32 R24:R32 AJ24:AJ32 T24:T32 AL24:AL32 V24:V32 X24:X32 Z24:Z32 AB24:AB32 AT24:AT32 AN24:AN32 AP24:AP32 AR24:AR32 BH31:BH32 BH29 AV24:AV32 AX24:AX32 BF31:BF32 BF29 AZ24:AZ32 BB24:BB32 BD24:BD32 BJ31:BJ32 BJ29 BL31:BL32 BL29 BN31:BN32 BN29 BP31:BP32 BP29 BR31:BR32 BR29 BT31:BT32 BT29 CB31:CB32 CB29 BV31:BV32 BV29 BX31:BX32 BX29 BZ31:BZ32 BZ29 CT31:CT32 CT29 CD31:CD32 CD29 CF31:CF32 CF29 CH31:CH32 CH29 CJ31:CJ32 CJ29 CL31:CL32 CL29 CN31:CN32 CN29 CP31:CP32 CP29 CR31:CR32 CR29 CV31:CV32 CV29 CX31:CX32 CX29 CZ31:CZ32 CZ29 DB31:DB32 DB29 DD31:DD32 DD29 DF31:DF32 DF29 DH31:DH32 DH29 DJ31:DJ32 DJ29 DL31:DL32 DL29 DN31:DN32 DN29 DP31:DP32 DP29 DR31:DR32 DR29 DT31:DT32 DT29 DV31:DV32 DV29 DX31:DX32 DX29 DZ31:DZ32 DZ29 EB31:EB32 EB29 ED31:ED32 ED29 EF31:EF32 EF29 EH31:EH32 EH29 EJ31:EJ32 EJ29 EL31:EL32 EL29 EN31:EN32 EN29 EP31:EP32 EP29 ER31:ER32 ER29 EZ24:EZ32 ET34:ET36 EV34:EV36 EX34:EX36 H34:H42 J34:J42 L34:L42 N34:N42 P34:P42 R34:R42 T34:T42 V34:V42 X34:X42 Z34:Z42 AB34:AB42 AD34:AD42 AF34:AF42 AH34:AH42 AJ34:AJ42 AL34:AL42 AN34:AN42 AP34:AP42 AR34:AR42 AT34:AT42 AV34:AV42 AX34:AX42 AZ34:AZ42 BH34:BH42 BB34:BB42 BD34:BD42 BF34:BF42 BJ34:BJ42 BL34:BL42 BN34:BN42 BV34:BV42 BP34:BP42 BR34:BR42 CJ34:CJ42 BT34:BT42 CL34:CL42 BX34:BX42 BZ34:BZ42 CB34:CB42 CD34:CD42 CF34:CF42 CH34:CH42 CN34:CN42 CP34:CP42 CR34:CR42 CT34:CT42 CV34:CV42 CX34:CX42 CZ34:CZ42 DB34:DB42 DD34:DD42 DF34:DF42 DH34:DH42 DJ34:DJ42 DL34:DL42 DN34:DN42 DP34:DP42 DR34:DR42 DT34:DT42 DV34:DV42 DX34:DX42 DZ34:DZ42 EB34:EB42 ED34:ED42 EF34:EF42 EH34:EH42 EJ34:EJ42 EL34:EL42 EN34:EN42 EP34:EP42 ER34:ER42 EZ34:EZ42 ET39:ET41 EV39:EV41 EX39:EX41 EZ48:EZ62 FB48:FB62 FD48:FD62 FF48:FF62 FH48:FH62 FJ48:FJ62 FL48:FL62 FN48:FN62 FP48:FP62 FR48:FR62 FT48:FT62 FV48:FV62 FX48:FX62 FZ48:FZ62 GB48:GB62 GD48:GD62 GF48:GF62 GH48:GH62 GJ48:GJ62 GL48:GL62 GN48:GN62 GP48:GP62 GR48:GR62 GT48:GT62 GV48:GV62 GX48:GX62 GZ48:GZ62 HB48:HB62 HF48:HF62 HD48:HD62 HH48:HH62 ER48:ER63 ET48:ET62 EV48:EV62 EX48:EX62 BX59:BX67 BZ59:BZ67 CB59:CB67 CD59:CD67 CF59:CF67 CH59:CH67 CJ59:CJ67 CL59:CL67 CN59:CN67 CP59:CP67 CR59:CR67 CT59:CT67 CV59:CV67 CX59:CX67 CZ59:CZ67 DB59:DB67 DD59:DD67 DF59:DF67 DH59:DH67 DJ59:DJ67 DL59:DL67 DN59:DN67 DP59:DP67 DR59:DR67 DT59:DT67 DV59:DV67 DX59:DX67 DZ59:DZ67 EB59:EB67 ED59:ED67 EF59:EF67 EH59:EH67 EJ59:EJ67 EL59:EL67 EN59:EN67 EP59:EP67 FB66:FB68 FD66:FD68 FF66:FF68 FH66:FH68 FJ66:FJ68 FL66:FL68 FN66:FN68 FP66:FP68 FR66:FR68 FT66:FT68 FV66:FV68 FX66:FX68 FZ66:FZ68 GB66:GB68 GD66:GD68 GF66:GF68 GH66:GH68 GJ66:GJ68 GL66:GL68 GN66:GN68 GP66:GP68 GR66:GR68 GT66:GT68 GV66:GV68 GX66:GX68 GZ66:GZ68 HB66:HB68 HD66:HD68 HF66:HF68 HH66:HH68 HJ48:HJ68 HL48:HL68 HN48:HN68 HP48:HP68 HR48:HR68 HT48:HT68 HV48:HV68 HX48:HX68 HZ48:HZ68 IB48:IB68 ID48:ID68 IF48:IF68 IH48:IH68 IJ48:IJ68 IL48:IL68 IN48:IN68 IP50:IP68 IR50:IR68 IT50:IT68 IV50:IV68 IX50:IX68 IZ50:IZ68 JB50:JB68 JD50:JD68 JF50:JF68 JH50:JH68 JJ50:JJ68 JL50:JL68 JN50:JN68 JP50:JP68 JR50:JR68 JT50:JT68 JV50:JV68 JX50:JX68 JZ50:JZ68 KB50:KB68 KD50:KD68 KF50:KF68 KH50:KH68 KJ50:KJ68 KL50:KL68 KN50:KN68 KP50:KP68 KR50:KR68 KT50:KT68 KV50:KV68 KX50:KX68 KZ50:KZ68 LB50:LB68 LD50:LD68 LF50:LF68 LH50:LH68 LJ50:LJ68 LL50:LL68 LN50:LN68 LP50:LP68 LR50:LR68 LT50:LT68 LV50:LV68 LX50:LX68 LZ50:LZ68 MB50:MB68 MD50:MD68 MF50:MF68 MH50:MH68 MJ50:MJ68 ML50:ML68 MN50:MN68 MP50:MP68 MR50:MR68 MT50:MT68 MV50:MV68 MX50:MX68 MZ50:MZ68 NB50:NB68 ND50:ND68 NF50:NF68 NH50:NH68 NJ50:NJ68 NL50:NL68 NN50:NN68 NP50:NP68 NR50:NR68 NT50:NT68 NV50:NV68 NX50:NX68 NZ50:NZ68 OB50:OB68 OD50:OD68 OF50:OF68 OH50:OH68 OJ50:OJ68 OL50:OL68 ON50:ON68 OP50:OP68 OR50:OR68 OT50:OT68 OV50:OV68 OX50:OX68 OZ50:OZ68 PB50:PB68 PD50:PD68 PF50:PF68 PH50:PH68 PJ50:PJ68 PL50:PL68 PN50:PN68 PP50:PP68 PR50:PR68 PT50:PT68 PV50:PV68 PX50:PX68 PZ50:PZ68 QB50:QB68 QD50:QD68 QF50:QF68 QH50:QH68 QJ50:QJ68 QL50:QL68 QN50:QN68 QP50:QP68 QR50:QR68 QT50:QT68 QV50:QV68 QX50:QX68 QZ50:QZ68 RB50:RB68 RD50:RD68 RF50:RF68 RH50:RH68 RJ50:RJ68 RL50:RL68 RN50:RN68 RP50:RP68 RR50:RR68 RT50:RT68 RV50:RV68 RX50:RX68 RZ50:RZ68 SB50:SB68 SD50:SD68 SF50:SF68 SH50:SH68 SJ50:SJ68 SL50:SL68 SN50:SN68 SP50:SP68 SR50:SR68 ST50:ST68 SV50:SV68 IP80:IP90 ER66:ER96 ET66:ET96 EV66:EV96 EX66:EX96 EZ66:EZ96 FB80:FB96 FD80:FD96 FF80:FF96 FH80:FH96 FJ80:FJ96 FL80:FL96 FN80:FN96 FP80:FP96 FR80:FR96 FT80:FT96 FV80:FV96 FX80:FX96 FZ80:FZ96 GB80:GB96 GD80:GD96 GF80:GF96 GH80:GH96 GJ80:GJ96 GL80:GL96 GN80:GN96 GP80:GP96 GR80:GR96 GT80:GT96 GV80:GV96 GX80:GX96 GZ80:GZ96 HB80:HB96 HD80:HD96 HF80:HF96 HH80:HH96 HJ80:HJ96 HL80:HL96 HN80:HN96 HP80:HP96 HR80:HR96 HT80:HT96 HV80:HV96 HX80:HX96 HZ80:HZ96 IB80:IB96 ID80:ID96 IF80:IF96 IH80:IH96 IJ80:IJ96 IL80:IL96 IN80:IN96 IP96 IR80:IR96 IT80:IT96 IV80:IV96 IX80:IX96 IZ80:IZ96 JB80:JB96 JD80:JD96 JF80:JF96 JH80:JH96 JJ80:JJ96 JL80:JL96 JN80:JN96 JP80:JP96 JR80:JR96 JT80:JT96 JV80:JV96 JX80:JX96 JZ80:JZ96 KB80:KB96 KD80:KD96 KF80:KF96 KH80:KH96 KJ80:KJ96 KL80:KL96 KN80:KN96 KP80:KP96 KR80:KR96 KT80:KT96 KV80:KV96 KX80:KX96 KZ80:KZ96 LB80:LB96 LD80:LD96 LF80:LF96 LH80:LH96 LJ80:LJ96 LL80:LL96 LN80:LN96 LP80:LP96 LR80:LR96 LT80:LT96 LV80:LV96 LX80:LX96 LZ80:LZ96 MB80:MB96 MD80:MD96 MF80:MF96 MH80:MH96 MJ80:MJ96 ML80:ML96 MN80:MN96 MP80:MP96 MR80:MR96 MT80:MT96 MV80:MV96 MX80:MX96 MZ80:MZ96 NB80:NB96 ND80:ND96 NF80:NF96 NH80:NH96 NJ80:NJ96 NL80:NL96 NN80:NN96 NP80:NP96 NR80:NR96 NT80:NT96 NV80:NV96 NX80:NX96 NZ80:NZ96 OB80:OB96 OD80:OD96 OF80:OF96 OH80:OH96 OJ80:OJ96 OL80:OL96 ON80:ON96 OP80:OP96 OR80:OR96 OT80:OT96 OV80:OV96 OX80:OX96 OZ80:OZ96 PB80:PB96 PD80:PD96 PF80:PF96 PH80:PH96 PJ80:PJ96 PL80:PL96 PN80:PN96 PP80:PP96 PR80:PR96 PT80:PT96 PV80:PV96 PX80:PX96 PZ80:PZ96 QB80:QB96 QD80:QD96 QF80:QF96 QH80:QH96 QJ80:QJ96 QL80:QL96 QN80:QN96 QP80:QP96 QR80:QR96 QT80:QT96 QV80:QV96 QX80:QX96 QZ80:QZ96 RB80:RB96 RD80:RD96 RF80:RF96 RH80:RH96 RJ80:RJ96 RL80:RL96 RN80:RN96 RP80:RP96 RR80:RR96 RT80:RT96 RV80:RV96 RX80:RX96 RZ80:RZ96 SB80:SB96 SD80:SD96 SF80:SF96 SH80:SH96 SJ80:SJ96 SL80:SL96 SN80:SN96 SP80:SP96 SR80:SR96 ST80:ST96 SV80:SV96 SX91:SX96 SZ91:SZ96 TB91:TB96 TD91:TD96 TF91:TF96">
    <cfRule type="cellIs" dxfId="12959" priority="25996" operator="lessThan">
      <formula>0</formula>
    </cfRule>
    <cfRule type="cellIs" dxfId="12958" priority="25997" operator="greaterThan">
      <formula>0</formula>
    </cfRule>
  </conditionalFormatting>
  <conditionalFormatting sqref="H45:H46">
    <cfRule type="cellIs" dxfId="12957" priority="25968" operator="lessThan">
      <formula>0</formula>
    </cfRule>
    <cfRule type="cellIs" dxfId="12956" priority="25969" operator="greaterThan">
      <formula>0</formula>
    </cfRule>
  </conditionalFormatting>
  <conditionalFormatting sqref="N20:N22">
    <cfRule type="cellIs" dxfId="12955" priority="25814" operator="lessThan">
      <formula>0</formula>
    </cfRule>
    <cfRule type="cellIs" dxfId="12954" priority="25815" operator="greaterThan">
      <formula>0</formula>
    </cfRule>
  </conditionalFormatting>
  <conditionalFormatting sqref="H4:H5">
    <cfRule type="cellIs" dxfId="12953" priority="25944" operator="lessThan">
      <formula>0</formula>
    </cfRule>
    <cfRule type="cellIs" dxfId="12952" priority="25945" operator="greaterThan">
      <formula>0</formula>
    </cfRule>
  </conditionalFormatting>
  <conditionalFormatting sqref="H6 H8:H11">
    <cfRule type="cellIs" dxfId="12951" priority="25940" operator="lessThan">
      <formula>0</formula>
    </cfRule>
    <cfRule type="cellIs" dxfId="12950" priority="25941" operator="greaterThan">
      <formula>0</formula>
    </cfRule>
  </conditionalFormatting>
  <conditionalFormatting sqref="H12:H13">
    <cfRule type="cellIs" dxfId="12949" priority="25936" operator="lessThan">
      <formula>0</formula>
    </cfRule>
    <cfRule type="cellIs" dxfId="12948" priority="25937" operator="greaterThan">
      <formula>0</formula>
    </cfRule>
  </conditionalFormatting>
  <conditionalFormatting sqref="H14:H19">
    <cfRule type="cellIs" dxfId="12947" priority="25932" operator="lessThan">
      <formula>0</formula>
    </cfRule>
    <cfRule type="cellIs" dxfId="12946" priority="25933" operator="greaterThan">
      <formula>0</formula>
    </cfRule>
  </conditionalFormatting>
  <conditionalFormatting sqref="H20:H22">
    <cfRule type="cellIs" dxfId="12945" priority="25928" operator="lessThan">
      <formula>0</formula>
    </cfRule>
    <cfRule type="cellIs" dxfId="12944" priority="25929" operator="greaterThan">
      <formula>0</formula>
    </cfRule>
  </conditionalFormatting>
  <conditionalFormatting sqref="J45:J46">
    <cfRule type="cellIs" dxfId="12943" priority="25904" operator="lessThan">
      <formula>0</formula>
    </cfRule>
    <cfRule type="cellIs" dxfId="12942" priority="25905" operator="greaterThan">
      <formula>0</formula>
    </cfRule>
  </conditionalFormatting>
  <conditionalFormatting sqref="J4:J5">
    <cfRule type="cellIs" dxfId="12941" priority="25894" operator="lessThan">
      <formula>0</formula>
    </cfRule>
    <cfRule type="cellIs" dxfId="12940" priority="25895" operator="greaterThan">
      <formula>0</formula>
    </cfRule>
  </conditionalFormatting>
  <conditionalFormatting sqref="J6 J8:J11">
    <cfRule type="cellIs" dxfId="12939" priority="25892" operator="lessThan">
      <formula>0</formula>
    </cfRule>
    <cfRule type="cellIs" dxfId="12938" priority="25893" operator="greaterThan">
      <formula>0</formula>
    </cfRule>
  </conditionalFormatting>
  <conditionalFormatting sqref="J12:J13">
    <cfRule type="cellIs" dxfId="12937" priority="25890" operator="lessThan">
      <formula>0</formula>
    </cfRule>
    <cfRule type="cellIs" dxfId="12936" priority="25891" operator="greaterThan">
      <formula>0</formula>
    </cfRule>
  </conditionalFormatting>
  <conditionalFormatting sqref="J14:J19">
    <cfRule type="cellIs" dxfId="12935" priority="25888" operator="lessThan">
      <formula>0</formula>
    </cfRule>
    <cfRule type="cellIs" dxfId="12934" priority="25889" operator="greaterThan">
      <formula>0</formula>
    </cfRule>
  </conditionalFormatting>
  <conditionalFormatting sqref="J20:J22">
    <cfRule type="cellIs" dxfId="12933" priority="25886" operator="lessThan">
      <formula>0</formula>
    </cfRule>
    <cfRule type="cellIs" dxfId="12932" priority="25887" operator="greaterThan">
      <formula>0</formula>
    </cfRule>
  </conditionalFormatting>
  <conditionalFormatting sqref="L45:L46">
    <cfRule type="cellIs" dxfId="12931" priority="25868" operator="lessThan">
      <formula>0</formula>
    </cfRule>
    <cfRule type="cellIs" dxfId="12930" priority="25869" operator="greaterThan">
      <formula>0</formula>
    </cfRule>
  </conditionalFormatting>
  <conditionalFormatting sqref="L4:L5">
    <cfRule type="cellIs" dxfId="12929" priority="25858" operator="lessThan">
      <formula>0</formula>
    </cfRule>
    <cfRule type="cellIs" dxfId="12928" priority="25859" operator="greaterThan">
      <formula>0</formula>
    </cfRule>
  </conditionalFormatting>
  <conditionalFormatting sqref="L6 L8:L11">
    <cfRule type="cellIs" dxfId="12927" priority="25856" operator="lessThan">
      <formula>0</formula>
    </cfRule>
    <cfRule type="cellIs" dxfId="12926" priority="25857" operator="greaterThan">
      <formula>0</formula>
    </cfRule>
  </conditionalFormatting>
  <conditionalFormatting sqref="L12:L13">
    <cfRule type="cellIs" dxfId="12925" priority="25854" operator="lessThan">
      <formula>0</formula>
    </cfRule>
    <cfRule type="cellIs" dxfId="12924" priority="25855" operator="greaterThan">
      <formula>0</formula>
    </cfRule>
  </conditionalFormatting>
  <conditionalFormatting sqref="L14:L19">
    <cfRule type="cellIs" dxfId="12923" priority="25852" operator="lessThan">
      <formula>0</formula>
    </cfRule>
    <cfRule type="cellIs" dxfId="12922" priority="25853" operator="greaterThan">
      <formula>0</formula>
    </cfRule>
  </conditionalFormatting>
  <conditionalFormatting sqref="L20:L22">
    <cfRule type="cellIs" dxfId="12921" priority="25850" operator="lessThan">
      <formula>0</formula>
    </cfRule>
    <cfRule type="cellIs" dxfId="12920" priority="25851" operator="greaterThan">
      <formula>0</formula>
    </cfRule>
  </conditionalFormatting>
  <conditionalFormatting sqref="N45:N46">
    <cfRule type="cellIs" dxfId="12919" priority="25832" operator="lessThan">
      <formula>0</formula>
    </cfRule>
    <cfRule type="cellIs" dxfId="12918" priority="25833" operator="greaterThan">
      <formula>0</formula>
    </cfRule>
  </conditionalFormatting>
  <conditionalFormatting sqref="N4:N5">
    <cfRule type="cellIs" dxfId="12917" priority="25822" operator="lessThan">
      <formula>0</formula>
    </cfRule>
    <cfRule type="cellIs" dxfId="12916" priority="25823" operator="greaterThan">
      <formula>0</formula>
    </cfRule>
  </conditionalFormatting>
  <conditionalFormatting sqref="N6 N8:N11">
    <cfRule type="cellIs" dxfId="12915" priority="25820" operator="lessThan">
      <formula>0</formula>
    </cfRule>
    <cfRule type="cellIs" dxfId="12914" priority="25821" operator="greaterThan">
      <formula>0</formula>
    </cfRule>
  </conditionalFormatting>
  <conditionalFormatting sqref="N12:N13">
    <cfRule type="cellIs" dxfId="12913" priority="25818" operator="lessThan">
      <formula>0</formula>
    </cfRule>
    <cfRule type="cellIs" dxfId="12912" priority="25819" operator="greaterThan">
      <formula>0</formula>
    </cfRule>
  </conditionalFormatting>
  <conditionalFormatting sqref="N14:N19">
    <cfRule type="cellIs" dxfId="12911" priority="25816" operator="lessThan">
      <formula>0</formula>
    </cfRule>
    <cfRule type="cellIs" dxfId="12910" priority="25817" operator="greaterThan">
      <formula>0</formula>
    </cfRule>
  </conditionalFormatting>
  <conditionalFormatting sqref="P45:P46">
    <cfRule type="cellIs" dxfId="12909" priority="25796" operator="lessThan">
      <formula>0</formula>
    </cfRule>
    <cfRule type="cellIs" dxfId="12908" priority="25797" operator="greaterThan">
      <formula>0</formula>
    </cfRule>
  </conditionalFormatting>
  <conditionalFormatting sqref="P4:P5">
    <cfRule type="cellIs" dxfId="12907" priority="25786" operator="lessThan">
      <formula>0</formula>
    </cfRule>
    <cfRule type="cellIs" dxfId="12906" priority="25787" operator="greaterThan">
      <formula>0</formula>
    </cfRule>
  </conditionalFormatting>
  <conditionalFormatting sqref="P6 P8:P11">
    <cfRule type="cellIs" dxfId="12905" priority="25784" operator="lessThan">
      <formula>0</formula>
    </cfRule>
    <cfRule type="cellIs" dxfId="12904" priority="25785" operator="greaterThan">
      <formula>0</formula>
    </cfRule>
  </conditionalFormatting>
  <conditionalFormatting sqref="P12:P13">
    <cfRule type="cellIs" dxfId="12903" priority="25782" operator="lessThan">
      <formula>0</formula>
    </cfRule>
    <cfRule type="cellIs" dxfId="12902" priority="25783" operator="greaterThan">
      <formula>0</formula>
    </cfRule>
  </conditionalFormatting>
  <conditionalFormatting sqref="P14:P19">
    <cfRule type="cellIs" dxfId="12901" priority="25780" operator="lessThan">
      <formula>0</formula>
    </cfRule>
    <cfRule type="cellIs" dxfId="12900" priority="25781" operator="greaterThan">
      <formula>0</formula>
    </cfRule>
  </conditionalFormatting>
  <conditionalFormatting sqref="P20:P22">
    <cfRule type="cellIs" dxfId="12899" priority="25778" operator="lessThan">
      <formula>0</formula>
    </cfRule>
    <cfRule type="cellIs" dxfId="12898" priority="25779" operator="greaterThan">
      <formula>0</formula>
    </cfRule>
  </conditionalFormatting>
  <conditionalFormatting sqref="R45:R46">
    <cfRule type="cellIs" dxfId="12897" priority="25760" operator="lessThan">
      <formula>0</formula>
    </cfRule>
    <cfRule type="cellIs" dxfId="12896" priority="25761" operator="greaterThan">
      <formula>0</formula>
    </cfRule>
  </conditionalFormatting>
  <conditionalFormatting sqref="R4:R5">
    <cfRule type="cellIs" dxfId="12895" priority="25750" operator="lessThan">
      <formula>0</formula>
    </cfRule>
    <cfRule type="cellIs" dxfId="12894" priority="25751" operator="greaterThan">
      <formula>0</formula>
    </cfRule>
  </conditionalFormatting>
  <conditionalFormatting sqref="R6 R8:R11">
    <cfRule type="cellIs" dxfId="12893" priority="25748" operator="lessThan">
      <formula>0</formula>
    </cfRule>
    <cfRule type="cellIs" dxfId="12892" priority="25749" operator="greaterThan">
      <formula>0</formula>
    </cfRule>
  </conditionalFormatting>
  <conditionalFormatting sqref="R12:R13">
    <cfRule type="cellIs" dxfId="12891" priority="25746" operator="lessThan">
      <formula>0</formula>
    </cfRule>
    <cfRule type="cellIs" dxfId="12890" priority="25747" operator="greaterThan">
      <formula>0</formula>
    </cfRule>
  </conditionalFormatting>
  <conditionalFormatting sqref="R14:R19">
    <cfRule type="cellIs" dxfId="12889" priority="25744" operator="lessThan">
      <formula>0</formula>
    </cfRule>
    <cfRule type="cellIs" dxfId="12888" priority="25745" operator="greaterThan">
      <formula>0</formula>
    </cfRule>
  </conditionalFormatting>
  <conditionalFormatting sqref="R20:R22">
    <cfRule type="cellIs" dxfId="12887" priority="25742" operator="lessThan">
      <formula>0</formula>
    </cfRule>
    <cfRule type="cellIs" dxfId="12886" priority="25743" operator="greaterThan">
      <formula>0</formula>
    </cfRule>
  </conditionalFormatting>
  <conditionalFormatting sqref="T45:T46">
    <cfRule type="cellIs" dxfId="12885" priority="25724" operator="lessThan">
      <formula>0</formula>
    </cfRule>
    <cfRule type="cellIs" dxfId="12884" priority="25725" operator="greaterThan">
      <formula>0</formula>
    </cfRule>
  </conditionalFormatting>
  <conditionalFormatting sqref="T4:T5">
    <cfRule type="cellIs" dxfId="12883" priority="25714" operator="lessThan">
      <formula>0</formula>
    </cfRule>
    <cfRule type="cellIs" dxfId="12882" priority="25715" operator="greaterThan">
      <formula>0</formula>
    </cfRule>
  </conditionalFormatting>
  <conditionalFormatting sqref="T6 T8:T11">
    <cfRule type="cellIs" dxfId="12881" priority="25712" operator="lessThan">
      <formula>0</formula>
    </cfRule>
    <cfRule type="cellIs" dxfId="12880" priority="25713" operator="greaterThan">
      <formula>0</formula>
    </cfRule>
  </conditionalFormatting>
  <conditionalFormatting sqref="T12:T13">
    <cfRule type="cellIs" dxfId="12879" priority="25710" operator="lessThan">
      <formula>0</formula>
    </cfRule>
    <cfRule type="cellIs" dxfId="12878" priority="25711" operator="greaterThan">
      <formula>0</formula>
    </cfRule>
  </conditionalFormatting>
  <conditionalFormatting sqref="T14:T19">
    <cfRule type="cellIs" dxfId="12877" priority="25708" operator="lessThan">
      <formula>0</formula>
    </cfRule>
    <cfRule type="cellIs" dxfId="12876" priority="25709" operator="greaterThan">
      <formula>0</formula>
    </cfRule>
  </conditionalFormatting>
  <conditionalFormatting sqref="T20:T22">
    <cfRule type="cellIs" dxfId="12875" priority="25706" operator="lessThan">
      <formula>0</formula>
    </cfRule>
    <cfRule type="cellIs" dxfId="12874" priority="25707" operator="greaterThan">
      <formula>0</formula>
    </cfRule>
  </conditionalFormatting>
  <conditionalFormatting sqref="V45:V46">
    <cfRule type="cellIs" dxfId="12873" priority="25688" operator="lessThan">
      <formula>0</formula>
    </cfRule>
    <cfRule type="cellIs" dxfId="12872" priority="25689" operator="greaterThan">
      <formula>0</formula>
    </cfRule>
  </conditionalFormatting>
  <conditionalFormatting sqref="V4:V5">
    <cfRule type="cellIs" dxfId="12871" priority="25678" operator="lessThan">
      <formula>0</formula>
    </cfRule>
    <cfRule type="cellIs" dxfId="12870" priority="25679" operator="greaterThan">
      <formula>0</formula>
    </cfRule>
  </conditionalFormatting>
  <conditionalFormatting sqref="V6 V8:V11">
    <cfRule type="cellIs" dxfId="12869" priority="25676" operator="lessThan">
      <formula>0</formula>
    </cfRule>
    <cfRule type="cellIs" dxfId="12868" priority="25677" operator="greaterThan">
      <formula>0</formula>
    </cfRule>
  </conditionalFormatting>
  <conditionalFormatting sqref="V12:V13">
    <cfRule type="cellIs" dxfId="12867" priority="25674" operator="lessThan">
      <formula>0</formula>
    </cfRule>
    <cfRule type="cellIs" dxfId="12866" priority="25675" operator="greaterThan">
      <formula>0</formula>
    </cfRule>
  </conditionalFormatting>
  <conditionalFormatting sqref="V14:V19">
    <cfRule type="cellIs" dxfId="12865" priority="25672" operator="lessThan">
      <formula>0</formula>
    </cfRule>
    <cfRule type="cellIs" dxfId="12864" priority="25673" operator="greaterThan">
      <formula>0</formula>
    </cfRule>
  </conditionalFormatting>
  <conditionalFormatting sqref="V20:V22">
    <cfRule type="cellIs" dxfId="12863" priority="25670" operator="lessThan">
      <formula>0</formula>
    </cfRule>
    <cfRule type="cellIs" dxfId="12862" priority="25671" operator="greaterThan">
      <formula>0</formula>
    </cfRule>
  </conditionalFormatting>
  <conditionalFormatting sqref="X45:X46">
    <cfRule type="cellIs" dxfId="12861" priority="25652" operator="lessThan">
      <formula>0</formula>
    </cfRule>
    <cfRule type="cellIs" dxfId="12860" priority="25653" operator="greaterThan">
      <formula>0</formula>
    </cfRule>
  </conditionalFormatting>
  <conditionalFormatting sqref="X4:X5">
    <cfRule type="cellIs" dxfId="12859" priority="25642" operator="lessThan">
      <formula>0</formula>
    </cfRule>
    <cfRule type="cellIs" dxfId="12858" priority="25643" operator="greaterThan">
      <formula>0</formula>
    </cfRule>
  </conditionalFormatting>
  <conditionalFormatting sqref="X6 X8:X11">
    <cfRule type="cellIs" dxfId="12857" priority="25640" operator="lessThan">
      <formula>0</formula>
    </cfRule>
    <cfRule type="cellIs" dxfId="12856" priority="25641" operator="greaterThan">
      <formula>0</formula>
    </cfRule>
  </conditionalFormatting>
  <conditionalFormatting sqref="X12:X13">
    <cfRule type="cellIs" dxfId="12855" priority="25638" operator="lessThan">
      <formula>0</formula>
    </cfRule>
    <cfRule type="cellIs" dxfId="12854" priority="25639" operator="greaterThan">
      <formula>0</formula>
    </cfRule>
  </conditionalFormatting>
  <conditionalFormatting sqref="X14:X19">
    <cfRule type="cellIs" dxfId="12853" priority="25636" operator="lessThan">
      <formula>0</formula>
    </cfRule>
    <cfRule type="cellIs" dxfId="12852" priority="25637" operator="greaterThan">
      <formula>0</formula>
    </cfRule>
  </conditionalFormatting>
  <conditionalFormatting sqref="X20:X22">
    <cfRule type="cellIs" dxfId="12851" priority="25634" operator="lessThan">
      <formula>0</formula>
    </cfRule>
    <cfRule type="cellIs" dxfId="12850" priority="25635" operator="greaterThan">
      <formula>0</formula>
    </cfRule>
  </conditionalFormatting>
  <conditionalFormatting sqref="Z45:Z46">
    <cfRule type="cellIs" dxfId="12849" priority="25616" operator="lessThan">
      <formula>0</formula>
    </cfRule>
    <cfRule type="cellIs" dxfId="12848" priority="25617" operator="greaterThan">
      <formula>0</formula>
    </cfRule>
  </conditionalFormatting>
  <conditionalFormatting sqref="Z4:Z5">
    <cfRule type="cellIs" dxfId="12847" priority="25606" operator="lessThan">
      <formula>0</formula>
    </cfRule>
    <cfRule type="cellIs" dxfId="12846" priority="25607" operator="greaterThan">
      <formula>0</formula>
    </cfRule>
  </conditionalFormatting>
  <conditionalFormatting sqref="Z6 Z8:Z11">
    <cfRule type="cellIs" dxfId="12845" priority="25604" operator="lessThan">
      <formula>0</formula>
    </cfRule>
    <cfRule type="cellIs" dxfId="12844" priority="25605" operator="greaterThan">
      <formula>0</formula>
    </cfRule>
  </conditionalFormatting>
  <conditionalFormatting sqref="Z12:Z13">
    <cfRule type="cellIs" dxfId="12843" priority="25602" operator="lessThan">
      <formula>0</formula>
    </cfRule>
    <cfRule type="cellIs" dxfId="12842" priority="25603" operator="greaterThan">
      <formula>0</formula>
    </cfRule>
  </conditionalFormatting>
  <conditionalFormatting sqref="Z14:Z19">
    <cfRule type="cellIs" dxfId="12841" priority="25600" operator="lessThan">
      <formula>0</formula>
    </cfRule>
    <cfRule type="cellIs" dxfId="12840" priority="25601" operator="greaterThan">
      <formula>0</formula>
    </cfRule>
  </conditionalFormatting>
  <conditionalFormatting sqref="Z20:Z22">
    <cfRule type="cellIs" dxfId="12839" priority="25598" operator="lessThan">
      <formula>0</formula>
    </cfRule>
    <cfRule type="cellIs" dxfId="12838" priority="25599" operator="greaterThan">
      <formula>0</formula>
    </cfRule>
  </conditionalFormatting>
  <conditionalFormatting sqref="AB45:AB46">
    <cfRule type="cellIs" dxfId="12837" priority="25580" operator="lessThan">
      <formula>0</formula>
    </cfRule>
    <cfRule type="cellIs" dxfId="12836" priority="25581" operator="greaterThan">
      <formula>0</formula>
    </cfRule>
  </conditionalFormatting>
  <conditionalFormatting sqref="AB4:AB5">
    <cfRule type="cellIs" dxfId="12835" priority="25570" operator="lessThan">
      <formula>0</formula>
    </cfRule>
    <cfRule type="cellIs" dxfId="12834" priority="25571" operator="greaterThan">
      <formula>0</formula>
    </cfRule>
  </conditionalFormatting>
  <conditionalFormatting sqref="AB6 AB8:AB11">
    <cfRule type="cellIs" dxfId="12833" priority="25568" operator="lessThan">
      <formula>0</formula>
    </cfRule>
    <cfRule type="cellIs" dxfId="12832" priority="25569" operator="greaterThan">
      <formula>0</formula>
    </cfRule>
  </conditionalFormatting>
  <conditionalFormatting sqref="AB12:AB13">
    <cfRule type="cellIs" dxfId="12831" priority="25566" operator="lessThan">
      <formula>0</formula>
    </cfRule>
    <cfRule type="cellIs" dxfId="12830" priority="25567" operator="greaterThan">
      <formula>0</formula>
    </cfRule>
  </conditionalFormatting>
  <conditionalFormatting sqref="AB14:AB19">
    <cfRule type="cellIs" dxfId="12829" priority="25564" operator="lessThan">
      <formula>0</formula>
    </cfRule>
    <cfRule type="cellIs" dxfId="12828" priority="25565" operator="greaterThan">
      <formula>0</formula>
    </cfRule>
  </conditionalFormatting>
  <conditionalFormatting sqref="AB20:AB22">
    <cfRule type="cellIs" dxfId="12827" priority="25562" operator="lessThan">
      <formula>0</formula>
    </cfRule>
    <cfRule type="cellIs" dxfId="12826" priority="25563" operator="greaterThan">
      <formula>0</formula>
    </cfRule>
  </conditionalFormatting>
  <conditionalFormatting sqref="AR6 AR8:AR11">
    <cfRule type="cellIs" dxfId="12825" priority="25260" operator="lessThan">
      <formula>0</formula>
    </cfRule>
    <cfRule type="cellIs" dxfId="12824" priority="25261" operator="greaterThan">
      <formula>0</formula>
    </cfRule>
  </conditionalFormatting>
  <conditionalFormatting sqref="AD45:AD46">
    <cfRule type="cellIs" dxfId="12823" priority="25542" operator="lessThan">
      <formula>0</formula>
    </cfRule>
    <cfRule type="cellIs" dxfId="12822" priority="25543" operator="greaterThan">
      <formula>0</formula>
    </cfRule>
  </conditionalFormatting>
  <conditionalFormatting sqref="AD4:AD5">
    <cfRule type="cellIs" dxfId="12821" priority="25532" operator="lessThan">
      <formula>0</formula>
    </cfRule>
    <cfRule type="cellIs" dxfId="12820" priority="25533" operator="greaterThan">
      <formula>0</formula>
    </cfRule>
  </conditionalFormatting>
  <conditionalFormatting sqref="AD6 AD8:AD11">
    <cfRule type="cellIs" dxfId="12819" priority="25530" operator="lessThan">
      <formula>0</formula>
    </cfRule>
    <cfRule type="cellIs" dxfId="12818" priority="25531" operator="greaterThan">
      <formula>0</formula>
    </cfRule>
  </conditionalFormatting>
  <conditionalFormatting sqref="AD12:AD13">
    <cfRule type="cellIs" dxfId="12817" priority="25528" operator="lessThan">
      <formula>0</formula>
    </cfRule>
    <cfRule type="cellIs" dxfId="12816" priority="25529" operator="greaterThan">
      <formula>0</formula>
    </cfRule>
  </conditionalFormatting>
  <conditionalFormatting sqref="AD14:AD19">
    <cfRule type="cellIs" dxfId="12815" priority="25526" operator="lessThan">
      <formula>0</formula>
    </cfRule>
    <cfRule type="cellIs" dxfId="12814" priority="25527" operator="greaterThan">
      <formula>0</formula>
    </cfRule>
  </conditionalFormatting>
  <conditionalFormatting sqref="AD20:AD22">
    <cfRule type="cellIs" dxfId="12813" priority="25524" operator="lessThan">
      <formula>0</formula>
    </cfRule>
    <cfRule type="cellIs" dxfId="12812" priority="25525" operator="greaterThan">
      <formula>0</formula>
    </cfRule>
  </conditionalFormatting>
  <conditionalFormatting sqref="AF45:AF46">
    <cfRule type="cellIs" dxfId="12811" priority="25506" operator="lessThan">
      <formula>0</formula>
    </cfRule>
    <cfRule type="cellIs" dxfId="12810" priority="25507" operator="greaterThan">
      <formula>0</formula>
    </cfRule>
  </conditionalFormatting>
  <conditionalFormatting sqref="AN45:AN46">
    <cfRule type="cellIs" dxfId="12809" priority="25354" operator="lessThan">
      <formula>0</formula>
    </cfRule>
    <cfRule type="cellIs" dxfId="12808" priority="25355" operator="greaterThan">
      <formula>0</formula>
    </cfRule>
  </conditionalFormatting>
  <conditionalFormatting sqref="AF4:AF5">
    <cfRule type="cellIs" dxfId="12807" priority="25496" operator="lessThan">
      <formula>0</formula>
    </cfRule>
    <cfRule type="cellIs" dxfId="12806" priority="25497" operator="greaterThan">
      <formula>0</formula>
    </cfRule>
  </conditionalFormatting>
  <conditionalFormatting sqref="AF6 AF8:AF11">
    <cfRule type="cellIs" dxfId="12805" priority="25494" operator="lessThan">
      <formula>0</formula>
    </cfRule>
    <cfRule type="cellIs" dxfId="12804" priority="25495" operator="greaterThan">
      <formula>0</formula>
    </cfRule>
  </conditionalFormatting>
  <conditionalFormatting sqref="AF12:AF13">
    <cfRule type="cellIs" dxfId="12803" priority="25492" operator="lessThan">
      <formula>0</formula>
    </cfRule>
    <cfRule type="cellIs" dxfId="12802" priority="25493" operator="greaterThan">
      <formula>0</formula>
    </cfRule>
  </conditionalFormatting>
  <conditionalFormatting sqref="AF14:AF19">
    <cfRule type="cellIs" dxfId="12801" priority="25490" operator="lessThan">
      <formula>0</formula>
    </cfRule>
    <cfRule type="cellIs" dxfId="12800" priority="25491" operator="greaterThan">
      <formula>0</formula>
    </cfRule>
  </conditionalFormatting>
  <conditionalFormatting sqref="AF20:AF22">
    <cfRule type="cellIs" dxfId="12799" priority="25488" operator="lessThan">
      <formula>0</formula>
    </cfRule>
    <cfRule type="cellIs" dxfId="12798" priority="25489" operator="greaterThan">
      <formula>0</formula>
    </cfRule>
  </conditionalFormatting>
  <conditionalFormatting sqref="AH45:AH46">
    <cfRule type="cellIs" dxfId="12797" priority="25470" operator="lessThan">
      <formula>0</formula>
    </cfRule>
    <cfRule type="cellIs" dxfId="12796" priority="25471" operator="greaterThan">
      <formula>0</formula>
    </cfRule>
  </conditionalFormatting>
  <conditionalFormatting sqref="AP45:AP46">
    <cfRule type="cellIs" dxfId="12795" priority="25318" operator="lessThan">
      <formula>0</formula>
    </cfRule>
    <cfRule type="cellIs" dxfId="12794" priority="25319" operator="greaterThan">
      <formula>0</formula>
    </cfRule>
  </conditionalFormatting>
  <conditionalFormatting sqref="AH4:AH5">
    <cfRule type="cellIs" dxfId="12793" priority="25460" operator="lessThan">
      <formula>0</formula>
    </cfRule>
    <cfRule type="cellIs" dxfId="12792" priority="25461" operator="greaterThan">
      <formula>0</formula>
    </cfRule>
  </conditionalFormatting>
  <conditionalFormatting sqref="AH6 AH8:AH11">
    <cfRule type="cellIs" dxfId="12791" priority="25458" operator="lessThan">
      <formula>0</formula>
    </cfRule>
    <cfRule type="cellIs" dxfId="12790" priority="25459" operator="greaterThan">
      <formula>0</formula>
    </cfRule>
  </conditionalFormatting>
  <conditionalFormatting sqref="AH12:AH13">
    <cfRule type="cellIs" dxfId="12789" priority="25456" operator="lessThan">
      <formula>0</formula>
    </cfRule>
    <cfRule type="cellIs" dxfId="12788" priority="25457" operator="greaterThan">
      <formula>0</formula>
    </cfRule>
  </conditionalFormatting>
  <conditionalFormatting sqref="AH14:AH19">
    <cfRule type="cellIs" dxfId="12787" priority="25454" operator="lessThan">
      <formula>0</formula>
    </cfRule>
    <cfRule type="cellIs" dxfId="12786" priority="25455" operator="greaterThan">
      <formula>0</formula>
    </cfRule>
  </conditionalFormatting>
  <conditionalFormatting sqref="AH20:AH22">
    <cfRule type="cellIs" dxfId="12785" priority="25452" operator="lessThan">
      <formula>0</formula>
    </cfRule>
    <cfRule type="cellIs" dxfId="12784" priority="25453" operator="greaterThan">
      <formula>0</formula>
    </cfRule>
  </conditionalFormatting>
  <conditionalFormatting sqref="AJ45:AJ46">
    <cfRule type="cellIs" dxfId="12783" priority="25434" operator="lessThan">
      <formula>0</formula>
    </cfRule>
    <cfRule type="cellIs" dxfId="12782" priority="25435" operator="greaterThan">
      <formula>0</formula>
    </cfRule>
  </conditionalFormatting>
  <conditionalFormatting sqref="AJ4:AJ5">
    <cfRule type="cellIs" dxfId="12781" priority="25424" operator="lessThan">
      <formula>0</formula>
    </cfRule>
    <cfRule type="cellIs" dxfId="12780" priority="25425" operator="greaterThan">
      <formula>0</formula>
    </cfRule>
  </conditionalFormatting>
  <conditionalFormatting sqref="AJ6 AJ8:AJ11">
    <cfRule type="cellIs" dxfId="12779" priority="25422" operator="lessThan">
      <formula>0</formula>
    </cfRule>
    <cfRule type="cellIs" dxfId="12778" priority="25423" operator="greaterThan">
      <formula>0</formula>
    </cfRule>
  </conditionalFormatting>
  <conditionalFormatting sqref="AJ12:AJ13">
    <cfRule type="cellIs" dxfId="12777" priority="25420" operator="lessThan">
      <formula>0</formula>
    </cfRule>
    <cfRule type="cellIs" dxfId="12776" priority="25421" operator="greaterThan">
      <formula>0</formula>
    </cfRule>
  </conditionalFormatting>
  <conditionalFormatting sqref="AJ14:AJ19">
    <cfRule type="cellIs" dxfId="12775" priority="25418" operator="lessThan">
      <formula>0</formula>
    </cfRule>
    <cfRule type="cellIs" dxfId="12774" priority="25419" operator="greaterThan">
      <formula>0</formula>
    </cfRule>
  </conditionalFormatting>
  <conditionalFormatting sqref="AJ20:AJ22">
    <cfRule type="cellIs" dxfId="12773" priority="25416" operator="lessThan">
      <formula>0</formula>
    </cfRule>
    <cfRule type="cellIs" dxfId="12772" priority="25417" operator="greaterThan">
      <formula>0</formula>
    </cfRule>
  </conditionalFormatting>
  <conditionalFormatting sqref="AV12:AV13">
    <cfRule type="cellIs" dxfId="12771" priority="25114" operator="lessThan">
      <formula>0</formula>
    </cfRule>
    <cfRule type="cellIs" dxfId="12770" priority="25115" operator="greaterThan">
      <formula>0</formula>
    </cfRule>
  </conditionalFormatting>
  <conditionalFormatting sqref="AL45:AL46">
    <cfRule type="cellIs" dxfId="12769" priority="25398" operator="lessThan">
      <formula>0</formula>
    </cfRule>
    <cfRule type="cellIs" dxfId="12768" priority="25399" operator="greaterThan">
      <formula>0</formula>
    </cfRule>
  </conditionalFormatting>
  <conditionalFormatting sqref="AL4:AL5">
    <cfRule type="cellIs" dxfId="12767" priority="25388" operator="lessThan">
      <formula>0</formula>
    </cfRule>
    <cfRule type="cellIs" dxfId="12766" priority="25389" operator="greaterThan">
      <formula>0</formula>
    </cfRule>
  </conditionalFormatting>
  <conditionalFormatting sqref="AL6 AL8:AL11">
    <cfRule type="cellIs" dxfId="12765" priority="25386" operator="lessThan">
      <formula>0</formula>
    </cfRule>
    <cfRule type="cellIs" dxfId="12764" priority="25387" operator="greaterThan">
      <formula>0</formula>
    </cfRule>
  </conditionalFormatting>
  <conditionalFormatting sqref="AL12:AL13">
    <cfRule type="cellIs" dxfId="12763" priority="25384" operator="lessThan">
      <formula>0</formula>
    </cfRule>
    <cfRule type="cellIs" dxfId="12762" priority="25385" operator="greaterThan">
      <formula>0</formula>
    </cfRule>
  </conditionalFormatting>
  <conditionalFormatting sqref="AL14:AL19">
    <cfRule type="cellIs" dxfId="12761" priority="25382" operator="lessThan">
      <formula>0</formula>
    </cfRule>
    <cfRule type="cellIs" dxfId="12760" priority="25383" operator="greaterThan">
      <formula>0</formula>
    </cfRule>
  </conditionalFormatting>
  <conditionalFormatting sqref="AL20:AL22">
    <cfRule type="cellIs" dxfId="12759" priority="25380" operator="lessThan">
      <formula>0</formula>
    </cfRule>
    <cfRule type="cellIs" dxfId="12758" priority="25381" operator="greaterThan">
      <formula>0</formula>
    </cfRule>
  </conditionalFormatting>
  <conditionalFormatting sqref="AT12:AT13">
    <cfRule type="cellIs" dxfId="12757" priority="25202" operator="lessThan">
      <formula>0</formula>
    </cfRule>
    <cfRule type="cellIs" dxfId="12756" priority="25203" operator="greaterThan">
      <formula>0</formula>
    </cfRule>
  </conditionalFormatting>
  <conditionalFormatting sqref="AN4:AN5">
    <cfRule type="cellIs" dxfId="12755" priority="25344" operator="lessThan">
      <formula>0</formula>
    </cfRule>
    <cfRule type="cellIs" dxfId="12754" priority="25345" operator="greaterThan">
      <formula>0</formula>
    </cfRule>
  </conditionalFormatting>
  <conditionalFormatting sqref="AN6 AN8:AN11">
    <cfRule type="cellIs" dxfId="12753" priority="25342" operator="lessThan">
      <formula>0</formula>
    </cfRule>
    <cfRule type="cellIs" dxfId="12752" priority="25343" operator="greaterThan">
      <formula>0</formula>
    </cfRule>
  </conditionalFormatting>
  <conditionalFormatting sqref="AN12:AN13">
    <cfRule type="cellIs" dxfId="12751" priority="25340" operator="lessThan">
      <formula>0</formula>
    </cfRule>
    <cfRule type="cellIs" dxfId="12750" priority="25341" operator="greaterThan">
      <formula>0</formula>
    </cfRule>
  </conditionalFormatting>
  <conditionalFormatting sqref="AN14:AN19">
    <cfRule type="cellIs" dxfId="12749" priority="25338" operator="lessThan">
      <formula>0</formula>
    </cfRule>
    <cfRule type="cellIs" dxfId="12748" priority="25339" operator="greaterThan">
      <formula>0</formula>
    </cfRule>
  </conditionalFormatting>
  <conditionalFormatting sqref="AN20:AN22">
    <cfRule type="cellIs" dxfId="12747" priority="25336" operator="lessThan">
      <formula>0</formula>
    </cfRule>
    <cfRule type="cellIs" dxfId="12746" priority="25337" operator="greaterThan">
      <formula>0</formula>
    </cfRule>
  </conditionalFormatting>
  <conditionalFormatting sqref="AZ4:AZ5">
    <cfRule type="cellIs" dxfId="12745" priority="25034" operator="lessThan">
      <formula>0</formula>
    </cfRule>
    <cfRule type="cellIs" dxfId="12744" priority="25035" operator="greaterThan">
      <formula>0</formula>
    </cfRule>
  </conditionalFormatting>
  <conditionalFormatting sqref="AP4:AP5">
    <cfRule type="cellIs" dxfId="12743" priority="25308" operator="lessThan">
      <formula>0</formula>
    </cfRule>
    <cfRule type="cellIs" dxfId="12742" priority="25309" operator="greaterThan">
      <formula>0</formula>
    </cfRule>
  </conditionalFormatting>
  <conditionalFormatting sqref="AP6 AP8:AP11">
    <cfRule type="cellIs" dxfId="12741" priority="25306" operator="lessThan">
      <formula>0</formula>
    </cfRule>
    <cfRule type="cellIs" dxfId="12740" priority="25307" operator="greaterThan">
      <formula>0</formula>
    </cfRule>
  </conditionalFormatting>
  <conditionalFormatting sqref="AP12:AP13">
    <cfRule type="cellIs" dxfId="12739" priority="25304" operator="lessThan">
      <formula>0</formula>
    </cfRule>
    <cfRule type="cellIs" dxfId="12738" priority="25305" operator="greaterThan">
      <formula>0</formula>
    </cfRule>
  </conditionalFormatting>
  <conditionalFormatting sqref="AP14:AP19">
    <cfRule type="cellIs" dxfId="12737" priority="25302" operator="lessThan">
      <formula>0</formula>
    </cfRule>
    <cfRule type="cellIs" dxfId="12736" priority="25303" operator="greaterThan">
      <formula>0</formula>
    </cfRule>
  </conditionalFormatting>
  <conditionalFormatting sqref="AP20:AP22">
    <cfRule type="cellIs" dxfId="12735" priority="25300" operator="lessThan">
      <formula>0</formula>
    </cfRule>
    <cfRule type="cellIs" dxfId="12734" priority="25301" operator="greaterThan">
      <formula>0</formula>
    </cfRule>
  </conditionalFormatting>
  <conditionalFormatting sqref="AR45:AR46">
    <cfRule type="cellIs" dxfId="12733" priority="25272" operator="lessThan">
      <formula>0</formula>
    </cfRule>
    <cfRule type="cellIs" dxfId="12732" priority="25273" operator="greaterThan">
      <formula>0</formula>
    </cfRule>
  </conditionalFormatting>
  <conditionalFormatting sqref="AR4:AR5">
    <cfRule type="cellIs" dxfId="12731" priority="25262" operator="lessThan">
      <formula>0</formula>
    </cfRule>
    <cfRule type="cellIs" dxfId="12730" priority="25263" operator="greaterThan">
      <formula>0</formula>
    </cfRule>
  </conditionalFormatting>
  <conditionalFormatting sqref="AR12:AR13">
    <cfRule type="cellIs" dxfId="12729" priority="25258" operator="lessThan">
      <formula>0</formula>
    </cfRule>
    <cfRule type="cellIs" dxfId="12728" priority="25259" operator="greaterThan">
      <formula>0</formula>
    </cfRule>
  </conditionalFormatting>
  <conditionalFormatting sqref="AR14:AR19">
    <cfRule type="cellIs" dxfId="12727" priority="25256" operator="lessThan">
      <formula>0</formula>
    </cfRule>
    <cfRule type="cellIs" dxfId="12726" priority="25257" operator="greaterThan">
      <formula>0</formula>
    </cfRule>
  </conditionalFormatting>
  <conditionalFormatting sqref="AR20:AR22">
    <cfRule type="cellIs" dxfId="12725" priority="25254" operator="lessThan">
      <formula>0</formula>
    </cfRule>
    <cfRule type="cellIs" dxfId="12724" priority="25255" operator="greaterThan">
      <formula>0</formula>
    </cfRule>
  </conditionalFormatting>
  <conditionalFormatting sqref="BD12:BD13">
    <cfRule type="cellIs" dxfId="12723" priority="24952" operator="lessThan">
      <formula>0</formula>
    </cfRule>
    <cfRule type="cellIs" dxfId="12722" priority="24953" operator="greaterThan">
      <formula>0</formula>
    </cfRule>
  </conditionalFormatting>
  <conditionalFormatting sqref="AT4:AT5">
    <cfRule type="cellIs" dxfId="12721" priority="25206" operator="lessThan">
      <formula>0</formula>
    </cfRule>
    <cfRule type="cellIs" dxfId="12720" priority="25207" operator="greaterThan">
      <formula>0</formula>
    </cfRule>
  </conditionalFormatting>
  <conditionalFormatting sqref="AT6 AT8:AT11">
    <cfRule type="cellIs" dxfId="12719" priority="25204" operator="lessThan">
      <formula>0</formula>
    </cfRule>
    <cfRule type="cellIs" dxfId="12718" priority="25205" operator="greaterThan">
      <formula>0</formula>
    </cfRule>
  </conditionalFormatting>
  <conditionalFormatting sqref="AT14:AT19">
    <cfRule type="cellIs" dxfId="12717" priority="25200" operator="lessThan">
      <formula>0</formula>
    </cfRule>
    <cfRule type="cellIs" dxfId="12716" priority="25201" operator="greaterThan">
      <formula>0</formula>
    </cfRule>
  </conditionalFormatting>
  <conditionalFormatting sqref="AT20:AT22">
    <cfRule type="cellIs" dxfId="12715" priority="25198" operator="lessThan">
      <formula>0</formula>
    </cfRule>
    <cfRule type="cellIs" dxfId="12714" priority="25199" operator="greaterThan">
      <formula>0</formula>
    </cfRule>
  </conditionalFormatting>
  <conditionalFormatting sqref="AT45:AT46">
    <cfRule type="cellIs" dxfId="12713" priority="25216" operator="lessThan">
      <formula>0</formula>
    </cfRule>
    <cfRule type="cellIs" dxfId="12712" priority="25217" operator="greaterThan">
      <formula>0</formula>
    </cfRule>
  </conditionalFormatting>
  <conditionalFormatting sqref="AV4:AV5">
    <cfRule type="cellIs" dxfId="12711" priority="25118" operator="lessThan">
      <formula>0</formula>
    </cfRule>
    <cfRule type="cellIs" dxfId="12710" priority="25119" operator="greaterThan">
      <formula>0</formula>
    </cfRule>
  </conditionalFormatting>
  <conditionalFormatting sqref="AV6 AV8:AV11">
    <cfRule type="cellIs" dxfId="12709" priority="25116" operator="lessThan">
      <formula>0</formula>
    </cfRule>
    <cfRule type="cellIs" dxfId="12708" priority="25117" operator="greaterThan">
      <formula>0</formula>
    </cfRule>
  </conditionalFormatting>
  <conditionalFormatting sqref="AV14:AV19">
    <cfRule type="cellIs" dxfId="12707" priority="25112" operator="lessThan">
      <formula>0</formula>
    </cfRule>
    <cfRule type="cellIs" dxfId="12706" priority="25113" operator="greaterThan">
      <formula>0</formula>
    </cfRule>
  </conditionalFormatting>
  <conditionalFormatting sqref="BH27:BH29">
    <cfRule type="cellIs" dxfId="12705" priority="24896" operator="lessThan">
      <formula>0</formula>
    </cfRule>
    <cfRule type="cellIs" dxfId="12704" priority="24897" operator="greaterThan">
      <formula>0</formula>
    </cfRule>
  </conditionalFormatting>
  <conditionalFormatting sqref="AV20:AV22">
    <cfRule type="cellIs" dxfId="12703" priority="25110" operator="lessThan">
      <formula>0</formula>
    </cfRule>
    <cfRule type="cellIs" dxfId="12702" priority="25111" operator="greaterThan">
      <formula>0</formula>
    </cfRule>
  </conditionalFormatting>
  <conditionalFormatting sqref="AV45:AV46">
    <cfRule type="cellIs" dxfId="12701" priority="25128" operator="lessThan">
      <formula>0</formula>
    </cfRule>
    <cfRule type="cellIs" dxfId="12700" priority="25129" operator="greaterThan">
      <formula>0</formula>
    </cfRule>
  </conditionalFormatting>
  <conditionalFormatting sqref="AX4:AX5">
    <cfRule type="cellIs" dxfId="12699" priority="25074" operator="lessThan">
      <formula>0</formula>
    </cfRule>
    <cfRule type="cellIs" dxfId="12698" priority="25075" operator="greaterThan">
      <formula>0</formula>
    </cfRule>
  </conditionalFormatting>
  <conditionalFormatting sqref="AX6 AX8:AX11">
    <cfRule type="cellIs" dxfId="12697" priority="25072" operator="lessThan">
      <formula>0</formula>
    </cfRule>
    <cfRule type="cellIs" dxfId="12696" priority="25073" operator="greaterThan">
      <formula>0</formula>
    </cfRule>
  </conditionalFormatting>
  <conditionalFormatting sqref="AX12:AX13">
    <cfRule type="cellIs" dxfId="12695" priority="25070" operator="lessThan">
      <formula>0</formula>
    </cfRule>
    <cfRule type="cellIs" dxfId="12694" priority="25071" operator="greaterThan">
      <formula>0</formula>
    </cfRule>
  </conditionalFormatting>
  <conditionalFormatting sqref="AX14:AX19">
    <cfRule type="cellIs" dxfId="12693" priority="25068" operator="lessThan">
      <formula>0</formula>
    </cfRule>
    <cfRule type="cellIs" dxfId="12692" priority="25069" operator="greaterThan">
      <formula>0</formula>
    </cfRule>
  </conditionalFormatting>
  <conditionalFormatting sqref="AX20:AX22">
    <cfRule type="cellIs" dxfId="12691" priority="25066" operator="lessThan">
      <formula>0</formula>
    </cfRule>
    <cfRule type="cellIs" dxfId="12690" priority="25067" operator="greaterThan">
      <formula>0</formula>
    </cfRule>
  </conditionalFormatting>
  <conditionalFormatting sqref="BN12:BN13">
    <cfRule type="cellIs" dxfId="12689" priority="24764" operator="lessThan">
      <formula>0</formula>
    </cfRule>
    <cfRule type="cellIs" dxfId="12688" priority="24765" operator="greaterThan">
      <formula>0</formula>
    </cfRule>
  </conditionalFormatting>
  <conditionalFormatting sqref="AX45:AX46">
    <cfRule type="cellIs" dxfId="12687" priority="25084" operator="lessThan">
      <formula>0</formula>
    </cfRule>
    <cfRule type="cellIs" dxfId="12686" priority="25085" operator="greaterThan">
      <formula>0</formula>
    </cfRule>
  </conditionalFormatting>
  <conditionalFormatting sqref="BF27:BF29">
    <cfRule type="cellIs" dxfId="12685" priority="24932" operator="lessThan">
      <formula>0</formula>
    </cfRule>
    <cfRule type="cellIs" dxfId="12684" priority="24933" operator="greaterThan">
      <formula>0</formula>
    </cfRule>
  </conditionalFormatting>
  <conditionalFormatting sqref="BH45:BH46">
    <cfRule type="cellIs" dxfId="12683" priority="24890" operator="lessThan">
      <formula>0</formula>
    </cfRule>
    <cfRule type="cellIs" dxfId="12682" priority="24891" operator="greaterThan">
      <formula>0</formula>
    </cfRule>
  </conditionalFormatting>
  <conditionalFormatting sqref="AZ6 AZ8:AZ11">
    <cfRule type="cellIs" dxfId="12681" priority="25032" operator="lessThan">
      <formula>0</formula>
    </cfRule>
    <cfRule type="cellIs" dxfId="12680" priority="25033" operator="greaterThan">
      <formula>0</formula>
    </cfRule>
  </conditionalFormatting>
  <conditionalFormatting sqref="AZ12:AZ13">
    <cfRule type="cellIs" dxfId="12679" priority="25030" operator="lessThan">
      <formula>0</formula>
    </cfRule>
    <cfRule type="cellIs" dxfId="12678" priority="25031" operator="greaterThan">
      <formula>0</formula>
    </cfRule>
  </conditionalFormatting>
  <conditionalFormatting sqref="AZ14:AZ19">
    <cfRule type="cellIs" dxfId="12677" priority="25028" operator="lessThan">
      <formula>0</formula>
    </cfRule>
    <cfRule type="cellIs" dxfId="12676" priority="25029" operator="greaterThan">
      <formula>0</formula>
    </cfRule>
  </conditionalFormatting>
  <conditionalFormatting sqref="AZ20:AZ22">
    <cfRule type="cellIs" dxfId="12675" priority="25026" operator="lessThan">
      <formula>0</formula>
    </cfRule>
    <cfRule type="cellIs" dxfId="12674" priority="25027" operator="greaterThan">
      <formula>0</formula>
    </cfRule>
  </conditionalFormatting>
  <conditionalFormatting sqref="BP20:BP22">
    <cfRule type="cellIs" dxfId="12673" priority="24724" operator="lessThan">
      <formula>0</formula>
    </cfRule>
    <cfRule type="cellIs" dxfId="12672" priority="24725" operator="greaterThan">
      <formula>0</formula>
    </cfRule>
  </conditionalFormatting>
  <conditionalFormatting sqref="AZ45:AZ46">
    <cfRule type="cellIs" dxfId="12671" priority="25044" operator="lessThan">
      <formula>0</formula>
    </cfRule>
    <cfRule type="cellIs" dxfId="12670" priority="25045" operator="greaterThan">
      <formula>0</formula>
    </cfRule>
  </conditionalFormatting>
  <conditionalFormatting sqref="BB4:BB5">
    <cfRule type="cellIs" dxfId="12669" priority="24994" operator="lessThan">
      <formula>0</formula>
    </cfRule>
    <cfRule type="cellIs" dxfId="12668" priority="24995" operator="greaterThan">
      <formula>0</formula>
    </cfRule>
  </conditionalFormatting>
  <conditionalFormatting sqref="BB6 BB8:BB11">
    <cfRule type="cellIs" dxfId="12667" priority="24992" operator="lessThan">
      <formula>0</formula>
    </cfRule>
    <cfRule type="cellIs" dxfId="12666" priority="24993" operator="greaterThan">
      <formula>0</formula>
    </cfRule>
  </conditionalFormatting>
  <conditionalFormatting sqref="BB12:BB13">
    <cfRule type="cellIs" dxfId="12665" priority="24990" operator="lessThan">
      <formula>0</formula>
    </cfRule>
    <cfRule type="cellIs" dxfId="12664" priority="24991" operator="greaterThan">
      <formula>0</formula>
    </cfRule>
  </conditionalFormatting>
  <conditionalFormatting sqref="BB14:BB19">
    <cfRule type="cellIs" dxfId="12663" priority="24988" operator="lessThan">
      <formula>0</formula>
    </cfRule>
    <cfRule type="cellIs" dxfId="12662" priority="24989" operator="greaterThan">
      <formula>0</formula>
    </cfRule>
  </conditionalFormatting>
  <conditionalFormatting sqref="BB20:BB22">
    <cfRule type="cellIs" dxfId="12661" priority="24986" operator="lessThan">
      <formula>0</formula>
    </cfRule>
    <cfRule type="cellIs" dxfId="12660" priority="24987" operator="greaterThan">
      <formula>0</formula>
    </cfRule>
  </conditionalFormatting>
  <conditionalFormatting sqref="BR20:BR22">
    <cfRule type="cellIs" dxfId="12659" priority="24684" operator="lessThan">
      <formula>0</formula>
    </cfRule>
    <cfRule type="cellIs" dxfId="12658" priority="24685" operator="greaterThan">
      <formula>0</formula>
    </cfRule>
  </conditionalFormatting>
  <conditionalFormatting sqref="BB45:BB46">
    <cfRule type="cellIs" dxfId="12657" priority="25004" operator="lessThan">
      <formula>0</formula>
    </cfRule>
    <cfRule type="cellIs" dxfId="12656" priority="25005" operator="greaterThan">
      <formula>0</formula>
    </cfRule>
  </conditionalFormatting>
  <conditionalFormatting sqref="BD4:BD5">
    <cfRule type="cellIs" dxfId="12655" priority="24956" operator="lessThan">
      <formula>0</formula>
    </cfRule>
    <cfRule type="cellIs" dxfId="12654" priority="24957" operator="greaterThan">
      <formula>0</formula>
    </cfRule>
  </conditionalFormatting>
  <conditionalFormatting sqref="BD6 BD8:BD11">
    <cfRule type="cellIs" dxfId="12653" priority="24954" operator="lessThan">
      <formula>0</formula>
    </cfRule>
    <cfRule type="cellIs" dxfId="12652" priority="24955" operator="greaterThan">
      <formula>0</formula>
    </cfRule>
  </conditionalFormatting>
  <conditionalFormatting sqref="BD14:BD19">
    <cfRule type="cellIs" dxfId="12651" priority="24950" operator="lessThan">
      <formula>0</formula>
    </cfRule>
    <cfRule type="cellIs" dxfId="12650" priority="24951" operator="greaterThan">
      <formula>0</formula>
    </cfRule>
  </conditionalFormatting>
  <conditionalFormatting sqref="BD20:BD22">
    <cfRule type="cellIs" dxfId="12649" priority="24948" operator="lessThan">
      <formula>0</formula>
    </cfRule>
    <cfRule type="cellIs" dxfId="12648" priority="24949" operator="greaterThan">
      <formula>0</formula>
    </cfRule>
  </conditionalFormatting>
  <conditionalFormatting sqref="BT20:BT22">
    <cfRule type="cellIs" dxfId="12647" priority="24646" operator="lessThan">
      <formula>0</formula>
    </cfRule>
    <cfRule type="cellIs" dxfId="12646" priority="24647" operator="greaterThan">
      <formula>0</formula>
    </cfRule>
  </conditionalFormatting>
  <conditionalFormatting sqref="BD45:BD46">
    <cfRule type="cellIs" dxfId="12645" priority="24966" operator="lessThan">
      <formula>0</formula>
    </cfRule>
    <cfRule type="cellIs" dxfId="12644" priority="24967" operator="greaterThan">
      <formula>0</formula>
    </cfRule>
  </conditionalFormatting>
  <conditionalFormatting sqref="BL45:BL46">
    <cfRule type="cellIs" dxfId="12643" priority="24814" operator="lessThan">
      <formula>0</formula>
    </cfRule>
    <cfRule type="cellIs" dxfId="12642" priority="24815" operator="greaterThan">
      <formula>0</formula>
    </cfRule>
  </conditionalFormatting>
  <conditionalFormatting sqref="BF4:BF5">
    <cfRule type="cellIs" dxfId="12641" priority="24916" operator="lessThan">
      <formula>0</formula>
    </cfRule>
    <cfRule type="cellIs" dxfId="12640" priority="24917" operator="greaterThan">
      <formula>0</formula>
    </cfRule>
  </conditionalFormatting>
  <conditionalFormatting sqref="BF6 BF8 BF11">
    <cfRule type="cellIs" dxfId="12639" priority="24914" operator="lessThan">
      <formula>0</formula>
    </cfRule>
    <cfRule type="cellIs" dxfId="12638" priority="24915" operator="greaterThan">
      <formula>0</formula>
    </cfRule>
  </conditionalFormatting>
  <conditionalFormatting sqref="BF12:BF13">
    <cfRule type="cellIs" dxfId="12637" priority="24912" operator="lessThan">
      <formula>0</formula>
    </cfRule>
    <cfRule type="cellIs" dxfId="12636" priority="24913" operator="greaterThan">
      <formula>0</formula>
    </cfRule>
  </conditionalFormatting>
  <conditionalFormatting sqref="BF14:BF15 BF19">
    <cfRule type="cellIs" dxfId="12635" priority="24910" operator="lessThan">
      <formula>0</formula>
    </cfRule>
    <cfRule type="cellIs" dxfId="12634" priority="24911" operator="greaterThan">
      <formula>0</formula>
    </cfRule>
  </conditionalFormatting>
  <conditionalFormatting sqref="BF20:BF22">
    <cfRule type="cellIs" dxfId="12633" priority="24908" operator="lessThan">
      <formula>0</formula>
    </cfRule>
    <cfRule type="cellIs" dxfId="12632" priority="24909" operator="greaterThan">
      <formula>0</formula>
    </cfRule>
  </conditionalFormatting>
  <conditionalFormatting sqref="BV20:BV22">
    <cfRule type="cellIs" dxfId="12631" priority="24606" operator="lessThan">
      <formula>0</formula>
    </cfRule>
    <cfRule type="cellIs" dxfId="12630" priority="24607" operator="greaterThan">
      <formula>0</formula>
    </cfRule>
  </conditionalFormatting>
  <conditionalFormatting sqref="BF45:BF46">
    <cfRule type="cellIs" dxfId="12629" priority="24926" operator="lessThan">
      <formula>0</formula>
    </cfRule>
    <cfRule type="cellIs" dxfId="12628" priority="24927" operator="greaterThan">
      <formula>0</formula>
    </cfRule>
  </conditionalFormatting>
  <conditionalFormatting sqref="BH4:BH5">
    <cfRule type="cellIs" dxfId="12627" priority="24880" operator="lessThan">
      <formula>0</formula>
    </cfRule>
    <cfRule type="cellIs" dxfId="12626" priority="24881" operator="greaterThan">
      <formula>0</formula>
    </cfRule>
  </conditionalFormatting>
  <conditionalFormatting sqref="BH6 BH8 BH11">
    <cfRule type="cellIs" dxfId="12625" priority="24878" operator="lessThan">
      <formula>0</formula>
    </cfRule>
    <cfRule type="cellIs" dxfId="12624" priority="24879" operator="greaterThan">
      <formula>0</formula>
    </cfRule>
  </conditionalFormatting>
  <conditionalFormatting sqref="BH12:BH13">
    <cfRule type="cellIs" dxfId="12623" priority="24876" operator="lessThan">
      <formula>0</formula>
    </cfRule>
    <cfRule type="cellIs" dxfId="12622" priority="24877" operator="greaterThan">
      <formula>0</formula>
    </cfRule>
  </conditionalFormatting>
  <conditionalFormatting sqref="BH14:BH15 BH19">
    <cfRule type="cellIs" dxfId="12621" priority="24874" operator="lessThan">
      <formula>0</formula>
    </cfRule>
    <cfRule type="cellIs" dxfId="12620" priority="24875" operator="greaterThan">
      <formula>0</formula>
    </cfRule>
  </conditionalFormatting>
  <conditionalFormatting sqref="BH20:BH22">
    <cfRule type="cellIs" dxfId="12619" priority="24872" operator="lessThan">
      <formula>0</formula>
    </cfRule>
    <cfRule type="cellIs" dxfId="12618" priority="24873" operator="greaterThan">
      <formula>0</formula>
    </cfRule>
  </conditionalFormatting>
  <conditionalFormatting sqref="BX14:BX15 BX19">
    <cfRule type="cellIs" dxfId="12617" priority="24570" operator="lessThan">
      <formula>0</formula>
    </cfRule>
    <cfRule type="cellIs" dxfId="12616" priority="24571" operator="greaterThan">
      <formula>0</formula>
    </cfRule>
  </conditionalFormatting>
  <conditionalFormatting sqref="BJ4:BJ5">
    <cfRule type="cellIs" dxfId="12615" priority="24844" operator="lessThan">
      <formula>0</formula>
    </cfRule>
    <cfRule type="cellIs" dxfId="12614" priority="24845" operator="greaterThan">
      <formula>0</formula>
    </cfRule>
  </conditionalFormatting>
  <conditionalFormatting sqref="BJ6 BJ11">
    <cfRule type="cellIs" dxfId="12613" priority="24842" operator="lessThan">
      <formula>0</formula>
    </cfRule>
    <cfRule type="cellIs" dxfId="12612" priority="24843" operator="greaterThan">
      <formula>0</formula>
    </cfRule>
  </conditionalFormatting>
  <conditionalFormatting sqref="BJ12:BJ13">
    <cfRule type="cellIs" dxfId="12611" priority="24840" operator="lessThan">
      <formula>0</formula>
    </cfRule>
    <cfRule type="cellIs" dxfId="12610" priority="24841" operator="greaterThan">
      <formula>0</formula>
    </cfRule>
  </conditionalFormatting>
  <conditionalFormatting sqref="BJ14:BJ15 BJ19">
    <cfRule type="cellIs" dxfId="12609" priority="24838" operator="lessThan">
      <formula>0</formula>
    </cfRule>
    <cfRule type="cellIs" dxfId="12608" priority="24839" operator="greaterThan">
      <formula>0</formula>
    </cfRule>
  </conditionalFormatting>
  <conditionalFormatting sqref="BJ20:BJ22">
    <cfRule type="cellIs" dxfId="12607" priority="24836" operator="lessThan">
      <formula>0</formula>
    </cfRule>
    <cfRule type="cellIs" dxfId="12606" priority="24837" operator="greaterThan">
      <formula>0</formula>
    </cfRule>
  </conditionalFormatting>
  <conditionalFormatting sqref="BZ6 BZ11">
    <cfRule type="cellIs" dxfId="12605" priority="24534" operator="lessThan">
      <formula>0</formula>
    </cfRule>
    <cfRule type="cellIs" dxfId="12604" priority="24535" operator="greaterThan">
      <formula>0</formula>
    </cfRule>
  </conditionalFormatting>
  <conditionalFormatting sqref="BJ27:BJ29">
    <cfRule type="cellIs" dxfId="12603" priority="24860" operator="lessThan">
      <formula>0</formula>
    </cfRule>
    <cfRule type="cellIs" dxfId="12602" priority="24861" operator="greaterThan">
      <formula>0</formula>
    </cfRule>
  </conditionalFormatting>
  <conditionalFormatting sqref="BJ45:BJ46">
    <cfRule type="cellIs" dxfId="12601" priority="24854" operator="lessThan">
      <formula>0</formula>
    </cfRule>
    <cfRule type="cellIs" dxfId="12600" priority="24855" operator="greaterThan">
      <formula>0</formula>
    </cfRule>
  </conditionalFormatting>
  <conditionalFormatting sqref="BR45:BR46">
    <cfRule type="cellIs" dxfId="12599" priority="24702" operator="lessThan">
      <formula>0</formula>
    </cfRule>
    <cfRule type="cellIs" dxfId="12598" priority="24703" operator="greaterThan">
      <formula>0</formula>
    </cfRule>
  </conditionalFormatting>
  <conditionalFormatting sqref="BL4:BL5">
    <cfRule type="cellIs" dxfId="12597" priority="24804" operator="lessThan">
      <formula>0</formula>
    </cfRule>
    <cfRule type="cellIs" dxfId="12596" priority="24805" operator="greaterThan">
      <formula>0</formula>
    </cfRule>
  </conditionalFormatting>
  <conditionalFormatting sqref="BL6 BL11">
    <cfRule type="cellIs" dxfId="12595" priority="24802" operator="lessThan">
      <formula>0</formula>
    </cfRule>
    <cfRule type="cellIs" dxfId="12594" priority="24803" operator="greaterThan">
      <formula>0</formula>
    </cfRule>
  </conditionalFormatting>
  <conditionalFormatting sqref="BL12:BL13">
    <cfRule type="cellIs" dxfId="12593" priority="24800" operator="lessThan">
      <formula>0</formula>
    </cfRule>
    <cfRule type="cellIs" dxfId="12592" priority="24801" operator="greaterThan">
      <formula>0</formula>
    </cfRule>
  </conditionalFormatting>
  <conditionalFormatting sqref="BL14:BL15 BL19">
    <cfRule type="cellIs" dxfId="12591" priority="24798" operator="lessThan">
      <formula>0</formula>
    </cfRule>
    <cfRule type="cellIs" dxfId="12590" priority="24799" operator="greaterThan">
      <formula>0</formula>
    </cfRule>
  </conditionalFormatting>
  <conditionalFormatting sqref="BL20:BL22">
    <cfRule type="cellIs" dxfId="12589" priority="24796" operator="lessThan">
      <formula>0</formula>
    </cfRule>
    <cfRule type="cellIs" dxfId="12588" priority="24797" operator="greaterThan">
      <formula>0</formula>
    </cfRule>
  </conditionalFormatting>
  <conditionalFormatting sqref="CB6 CB11">
    <cfRule type="cellIs" dxfId="12587" priority="24494" operator="lessThan">
      <formula>0</formula>
    </cfRule>
    <cfRule type="cellIs" dxfId="12586" priority="24495" operator="greaterThan">
      <formula>0</formula>
    </cfRule>
  </conditionalFormatting>
  <conditionalFormatting sqref="BL27:BL29">
    <cfRule type="cellIs" dxfId="12585" priority="24820" operator="lessThan">
      <formula>0</formula>
    </cfRule>
    <cfRule type="cellIs" dxfId="12584" priority="24821" operator="greaterThan">
      <formula>0</formula>
    </cfRule>
  </conditionalFormatting>
  <conditionalFormatting sqref="BN4:BN5">
    <cfRule type="cellIs" dxfId="12583" priority="24768" operator="lessThan">
      <formula>0</formula>
    </cfRule>
    <cfRule type="cellIs" dxfId="12582" priority="24769" operator="greaterThan">
      <formula>0</formula>
    </cfRule>
  </conditionalFormatting>
  <conditionalFormatting sqref="BN6 BN11">
    <cfRule type="cellIs" dxfId="12581" priority="24766" operator="lessThan">
      <formula>0</formula>
    </cfRule>
    <cfRule type="cellIs" dxfId="12580" priority="24767" operator="greaterThan">
      <formula>0</formula>
    </cfRule>
  </conditionalFormatting>
  <conditionalFormatting sqref="BN14:BN15 BN19">
    <cfRule type="cellIs" dxfId="12579" priority="24762" operator="lessThan">
      <formula>0</formula>
    </cfRule>
    <cfRule type="cellIs" dxfId="12578" priority="24763" operator="greaterThan">
      <formula>0</formula>
    </cfRule>
  </conditionalFormatting>
  <conditionalFormatting sqref="BN20:BN22">
    <cfRule type="cellIs" dxfId="12577" priority="24760" operator="lessThan">
      <formula>0</formula>
    </cfRule>
    <cfRule type="cellIs" dxfId="12576" priority="24761" operator="greaterThan">
      <formula>0</formula>
    </cfRule>
  </conditionalFormatting>
  <conditionalFormatting sqref="CD4:CD5">
    <cfRule type="cellIs" dxfId="12575" priority="24458" operator="lessThan">
      <formula>0</formula>
    </cfRule>
    <cfRule type="cellIs" dxfId="12574" priority="24459" operator="greaterThan">
      <formula>0</formula>
    </cfRule>
  </conditionalFormatting>
  <conditionalFormatting sqref="BN27:BN29">
    <cfRule type="cellIs" dxfId="12573" priority="24784" operator="lessThan">
      <formula>0</formula>
    </cfRule>
    <cfRule type="cellIs" dxfId="12572" priority="24785" operator="greaterThan">
      <formula>0</formula>
    </cfRule>
  </conditionalFormatting>
  <conditionalFormatting sqref="BN45:BN46">
    <cfRule type="cellIs" dxfId="12571" priority="24778" operator="lessThan">
      <formula>0</formula>
    </cfRule>
    <cfRule type="cellIs" dxfId="12570" priority="24779" operator="greaterThan">
      <formula>0</formula>
    </cfRule>
  </conditionalFormatting>
  <conditionalFormatting sqref="BP4:BP5">
    <cfRule type="cellIs" dxfId="12569" priority="24732" operator="lessThan">
      <formula>0</formula>
    </cfRule>
    <cfRule type="cellIs" dxfId="12568" priority="24733" operator="greaterThan">
      <formula>0</formula>
    </cfRule>
  </conditionalFormatting>
  <conditionalFormatting sqref="BP6 BP11">
    <cfRule type="cellIs" dxfId="12567" priority="24730" operator="lessThan">
      <formula>0</formula>
    </cfRule>
    <cfRule type="cellIs" dxfId="12566" priority="24731" operator="greaterThan">
      <formula>0</formula>
    </cfRule>
  </conditionalFormatting>
  <conditionalFormatting sqref="BP12:BP13">
    <cfRule type="cellIs" dxfId="12565" priority="24728" operator="lessThan">
      <formula>0</formula>
    </cfRule>
    <cfRule type="cellIs" dxfId="12564" priority="24729" operator="greaterThan">
      <formula>0</formula>
    </cfRule>
  </conditionalFormatting>
  <conditionalFormatting sqref="BP14:BP15 BP19">
    <cfRule type="cellIs" dxfId="12563" priority="24726" operator="lessThan">
      <formula>0</formula>
    </cfRule>
    <cfRule type="cellIs" dxfId="12562" priority="24727" operator="greaterThan">
      <formula>0</formula>
    </cfRule>
  </conditionalFormatting>
  <conditionalFormatting sqref="BP27:BP29">
    <cfRule type="cellIs" dxfId="12561" priority="24748" operator="lessThan">
      <formula>0</formula>
    </cfRule>
    <cfRule type="cellIs" dxfId="12560" priority="24749" operator="greaterThan">
      <formula>0</formula>
    </cfRule>
  </conditionalFormatting>
  <conditionalFormatting sqref="BP45:BP46">
    <cfRule type="cellIs" dxfId="12559" priority="24742" operator="lessThan">
      <formula>0</formula>
    </cfRule>
    <cfRule type="cellIs" dxfId="12558" priority="24743" operator="greaterThan">
      <formula>0</formula>
    </cfRule>
  </conditionalFormatting>
  <conditionalFormatting sqref="BR4:BR5">
    <cfRule type="cellIs" dxfId="12557" priority="24692" operator="lessThan">
      <formula>0</formula>
    </cfRule>
    <cfRule type="cellIs" dxfId="12556" priority="24693" operator="greaterThan">
      <formula>0</formula>
    </cfRule>
  </conditionalFormatting>
  <conditionalFormatting sqref="BR6 BR11">
    <cfRule type="cellIs" dxfId="12555" priority="24690" operator="lessThan">
      <formula>0</formula>
    </cfRule>
    <cfRule type="cellIs" dxfId="12554" priority="24691" operator="greaterThan">
      <formula>0</formula>
    </cfRule>
  </conditionalFormatting>
  <conditionalFormatting sqref="BR12:BR13">
    <cfRule type="cellIs" dxfId="12553" priority="24688" operator="lessThan">
      <formula>0</formula>
    </cfRule>
    <cfRule type="cellIs" dxfId="12552" priority="24689" operator="greaterThan">
      <formula>0</formula>
    </cfRule>
  </conditionalFormatting>
  <conditionalFormatting sqref="BR14:BR15 BR19">
    <cfRule type="cellIs" dxfId="12551" priority="24686" operator="lessThan">
      <formula>0</formula>
    </cfRule>
    <cfRule type="cellIs" dxfId="12550" priority="24687" operator="greaterThan">
      <formula>0</formula>
    </cfRule>
  </conditionalFormatting>
  <conditionalFormatting sqref="BR27:BR29">
    <cfRule type="cellIs" dxfId="12549" priority="24708" operator="lessThan">
      <formula>0</formula>
    </cfRule>
    <cfRule type="cellIs" dxfId="12548" priority="24709" operator="greaterThan">
      <formula>0</formula>
    </cfRule>
  </conditionalFormatting>
  <conditionalFormatting sqref="BT4:BT5">
    <cfRule type="cellIs" dxfId="12547" priority="24654" operator="lessThan">
      <formula>0</formula>
    </cfRule>
    <cfRule type="cellIs" dxfId="12546" priority="24655" operator="greaterThan">
      <formula>0</formula>
    </cfRule>
  </conditionalFormatting>
  <conditionalFormatting sqref="BT6 BT11">
    <cfRule type="cellIs" dxfId="12545" priority="24652" operator="lessThan">
      <formula>0</formula>
    </cfRule>
    <cfRule type="cellIs" dxfId="12544" priority="24653" operator="greaterThan">
      <formula>0</formula>
    </cfRule>
  </conditionalFormatting>
  <conditionalFormatting sqref="BT12:BT13">
    <cfRule type="cellIs" dxfId="12543" priority="24650" operator="lessThan">
      <formula>0</formula>
    </cfRule>
    <cfRule type="cellIs" dxfId="12542" priority="24651" operator="greaterThan">
      <formula>0</formula>
    </cfRule>
  </conditionalFormatting>
  <conditionalFormatting sqref="BT14:BT15 BT19">
    <cfRule type="cellIs" dxfId="12541" priority="24648" operator="lessThan">
      <formula>0</formula>
    </cfRule>
    <cfRule type="cellIs" dxfId="12540" priority="24649" operator="greaterThan">
      <formula>0</formula>
    </cfRule>
  </conditionalFormatting>
  <conditionalFormatting sqref="BT27:BT29">
    <cfRule type="cellIs" dxfId="12539" priority="24670" operator="lessThan">
      <formula>0</formula>
    </cfRule>
    <cfRule type="cellIs" dxfId="12538" priority="24671" operator="greaterThan">
      <formula>0</formula>
    </cfRule>
  </conditionalFormatting>
  <conditionalFormatting sqref="BT45:BT46">
    <cfRule type="cellIs" dxfId="12537" priority="24664" operator="lessThan">
      <formula>0</formula>
    </cfRule>
    <cfRule type="cellIs" dxfId="12536" priority="24665" operator="greaterThan">
      <formula>0</formula>
    </cfRule>
  </conditionalFormatting>
  <conditionalFormatting sqref="CB27:CB29">
    <cfRule type="cellIs" dxfId="12535" priority="24512" operator="lessThan">
      <formula>0</formula>
    </cfRule>
    <cfRule type="cellIs" dxfId="12534" priority="24513" operator="greaterThan">
      <formula>0</formula>
    </cfRule>
  </conditionalFormatting>
  <conditionalFormatting sqref="BV4:BV5">
    <cfRule type="cellIs" dxfId="12533" priority="24614" operator="lessThan">
      <formula>0</formula>
    </cfRule>
    <cfRule type="cellIs" dxfId="12532" priority="24615" operator="greaterThan">
      <formula>0</formula>
    </cfRule>
  </conditionalFormatting>
  <conditionalFormatting sqref="BV6 BV11">
    <cfRule type="cellIs" dxfId="12531" priority="24612" operator="lessThan">
      <formula>0</formula>
    </cfRule>
    <cfRule type="cellIs" dxfId="12530" priority="24613" operator="greaterThan">
      <formula>0</formula>
    </cfRule>
  </conditionalFormatting>
  <conditionalFormatting sqref="BV12:BV13">
    <cfRule type="cellIs" dxfId="12529" priority="24610" operator="lessThan">
      <formula>0</formula>
    </cfRule>
    <cfRule type="cellIs" dxfId="12528" priority="24611" operator="greaterThan">
      <formula>0</formula>
    </cfRule>
  </conditionalFormatting>
  <conditionalFormatting sqref="BV14:BV15 BV19">
    <cfRule type="cellIs" dxfId="12527" priority="24608" operator="lessThan">
      <formula>0</formula>
    </cfRule>
    <cfRule type="cellIs" dxfId="12526" priority="24609" operator="greaterThan">
      <formula>0</formula>
    </cfRule>
  </conditionalFormatting>
  <conditionalFormatting sqref="BV27:BV29">
    <cfRule type="cellIs" dxfId="12525" priority="24630" operator="lessThan">
      <formula>0</formula>
    </cfRule>
    <cfRule type="cellIs" dxfId="12524" priority="24631" operator="greaterThan">
      <formula>0</formula>
    </cfRule>
  </conditionalFormatting>
  <conditionalFormatting sqref="BV45:BV46">
    <cfRule type="cellIs" dxfId="12523" priority="24624" operator="lessThan">
      <formula>0</formula>
    </cfRule>
    <cfRule type="cellIs" dxfId="12522" priority="24625" operator="greaterThan">
      <formula>0</formula>
    </cfRule>
  </conditionalFormatting>
  <conditionalFormatting sqref="BX4:BX5">
    <cfRule type="cellIs" dxfId="12521" priority="24576" operator="lessThan">
      <formula>0</formula>
    </cfRule>
    <cfRule type="cellIs" dxfId="12520" priority="24577" operator="greaterThan">
      <formula>0</formula>
    </cfRule>
  </conditionalFormatting>
  <conditionalFormatting sqref="BX6 BX11">
    <cfRule type="cellIs" dxfId="12519" priority="24574" operator="lessThan">
      <formula>0</formula>
    </cfRule>
    <cfRule type="cellIs" dxfId="12518" priority="24575" operator="greaterThan">
      <formula>0</formula>
    </cfRule>
  </conditionalFormatting>
  <conditionalFormatting sqref="BX12:BX13">
    <cfRule type="cellIs" dxfId="12517" priority="24572" operator="lessThan">
      <formula>0</formula>
    </cfRule>
    <cfRule type="cellIs" dxfId="12516" priority="24573" operator="greaterThan">
      <formula>0</formula>
    </cfRule>
  </conditionalFormatting>
  <conditionalFormatting sqref="BX20:BX22">
    <cfRule type="cellIs" dxfId="12515" priority="24568" operator="lessThan">
      <formula>0</formula>
    </cfRule>
    <cfRule type="cellIs" dxfId="12514" priority="24569" operator="greaterThan">
      <formula>0</formula>
    </cfRule>
  </conditionalFormatting>
  <conditionalFormatting sqref="BX27:BX29">
    <cfRule type="cellIs" dxfId="12513" priority="24592" operator="lessThan">
      <formula>0</formula>
    </cfRule>
    <cfRule type="cellIs" dxfId="12512" priority="24593" operator="greaterThan">
      <formula>0</formula>
    </cfRule>
  </conditionalFormatting>
  <conditionalFormatting sqref="BX45:BX46">
    <cfRule type="cellIs" dxfId="12511" priority="24586" operator="lessThan">
      <formula>0</formula>
    </cfRule>
    <cfRule type="cellIs" dxfId="12510" priority="24587" operator="greaterThan">
      <formula>0</formula>
    </cfRule>
  </conditionalFormatting>
  <conditionalFormatting sqref="BZ4:BZ5">
    <cfRule type="cellIs" dxfId="12509" priority="24536" operator="lessThan">
      <formula>0</formula>
    </cfRule>
    <cfRule type="cellIs" dxfId="12508" priority="24537" operator="greaterThan">
      <formula>0</formula>
    </cfRule>
  </conditionalFormatting>
  <conditionalFormatting sqref="BZ12:BZ13">
    <cfRule type="cellIs" dxfId="12507" priority="24532" operator="lessThan">
      <formula>0</formula>
    </cfRule>
    <cfRule type="cellIs" dxfId="12506" priority="24533" operator="greaterThan">
      <formula>0</formula>
    </cfRule>
  </conditionalFormatting>
  <conditionalFormatting sqref="BZ14:BZ15 BZ19">
    <cfRule type="cellIs" dxfId="12505" priority="24530" operator="lessThan">
      <formula>0</formula>
    </cfRule>
    <cfRule type="cellIs" dxfId="12504" priority="24531" operator="greaterThan">
      <formula>0</formula>
    </cfRule>
  </conditionalFormatting>
  <conditionalFormatting sqref="BZ20:BZ22">
    <cfRule type="cellIs" dxfId="12503" priority="24528" operator="lessThan">
      <formula>0</formula>
    </cfRule>
    <cfRule type="cellIs" dxfId="12502" priority="24529" operator="greaterThan">
      <formula>0</formula>
    </cfRule>
  </conditionalFormatting>
  <conditionalFormatting sqref="BZ27:BZ29">
    <cfRule type="cellIs" dxfId="12501" priority="24552" operator="lessThan">
      <formula>0</formula>
    </cfRule>
    <cfRule type="cellIs" dxfId="12500" priority="24553" operator="greaterThan">
      <formula>0</formula>
    </cfRule>
  </conditionalFormatting>
  <conditionalFormatting sqref="BZ45:BZ46">
    <cfRule type="cellIs" dxfId="12499" priority="24546" operator="lessThan">
      <formula>0</formula>
    </cfRule>
    <cfRule type="cellIs" dxfId="12498" priority="24547" operator="greaterThan">
      <formula>0</formula>
    </cfRule>
  </conditionalFormatting>
  <conditionalFormatting sqref="CB4:CB5">
    <cfRule type="cellIs" dxfId="12497" priority="24496" operator="lessThan">
      <formula>0</formula>
    </cfRule>
    <cfRule type="cellIs" dxfId="12496" priority="24497" operator="greaterThan">
      <formula>0</formula>
    </cfRule>
  </conditionalFormatting>
  <conditionalFormatting sqref="CB12:CB13">
    <cfRule type="cellIs" dxfId="12495" priority="24492" operator="lessThan">
      <formula>0</formula>
    </cfRule>
    <cfRule type="cellIs" dxfId="12494" priority="24493" operator="greaterThan">
      <formula>0</formula>
    </cfRule>
  </conditionalFormatting>
  <conditionalFormatting sqref="CB14:CB15 CB19">
    <cfRule type="cellIs" dxfId="12493" priority="24490" operator="lessThan">
      <formula>0</formula>
    </cfRule>
    <cfRule type="cellIs" dxfId="12492" priority="24491" operator="greaterThan">
      <formula>0</formula>
    </cfRule>
  </conditionalFormatting>
  <conditionalFormatting sqref="CB20:CB22">
    <cfRule type="cellIs" dxfId="12491" priority="24488" operator="lessThan">
      <formula>0</formula>
    </cfRule>
    <cfRule type="cellIs" dxfId="12490" priority="24489" operator="greaterThan">
      <formula>0</formula>
    </cfRule>
  </conditionalFormatting>
  <conditionalFormatting sqref="CB45:CB46">
    <cfRule type="cellIs" dxfId="12489" priority="24506" operator="lessThan">
      <formula>0</formula>
    </cfRule>
    <cfRule type="cellIs" dxfId="12488" priority="24507" operator="greaterThan">
      <formula>0</formula>
    </cfRule>
  </conditionalFormatting>
  <conditionalFormatting sqref="CD6 CD11">
    <cfRule type="cellIs" dxfId="12487" priority="24456" operator="lessThan">
      <formula>0</formula>
    </cfRule>
    <cfRule type="cellIs" dxfId="12486" priority="24457" operator="greaterThan">
      <formula>0</formula>
    </cfRule>
  </conditionalFormatting>
  <conditionalFormatting sqref="CD12:CD13">
    <cfRule type="cellIs" dxfId="12485" priority="24454" operator="lessThan">
      <formula>0</formula>
    </cfRule>
    <cfRule type="cellIs" dxfId="12484" priority="24455" operator="greaterThan">
      <formula>0</formula>
    </cfRule>
  </conditionalFormatting>
  <conditionalFormatting sqref="CD14:CD15 CD19">
    <cfRule type="cellIs" dxfId="12483" priority="24452" operator="lessThan">
      <formula>0</formula>
    </cfRule>
    <cfRule type="cellIs" dxfId="12482" priority="24453" operator="greaterThan">
      <formula>0</formula>
    </cfRule>
  </conditionalFormatting>
  <conditionalFormatting sqref="CD20:CD22">
    <cfRule type="cellIs" dxfId="12481" priority="24450" operator="lessThan">
      <formula>0</formula>
    </cfRule>
    <cfRule type="cellIs" dxfId="12480" priority="24451" operator="greaterThan">
      <formula>0</formula>
    </cfRule>
  </conditionalFormatting>
  <conditionalFormatting sqref="CT27:CT29">
    <cfRule type="cellIs" dxfId="12479" priority="24148" operator="lessThan">
      <formula>0</formula>
    </cfRule>
    <cfRule type="cellIs" dxfId="12478" priority="24149" operator="greaterThan">
      <formula>0</formula>
    </cfRule>
  </conditionalFormatting>
  <conditionalFormatting sqref="CD27:CD29">
    <cfRule type="cellIs" dxfId="12477" priority="24474" operator="lessThan">
      <formula>0</formula>
    </cfRule>
    <cfRule type="cellIs" dxfId="12476" priority="24475" operator="greaterThan">
      <formula>0</formula>
    </cfRule>
  </conditionalFormatting>
  <conditionalFormatting sqref="CD45:CD46">
    <cfRule type="cellIs" dxfId="12475" priority="24468" operator="lessThan">
      <formula>0</formula>
    </cfRule>
    <cfRule type="cellIs" dxfId="12474" priority="24469" operator="greaterThan">
      <formula>0</formula>
    </cfRule>
  </conditionalFormatting>
  <conditionalFormatting sqref="CF4:CF5">
    <cfRule type="cellIs" dxfId="12473" priority="24420" operator="lessThan">
      <formula>0</formula>
    </cfRule>
    <cfRule type="cellIs" dxfId="12472" priority="24421" operator="greaterThan">
      <formula>0</formula>
    </cfRule>
  </conditionalFormatting>
  <conditionalFormatting sqref="CF6 CF11">
    <cfRule type="cellIs" dxfId="12471" priority="24418" operator="lessThan">
      <formula>0</formula>
    </cfRule>
    <cfRule type="cellIs" dxfId="12470" priority="24419" operator="greaterThan">
      <formula>0</formula>
    </cfRule>
  </conditionalFormatting>
  <conditionalFormatting sqref="CF12:CF13">
    <cfRule type="cellIs" dxfId="12469" priority="24416" operator="lessThan">
      <formula>0</formula>
    </cfRule>
    <cfRule type="cellIs" dxfId="12468" priority="24417" operator="greaterThan">
      <formula>0</formula>
    </cfRule>
  </conditionalFormatting>
  <conditionalFormatting sqref="CF14:CF15 CF19">
    <cfRule type="cellIs" dxfId="12467" priority="24414" operator="lessThan">
      <formula>0</formula>
    </cfRule>
    <cfRule type="cellIs" dxfId="12466" priority="24415" operator="greaterThan">
      <formula>0</formula>
    </cfRule>
  </conditionalFormatting>
  <conditionalFormatting sqref="CF20:CF22">
    <cfRule type="cellIs" dxfId="12465" priority="24412" operator="lessThan">
      <formula>0</formula>
    </cfRule>
    <cfRule type="cellIs" dxfId="12464" priority="24413" operator="greaterThan">
      <formula>0</formula>
    </cfRule>
  </conditionalFormatting>
  <conditionalFormatting sqref="CF27:CF29">
    <cfRule type="cellIs" dxfId="12463" priority="24436" operator="lessThan">
      <formula>0</formula>
    </cfRule>
    <cfRule type="cellIs" dxfId="12462" priority="24437" operator="greaterThan">
      <formula>0</formula>
    </cfRule>
  </conditionalFormatting>
  <conditionalFormatting sqref="CF45:CF46">
    <cfRule type="cellIs" dxfId="12461" priority="24430" operator="lessThan">
      <formula>0</formula>
    </cfRule>
    <cfRule type="cellIs" dxfId="12460" priority="24431" operator="greaterThan">
      <formula>0</formula>
    </cfRule>
  </conditionalFormatting>
  <conditionalFormatting sqref="CH4:CH5">
    <cfRule type="cellIs" dxfId="12459" priority="24376" operator="lessThan">
      <formula>0</formula>
    </cfRule>
    <cfRule type="cellIs" dxfId="12458" priority="24377" operator="greaterThan">
      <formula>0</formula>
    </cfRule>
  </conditionalFormatting>
  <conditionalFormatting sqref="CH6 CH11">
    <cfRule type="cellIs" dxfId="12457" priority="24374" operator="lessThan">
      <formula>0</formula>
    </cfRule>
    <cfRule type="cellIs" dxfId="12456" priority="24375" operator="greaterThan">
      <formula>0</formula>
    </cfRule>
  </conditionalFormatting>
  <conditionalFormatting sqref="CH12:CH13">
    <cfRule type="cellIs" dxfId="12455" priority="24372" operator="lessThan">
      <formula>0</formula>
    </cfRule>
    <cfRule type="cellIs" dxfId="12454" priority="24373" operator="greaterThan">
      <formula>0</formula>
    </cfRule>
  </conditionalFormatting>
  <conditionalFormatting sqref="CH14:CH15 CH19">
    <cfRule type="cellIs" dxfId="12453" priority="24370" operator="lessThan">
      <formula>0</formula>
    </cfRule>
    <cfRule type="cellIs" dxfId="12452" priority="24371" operator="greaterThan">
      <formula>0</formula>
    </cfRule>
  </conditionalFormatting>
  <conditionalFormatting sqref="CH20:CH22">
    <cfRule type="cellIs" dxfId="12451" priority="24368" operator="lessThan">
      <formula>0</formula>
    </cfRule>
    <cfRule type="cellIs" dxfId="12450" priority="24369" operator="greaterThan">
      <formula>0</formula>
    </cfRule>
  </conditionalFormatting>
  <conditionalFormatting sqref="CH27:CH29">
    <cfRule type="cellIs" dxfId="12449" priority="24392" operator="lessThan">
      <formula>0</formula>
    </cfRule>
    <cfRule type="cellIs" dxfId="12448" priority="24393" operator="greaterThan">
      <formula>0</formula>
    </cfRule>
  </conditionalFormatting>
  <conditionalFormatting sqref="CH45:CH46">
    <cfRule type="cellIs" dxfId="12447" priority="24386" operator="lessThan">
      <formula>0</formula>
    </cfRule>
    <cfRule type="cellIs" dxfId="12446" priority="24387" operator="greaterThan">
      <formula>0</formula>
    </cfRule>
  </conditionalFormatting>
  <conditionalFormatting sqref="CJ4:CJ5">
    <cfRule type="cellIs" dxfId="12445" priority="24332" operator="lessThan">
      <formula>0</formula>
    </cfRule>
    <cfRule type="cellIs" dxfId="12444" priority="24333" operator="greaterThan">
      <formula>0</formula>
    </cfRule>
  </conditionalFormatting>
  <conditionalFormatting sqref="CJ6 CJ11">
    <cfRule type="cellIs" dxfId="12443" priority="24330" operator="lessThan">
      <formula>0</formula>
    </cfRule>
    <cfRule type="cellIs" dxfId="12442" priority="24331" operator="greaterThan">
      <formula>0</formula>
    </cfRule>
  </conditionalFormatting>
  <conditionalFormatting sqref="CJ12:CJ13">
    <cfRule type="cellIs" dxfId="12441" priority="24328" operator="lessThan">
      <formula>0</formula>
    </cfRule>
    <cfRule type="cellIs" dxfId="12440" priority="24329" operator="greaterThan">
      <formula>0</formula>
    </cfRule>
  </conditionalFormatting>
  <conditionalFormatting sqref="CJ14:CJ15 CJ19">
    <cfRule type="cellIs" dxfId="12439" priority="24326" operator="lessThan">
      <formula>0</formula>
    </cfRule>
    <cfRule type="cellIs" dxfId="12438" priority="24327" operator="greaterThan">
      <formula>0</formula>
    </cfRule>
  </conditionalFormatting>
  <conditionalFormatting sqref="CJ20:CJ22">
    <cfRule type="cellIs" dxfId="12437" priority="24324" operator="lessThan">
      <formula>0</formula>
    </cfRule>
    <cfRule type="cellIs" dxfId="12436" priority="24325" operator="greaterThan">
      <formula>0</formula>
    </cfRule>
  </conditionalFormatting>
  <conditionalFormatting sqref="CZ45:CZ46">
    <cfRule type="cellIs" dxfId="12435" priority="24022" operator="lessThan">
      <formula>0</formula>
    </cfRule>
    <cfRule type="cellIs" dxfId="12434" priority="24023" operator="greaterThan">
      <formula>0</formula>
    </cfRule>
  </conditionalFormatting>
  <conditionalFormatting sqref="CJ27:CJ29">
    <cfRule type="cellIs" dxfId="12433" priority="24348" operator="lessThan">
      <formula>0</formula>
    </cfRule>
    <cfRule type="cellIs" dxfId="12432" priority="24349" operator="greaterThan">
      <formula>0</formula>
    </cfRule>
  </conditionalFormatting>
  <conditionalFormatting sqref="CJ45:CJ46">
    <cfRule type="cellIs" dxfId="12431" priority="24342" operator="lessThan">
      <formula>0</formula>
    </cfRule>
    <cfRule type="cellIs" dxfId="12430" priority="24343" operator="greaterThan">
      <formula>0</formula>
    </cfRule>
  </conditionalFormatting>
  <conditionalFormatting sqref="CL4:CL5">
    <cfRule type="cellIs" dxfId="12429" priority="24292" operator="lessThan">
      <formula>0</formula>
    </cfRule>
    <cfRule type="cellIs" dxfId="12428" priority="24293" operator="greaterThan">
      <formula>0</formula>
    </cfRule>
  </conditionalFormatting>
  <conditionalFormatting sqref="CL6 CL11">
    <cfRule type="cellIs" dxfId="12427" priority="24290" operator="lessThan">
      <formula>0</formula>
    </cfRule>
    <cfRule type="cellIs" dxfId="12426" priority="24291" operator="greaterThan">
      <formula>0</formula>
    </cfRule>
  </conditionalFormatting>
  <conditionalFormatting sqref="CL12:CL13">
    <cfRule type="cellIs" dxfId="12425" priority="24288" operator="lessThan">
      <formula>0</formula>
    </cfRule>
    <cfRule type="cellIs" dxfId="12424" priority="24289" operator="greaterThan">
      <formula>0</formula>
    </cfRule>
  </conditionalFormatting>
  <conditionalFormatting sqref="CL14:CL15 CL19">
    <cfRule type="cellIs" dxfId="12423" priority="24286" operator="lessThan">
      <formula>0</formula>
    </cfRule>
    <cfRule type="cellIs" dxfId="12422" priority="24287" operator="greaterThan">
      <formula>0</formula>
    </cfRule>
  </conditionalFormatting>
  <conditionalFormatting sqref="CL20:CL22">
    <cfRule type="cellIs" dxfId="12421" priority="24284" operator="lessThan">
      <formula>0</formula>
    </cfRule>
    <cfRule type="cellIs" dxfId="12420" priority="24285" operator="greaterThan">
      <formula>0</formula>
    </cfRule>
  </conditionalFormatting>
  <conditionalFormatting sqref="DB45:DB46">
    <cfRule type="cellIs" dxfId="12419" priority="23982" operator="lessThan">
      <formula>0</formula>
    </cfRule>
    <cfRule type="cellIs" dxfId="12418" priority="23983" operator="greaterThan">
      <formula>0</formula>
    </cfRule>
  </conditionalFormatting>
  <conditionalFormatting sqref="CL27:CL29">
    <cfRule type="cellIs" dxfId="12417" priority="24308" operator="lessThan">
      <formula>0</formula>
    </cfRule>
    <cfRule type="cellIs" dxfId="12416" priority="24309" operator="greaterThan">
      <formula>0</formula>
    </cfRule>
  </conditionalFormatting>
  <conditionalFormatting sqref="CL45:CL46">
    <cfRule type="cellIs" dxfId="12415" priority="24302" operator="lessThan">
      <formula>0</formula>
    </cfRule>
    <cfRule type="cellIs" dxfId="12414" priority="24303" operator="greaterThan">
      <formula>0</formula>
    </cfRule>
  </conditionalFormatting>
  <conditionalFormatting sqref="CN4:CN5">
    <cfRule type="cellIs" dxfId="12413" priority="24252" operator="lessThan">
      <formula>0</formula>
    </cfRule>
    <cfRule type="cellIs" dxfId="12412" priority="24253" operator="greaterThan">
      <formula>0</formula>
    </cfRule>
  </conditionalFormatting>
  <conditionalFormatting sqref="CN6 CN11">
    <cfRule type="cellIs" dxfId="12411" priority="24250" operator="lessThan">
      <formula>0</formula>
    </cfRule>
    <cfRule type="cellIs" dxfId="12410" priority="24251" operator="greaterThan">
      <formula>0</formula>
    </cfRule>
  </conditionalFormatting>
  <conditionalFormatting sqref="CN12:CN13">
    <cfRule type="cellIs" dxfId="12409" priority="24248" operator="lessThan">
      <formula>0</formula>
    </cfRule>
    <cfRule type="cellIs" dxfId="12408" priority="24249" operator="greaterThan">
      <formula>0</formula>
    </cfRule>
  </conditionalFormatting>
  <conditionalFormatting sqref="CN14:CN15 CN19">
    <cfRule type="cellIs" dxfId="12407" priority="24246" operator="lessThan">
      <formula>0</formula>
    </cfRule>
    <cfRule type="cellIs" dxfId="12406" priority="24247" operator="greaterThan">
      <formula>0</formula>
    </cfRule>
  </conditionalFormatting>
  <conditionalFormatting sqref="CN20:CN22">
    <cfRule type="cellIs" dxfId="12405" priority="24244" operator="lessThan">
      <formula>0</formula>
    </cfRule>
    <cfRule type="cellIs" dxfId="12404" priority="24245" operator="greaterThan">
      <formula>0</formula>
    </cfRule>
  </conditionalFormatting>
  <conditionalFormatting sqref="CN27:CN29">
    <cfRule type="cellIs" dxfId="12403" priority="24268" operator="lessThan">
      <formula>0</formula>
    </cfRule>
    <cfRule type="cellIs" dxfId="12402" priority="24269" operator="greaterThan">
      <formula>0</formula>
    </cfRule>
  </conditionalFormatting>
  <conditionalFormatting sqref="CN45:CN46">
    <cfRule type="cellIs" dxfId="12401" priority="24262" operator="lessThan">
      <formula>0</formula>
    </cfRule>
    <cfRule type="cellIs" dxfId="12400" priority="24263" operator="greaterThan">
      <formula>0</formula>
    </cfRule>
  </conditionalFormatting>
  <conditionalFormatting sqref="CP4:CP5">
    <cfRule type="cellIs" dxfId="12399" priority="24212" operator="lessThan">
      <formula>0</formula>
    </cfRule>
    <cfRule type="cellIs" dxfId="12398" priority="24213" operator="greaterThan">
      <formula>0</formula>
    </cfRule>
  </conditionalFormatting>
  <conditionalFormatting sqref="CP6 CP11">
    <cfRule type="cellIs" dxfId="12397" priority="24210" operator="lessThan">
      <formula>0</formula>
    </cfRule>
    <cfRule type="cellIs" dxfId="12396" priority="24211" operator="greaterThan">
      <formula>0</formula>
    </cfRule>
  </conditionalFormatting>
  <conditionalFormatting sqref="CP12:CP13">
    <cfRule type="cellIs" dxfId="12395" priority="24208" operator="lessThan">
      <formula>0</formula>
    </cfRule>
    <cfRule type="cellIs" dxfId="12394" priority="24209" operator="greaterThan">
      <formula>0</formula>
    </cfRule>
  </conditionalFormatting>
  <conditionalFormatting sqref="CP14:CP15 CP19">
    <cfRule type="cellIs" dxfId="12393" priority="24206" operator="lessThan">
      <formula>0</formula>
    </cfRule>
    <cfRule type="cellIs" dxfId="12392" priority="24207" operator="greaterThan">
      <formula>0</formula>
    </cfRule>
  </conditionalFormatting>
  <conditionalFormatting sqref="CP20:CP22">
    <cfRule type="cellIs" dxfId="12391" priority="24204" operator="lessThan">
      <formula>0</formula>
    </cfRule>
    <cfRule type="cellIs" dxfId="12390" priority="24205" operator="greaterThan">
      <formula>0</formula>
    </cfRule>
  </conditionalFormatting>
  <conditionalFormatting sqref="CP27:CP29">
    <cfRule type="cellIs" dxfId="12389" priority="24228" operator="lessThan">
      <formula>0</formula>
    </cfRule>
    <cfRule type="cellIs" dxfId="12388" priority="24229" operator="greaterThan">
      <formula>0</formula>
    </cfRule>
  </conditionalFormatting>
  <conditionalFormatting sqref="CP45:CP46">
    <cfRule type="cellIs" dxfId="12387" priority="24222" operator="lessThan">
      <formula>0</formula>
    </cfRule>
    <cfRule type="cellIs" dxfId="12386" priority="24223" operator="greaterThan">
      <formula>0</formula>
    </cfRule>
  </conditionalFormatting>
  <conditionalFormatting sqref="CR4:CR5">
    <cfRule type="cellIs" dxfId="12385" priority="24172" operator="lessThan">
      <formula>0</formula>
    </cfRule>
    <cfRule type="cellIs" dxfId="12384" priority="24173" operator="greaterThan">
      <formula>0</formula>
    </cfRule>
  </conditionalFormatting>
  <conditionalFormatting sqref="CR6 CR11">
    <cfRule type="cellIs" dxfId="12383" priority="24170" operator="lessThan">
      <formula>0</formula>
    </cfRule>
    <cfRule type="cellIs" dxfId="12382" priority="24171" operator="greaterThan">
      <formula>0</formula>
    </cfRule>
  </conditionalFormatting>
  <conditionalFormatting sqref="CR12:CR13">
    <cfRule type="cellIs" dxfId="12381" priority="24168" operator="lessThan">
      <formula>0</formula>
    </cfRule>
    <cfRule type="cellIs" dxfId="12380" priority="24169" operator="greaterThan">
      <formula>0</formula>
    </cfRule>
  </conditionalFormatting>
  <conditionalFormatting sqref="CR14:CR15 CR19">
    <cfRule type="cellIs" dxfId="12379" priority="24166" operator="lessThan">
      <formula>0</formula>
    </cfRule>
    <cfRule type="cellIs" dxfId="12378" priority="24167" operator="greaterThan">
      <formula>0</formula>
    </cfRule>
  </conditionalFormatting>
  <conditionalFormatting sqref="CR20:CR22">
    <cfRule type="cellIs" dxfId="12377" priority="24164" operator="lessThan">
      <formula>0</formula>
    </cfRule>
    <cfRule type="cellIs" dxfId="12376" priority="24165" operator="greaterThan">
      <formula>0</formula>
    </cfRule>
  </conditionalFormatting>
  <conditionalFormatting sqref="CR27:CR29">
    <cfRule type="cellIs" dxfId="12375" priority="24188" operator="lessThan">
      <formula>0</formula>
    </cfRule>
    <cfRule type="cellIs" dxfId="12374" priority="24189" operator="greaterThan">
      <formula>0</formula>
    </cfRule>
  </conditionalFormatting>
  <conditionalFormatting sqref="CR45:CR46">
    <cfRule type="cellIs" dxfId="12373" priority="24182" operator="lessThan">
      <formula>0</formula>
    </cfRule>
    <cfRule type="cellIs" dxfId="12372" priority="24183" operator="greaterThan">
      <formula>0</formula>
    </cfRule>
  </conditionalFormatting>
  <conditionalFormatting sqref="CT4:CT5">
    <cfRule type="cellIs" dxfId="12371" priority="24132" operator="lessThan">
      <formula>0</formula>
    </cfRule>
    <cfRule type="cellIs" dxfId="12370" priority="24133" operator="greaterThan">
      <formula>0</formula>
    </cfRule>
  </conditionalFormatting>
  <conditionalFormatting sqref="CT6 CT11">
    <cfRule type="cellIs" dxfId="12369" priority="24130" operator="lessThan">
      <formula>0</formula>
    </cfRule>
    <cfRule type="cellIs" dxfId="12368" priority="24131" operator="greaterThan">
      <formula>0</formula>
    </cfRule>
  </conditionalFormatting>
  <conditionalFormatting sqref="CT12:CT13">
    <cfRule type="cellIs" dxfId="12367" priority="24128" operator="lessThan">
      <formula>0</formula>
    </cfRule>
    <cfRule type="cellIs" dxfId="12366" priority="24129" operator="greaterThan">
      <formula>0</formula>
    </cfRule>
  </conditionalFormatting>
  <conditionalFormatting sqref="CT14:CT15 CT19">
    <cfRule type="cellIs" dxfId="12365" priority="24126" operator="lessThan">
      <formula>0</formula>
    </cfRule>
    <cfRule type="cellIs" dxfId="12364" priority="24127" operator="greaterThan">
      <formula>0</formula>
    </cfRule>
  </conditionalFormatting>
  <conditionalFormatting sqref="CT20:CT22">
    <cfRule type="cellIs" dxfId="12363" priority="24124" operator="lessThan">
      <formula>0</formula>
    </cfRule>
    <cfRule type="cellIs" dxfId="12362" priority="24125" operator="greaterThan">
      <formula>0</formula>
    </cfRule>
  </conditionalFormatting>
  <conditionalFormatting sqref="CT45:CT46">
    <cfRule type="cellIs" dxfId="12361" priority="24142" operator="lessThan">
      <formula>0</formula>
    </cfRule>
    <cfRule type="cellIs" dxfId="12360" priority="24143" operator="greaterThan">
      <formula>0</formula>
    </cfRule>
  </conditionalFormatting>
  <conditionalFormatting sqref="CV4:CV5">
    <cfRule type="cellIs" dxfId="12359" priority="24092" operator="lessThan">
      <formula>0</formula>
    </cfRule>
    <cfRule type="cellIs" dxfId="12358" priority="24093" operator="greaterThan">
      <formula>0</formula>
    </cfRule>
  </conditionalFormatting>
  <conditionalFormatting sqref="CV6 CV11">
    <cfRule type="cellIs" dxfId="12357" priority="24090" operator="lessThan">
      <formula>0</formula>
    </cfRule>
    <cfRule type="cellIs" dxfId="12356" priority="24091" operator="greaterThan">
      <formula>0</formula>
    </cfRule>
  </conditionalFormatting>
  <conditionalFormatting sqref="CV12:CV13">
    <cfRule type="cellIs" dxfId="12355" priority="24088" operator="lessThan">
      <formula>0</formula>
    </cfRule>
    <cfRule type="cellIs" dxfId="12354" priority="24089" operator="greaterThan">
      <formula>0</formula>
    </cfRule>
  </conditionalFormatting>
  <conditionalFormatting sqref="CV14:CV15 CV19">
    <cfRule type="cellIs" dxfId="12353" priority="24086" operator="lessThan">
      <formula>0</formula>
    </cfRule>
    <cfRule type="cellIs" dxfId="12352" priority="24087" operator="greaterThan">
      <formula>0</formula>
    </cfRule>
  </conditionalFormatting>
  <conditionalFormatting sqref="CV20:CV22">
    <cfRule type="cellIs" dxfId="12351" priority="24084" operator="lessThan">
      <formula>0</formula>
    </cfRule>
    <cfRule type="cellIs" dxfId="12350" priority="24085" operator="greaterThan">
      <formula>0</formula>
    </cfRule>
  </conditionalFormatting>
  <conditionalFormatting sqref="CV27:CV29">
    <cfRule type="cellIs" dxfId="12349" priority="24108" operator="lessThan">
      <formula>0</formula>
    </cfRule>
    <cfRule type="cellIs" dxfId="12348" priority="24109" operator="greaterThan">
      <formula>0</formula>
    </cfRule>
  </conditionalFormatting>
  <conditionalFormatting sqref="CV45:CV46">
    <cfRule type="cellIs" dxfId="12347" priority="24102" operator="lessThan">
      <formula>0</formula>
    </cfRule>
    <cfRule type="cellIs" dxfId="12346" priority="24103" operator="greaterThan">
      <formula>0</formula>
    </cfRule>
  </conditionalFormatting>
  <conditionalFormatting sqref="CX4:CX5">
    <cfRule type="cellIs" dxfId="12345" priority="24052" operator="lessThan">
      <formula>0</formula>
    </cfRule>
    <cfRule type="cellIs" dxfId="12344" priority="24053" operator="greaterThan">
      <formula>0</formula>
    </cfRule>
  </conditionalFormatting>
  <conditionalFormatting sqref="CX6 CX11">
    <cfRule type="cellIs" dxfId="12343" priority="24050" operator="lessThan">
      <formula>0</formula>
    </cfRule>
    <cfRule type="cellIs" dxfId="12342" priority="24051" operator="greaterThan">
      <formula>0</formula>
    </cfRule>
  </conditionalFormatting>
  <conditionalFormatting sqref="CX12:CX13">
    <cfRule type="cellIs" dxfId="12341" priority="24048" operator="lessThan">
      <formula>0</formula>
    </cfRule>
    <cfRule type="cellIs" dxfId="12340" priority="24049" operator="greaterThan">
      <formula>0</formula>
    </cfRule>
  </conditionalFormatting>
  <conditionalFormatting sqref="CX14:CX15 CX19">
    <cfRule type="cellIs" dxfId="12339" priority="24046" operator="lessThan">
      <formula>0</formula>
    </cfRule>
    <cfRule type="cellIs" dxfId="12338" priority="24047" operator="greaterThan">
      <formula>0</formula>
    </cfRule>
  </conditionalFormatting>
  <conditionalFormatting sqref="CX20:CX22">
    <cfRule type="cellIs" dxfId="12337" priority="24044" operator="lessThan">
      <formula>0</formula>
    </cfRule>
    <cfRule type="cellIs" dxfId="12336" priority="24045" operator="greaterThan">
      <formula>0</formula>
    </cfRule>
  </conditionalFormatting>
  <conditionalFormatting sqref="CX27:CX29">
    <cfRule type="cellIs" dxfId="12335" priority="24068" operator="lessThan">
      <formula>0</formula>
    </cfRule>
    <cfRule type="cellIs" dxfId="12334" priority="24069" operator="greaterThan">
      <formula>0</formula>
    </cfRule>
  </conditionalFormatting>
  <conditionalFormatting sqref="CX45:CX46">
    <cfRule type="cellIs" dxfId="12333" priority="24062" operator="lessThan">
      <formula>0</formula>
    </cfRule>
    <cfRule type="cellIs" dxfId="12332" priority="24063" operator="greaterThan">
      <formula>0</formula>
    </cfRule>
  </conditionalFormatting>
  <conditionalFormatting sqref="CZ4:CZ5">
    <cfRule type="cellIs" dxfId="12331" priority="24012" operator="lessThan">
      <formula>0</formula>
    </cfRule>
    <cfRule type="cellIs" dxfId="12330" priority="24013" operator="greaterThan">
      <formula>0</formula>
    </cfRule>
  </conditionalFormatting>
  <conditionalFormatting sqref="CZ6 CZ11">
    <cfRule type="cellIs" dxfId="12329" priority="24010" operator="lessThan">
      <formula>0</formula>
    </cfRule>
    <cfRule type="cellIs" dxfId="12328" priority="24011" operator="greaterThan">
      <formula>0</formula>
    </cfRule>
  </conditionalFormatting>
  <conditionalFormatting sqref="CZ12:CZ13">
    <cfRule type="cellIs" dxfId="12327" priority="24008" operator="lessThan">
      <formula>0</formula>
    </cfRule>
    <cfRule type="cellIs" dxfId="12326" priority="24009" operator="greaterThan">
      <formula>0</formula>
    </cfRule>
  </conditionalFormatting>
  <conditionalFormatting sqref="CZ14:CZ15 CZ19">
    <cfRule type="cellIs" dxfId="12325" priority="24006" operator="lessThan">
      <formula>0</formula>
    </cfRule>
    <cfRule type="cellIs" dxfId="12324" priority="24007" operator="greaterThan">
      <formula>0</formula>
    </cfRule>
  </conditionalFormatting>
  <conditionalFormatting sqref="CZ20:CZ22">
    <cfRule type="cellIs" dxfId="12323" priority="24004" operator="lessThan">
      <formula>0</formula>
    </cfRule>
    <cfRule type="cellIs" dxfId="12322" priority="24005" operator="greaterThan">
      <formula>0</formula>
    </cfRule>
  </conditionalFormatting>
  <conditionalFormatting sqref="CZ27:CZ29">
    <cfRule type="cellIs" dxfId="12321" priority="24028" operator="lessThan">
      <formula>0</formula>
    </cfRule>
    <cfRule type="cellIs" dxfId="12320" priority="24029" operator="greaterThan">
      <formula>0</formula>
    </cfRule>
  </conditionalFormatting>
  <conditionalFormatting sqref="DB4:DB5">
    <cfRule type="cellIs" dxfId="12319" priority="23972" operator="lessThan">
      <formula>0</formula>
    </cfRule>
    <cfRule type="cellIs" dxfId="12318" priority="23973" operator="greaterThan">
      <formula>0</formula>
    </cfRule>
  </conditionalFormatting>
  <conditionalFormatting sqref="DB6 DB11">
    <cfRule type="cellIs" dxfId="12317" priority="23970" operator="lessThan">
      <formula>0</formula>
    </cfRule>
    <cfRule type="cellIs" dxfId="12316" priority="23971" operator="greaterThan">
      <formula>0</formula>
    </cfRule>
  </conditionalFormatting>
  <conditionalFormatting sqref="DB12:DB13">
    <cfRule type="cellIs" dxfId="12315" priority="23968" operator="lessThan">
      <formula>0</formula>
    </cfRule>
    <cfRule type="cellIs" dxfId="12314" priority="23969" operator="greaterThan">
      <formula>0</formula>
    </cfRule>
  </conditionalFormatting>
  <conditionalFormatting sqref="DB14:DB15 DB19">
    <cfRule type="cellIs" dxfId="12313" priority="23966" operator="lessThan">
      <formula>0</formula>
    </cfRule>
    <cfRule type="cellIs" dxfId="12312" priority="23967" operator="greaterThan">
      <formula>0</formula>
    </cfRule>
  </conditionalFormatting>
  <conditionalFormatting sqref="DB20:DB22">
    <cfRule type="cellIs" dxfId="12311" priority="23964" operator="lessThan">
      <formula>0</formula>
    </cfRule>
    <cfRule type="cellIs" dxfId="12310" priority="23965" operator="greaterThan">
      <formula>0</formula>
    </cfRule>
  </conditionalFormatting>
  <conditionalFormatting sqref="DB27:DB29">
    <cfRule type="cellIs" dxfId="12309" priority="23988" operator="lessThan">
      <formula>0</formula>
    </cfRule>
    <cfRule type="cellIs" dxfId="12308" priority="23989" operator="greaterThan">
      <formula>0</formula>
    </cfRule>
  </conditionalFormatting>
  <conditionalFormatting sqref="DD4:DD5">
    <cfRule type="cellIs" dxfId="12307" priority="23927" operator="lessThan">
      <formula>0</formula>
    </cfRule>
    <cfRule type="cellIs" dxfId="12306" priority="23928" operator="greaterThan">
      <formula>0</formula>
    </cfRule>
  </conditionalFormatting>
  <conditionalFormatting sqref="DD6 DD11">
    <cfRule type="cellIs" dxfId="12305" priority="23925" operator="lessThan">
      <formula>0</formula>
    </cfRule>
    <cfRule type="cellIs" dxfId="12304" priority="23926" operator="greaterThan">
      <formula>0</formula>
    </cfRule>
  </conditionalFormatting>
  <conditionalFormatting sqref="DD12:DD13">
    <cfRule type="cellIs" dxfId="12303" priority="23923" operator="lessThan">
      <formula>0</formula>
    </cfRule>
    <cfRule type="cellIs" dxfId="12302" priority="23924" operator="greaterThan">
      <formula>0</formula>
    </cfRule>
  </conditionalFormatting>
  <conditionalFormatting sqref="DD14:DD15 DD19">
    <cfRule type="cellIs" dxfId="12301" priority="23921" operator="lessThan">
      <formula>0</formula>
    </cfRule>
    <cfRule type="cellIs" dxfId="12300" priority="23922" operator="greaterThan">
      <formula>0</formula>
    </cfRule>
  </conditionalFormatting>
  <conditionalFormatting sqref="DD20:DD22">
    <cfRule type="cellIs" dxfId="12299" priority="23919" operator="lessThan">
      <formula>0</formula>
    </cfRule>
    <cfRule type="cellIs" dxfId="12298" priority="23920" operator="greaterThan">
      <formula>0</formula>
    </cfRule>
  </conditionalFormatting>
  <conditionalFormatting sqref="DD27:DD29">
    <cfRule type="cellIs" dxfId="12297" priority="23943" operator="lessThan">
      <formula>0</formula>
    </cfRule>
    <cfRule type="cellIs" dxfId="12296" priority="23944" operator="greaterThan">
      <formula>0</formula>
    </cfRule>
  </conditionalFormatting>
  <conditionalFormatting sqref="DD45:DD46">
    <cfRule type="cellIs" dxfId="12295" priority="23937" operator="lessThan">
      <formula>0</formula>
    </cfRule>
    <cfRule type="cellIs" dxfId="12294" priority="23938" operator="greaterThan">
      <formula>0</formula>
    </cfRule>
  </conditionalFormatting>
  <conditionalFormatting sqref="DF4:DF5">
    <cfRule type="cellIs" dxfId="12293" priority="23845" operator="lessThan">
      <formula>0</formula>
    </cfRule>
    <cfRule type="cellIs" dxfId="12292" priority="23846" operator="greaterThan">
      <formula>0</formula>
    </cfRule>
  </conditionalFormatting>
  <conditionalFormatting sqref="DF6 DF11">
    <cfRule type="cellIs" dxfId="12291" priority="23843" operator="lessThan">
      <formula>0</formula>
    </cfRule>
    <cfRule type="cellIs" dxfId="12290" priority="23844" operator="greaterThan">
      <formula>0</formula>
    </cfRule>
  </conditionalFormatting>
  <conditionalFormatting sqref="DF12:DF13">
    <cfRule type="cellIs" dxfId="12289" priority="23841" operator="lessThan">
      <formula>0</formula>
    </cfRule>
    <cfRule type="cellIs" dxfId="12288" priority="23842" operator="greaterThan">
      <formula>0</formula>
    </cfRule>
  </conditionalFormatting>
  <conditionalFormatting sqref="DF14:DF15 DF19">
    <cfRule type="cellIs" dxfId="12287" priority="23839" operator="lessThan">
      <formula>0</formula>
    </cfRule>
    <cfRule type="cellIs" dxfId="12286" priority="23840" operator="greaterThan">
      <formula>0</formula>
    </cfRule>
  </conditionalFormatting>
  <conditionalFormatting sqref="DF20:DF22">
    <cfRule type="cellIs" dxfId="12285" priority="23837" operator="lessThan">
      <formula>0</formula>
    </cfRule>
    <cfRule type="cellIs" dxfId="12284" priority="23838" operator="greaterThan">
      <formula>0</formula>
    </cfRule>
  </conditionalFormatting>
  <conditionalFormatting sqref="DF27:DF29">
    <cfRule type="cellIs" dxfId="12283" priority="23861" operator="lessThan">
      <formula>0</formula>
    </cfRule>
    <cfRule type="cellIs" dxfId="12282" priority="23862" operator="greaterThan">
      <formula>0</formula>
    </cfRule>
  </conditionalFormatting>
  <conditionalFormatting sqref="DF45:DF46">
    <cfRule type="cellIs" dxfId="12281" priority="23855" operator="lessThan">
      <formula>0</formula>
    </cfRule>
    <cfRule type="cellIs" dxfId="12280" priority="23856" operator="greaterThan">
      <formula>0</formula>
    </cfRule>
  </conditionalFormatting>
  <conditionalFormatting sqref="DH4:DH5">
    <cfRule type="cellIs" dxfId="12279" priority="23804" operator="lessThan">
      <formula>0</formula>
    </cfRule>
    <cfRule type="cellIs" dxfId="12278" priority="23805" operator="greaterThan">
      <formula>0</formula>
    </cfRule>
  </conditionalFormatting>
  <conditionalFormatting sqref="DH6 DH11">
    <cfRule type="cellIs" dxfId="12277" priority="23802" operator="lessThan">
      <formula>0</formula>
    </cfRule>
    <cfRule type="cellIs" dxfId="12276" priority="23803" operator="greaterThan">
      <formula>0</formula>
    </cfRule>
  </conditionalFormatting>
  <conditionalFormatting sqref="DH12:DH13">
    <cfRule type="cellIs" dxfId="12275" priority="23800" operator="lessThan">
      <formula>0</formula>
    </cfRule>
    <cfRule type="cellIs" dxfId="12274" priority="23801" operator="greaterThan">
      <formula>0</formula>
    </cfRule>
  </conditionalFormatting>
  <conditionalFormatting sqref="DH14:DH15 DH19">
    <cfRule type="cellIs" dxfId="12273" priority="23798" operator="lessThan">
      <formula>0</formula>
    </cfRule>
    <cfRule type="cellIs" dxfId="12272" priority="23799" operator="greaterThan">
      <formula>0</formula>
    </cfRule>
  </conditionalFormatting>
  <conditionalFormatting sqref="DH20:DH22">
    <cfRule type="cellIs" dxfId="12271" priority="23796" operator="lessThan">
      <formula>0</formula>
    </cfRule>
    <cfRule type="cellIs" dxfId="12270" priority="23797" operator="greaterThan">
      <formula>0</formula>
    </cfRule>
  </conditionalFormatting>
  <conditionalFormatting sqref="DH27:DH29">
    <cfRule type="cellIs" dxfId="12269" priority="23820" operator="lessThan">
      <formula>0</formula>
    </cfRule>
    <cfRule type="cellIs" dxfId="12268" priority="23821" operator="greaterThan">
      <formula>0</formula>
    </cfRule>
  </conditionalFormatting>
  <conditionalFormatting sqref="DH45:DH46">
    <cfRule type="cellIs" dxfId="12267" priority="23814" operator="lessThan">
      <formula>0</formula>
    </cfRule>
    <cfRule type="cellIs" dxfId="12266" priority="23815" operator="greaterThan">
      <formula>0</formula>
    </cfRule>
  </conditionalFormatting>
  <conditionalFormatting sqref="DJ4:DJ5">
    <cfRule type="cellIs" dxfId="12265" priority="23763" operator="lessThan">
      <formula>0</formula>
    </cfRule>
    <cfRule type="cellIs" dxfId="12264" priority="23764" operator="greaterThan">
      <formula>0</formula>
    </cfRule>
  </conditionalFormatting>
  <conditionalFormatting sqref="DJ6 DJ11">
    <cfRule type="cellIs" dxfId="12263" priority="23761" operator="lessThan">
      <formula>0</formula>
    </cfRule>
    <cfRule type="cellIs" dxfId="12262" priority="23762" operator="greaterThan">
      <formula>0</formula>
    </cfRule>
  </conditionalFormatting>
  <conditionalFormatting sqref="DJ12:DJ13">
    <cfRule type="cellIs" dxfId="12261" priority="23759" operator="lessThan">
      <formula>0</formula>
    </cfRule>
    <cfRule type="cellIs" dxfId="12260" priority="23760" operator="greaterThan">
      <formula>0</formula>
    </cfRule>
  </conditionalFormatting>
  <conditionalFormatting sqref="DJ14:DJ15 DJ19">
    <cfRule type="cellIs" dxfId="12259" priority="23757" operator="lessThan">
      <formula>0</formula>
    </cfRule>
    <cfRule type="cellIs" dxfId="12258" priority="23758" operator="greaterThan">
      <formula>0</formula>
    </cfRule>
  </conditionalFormatting>
  <conditionalFormatting sqref="DJ20:DJ22">
    <cfRule type="cellIs" dxfId="12257" priority="23755" operator="lessThan">
      <formula>0</formula>
    </cfRule>
    <cfRule type="cellIs" dxfId="12256" priority="23756" operator="greaterThan">
      <formula>0</formula>
    </cfRule>
  </conditionalFormatting>
  <conditionalFormatting sqref="DJ27:DJ29">
    <cfRule type="cellIs" dxfId="12255" priority="23779" operator="lessThan">
      <formula>0</formula>
    </cfRule>
    <cfRule type="cellIs" dxfId="12254" priority="23780" operator="greaterThan">
      <formula>0</formula>
    </cfRule>
  </conditionalFormatting>
  <conditionalFormatting sqref="DJ45:DJ46">
    <cfRule type="cellIs" dxfId="12253" priority="23773" operator="lessThan">
      <formula>0</formula>
    </cfRule>
    <cfRule type="cellIs" dxfId="12252" priority="23774" operator="greaterThan">
      <formula>0</formula>
    </cfRule>
  </conditionalFormatting>
  <conditionalFormatting sqref="DL4:DL5">
    <cfRule type="cellIs" dxfId="12251" priority="23722" operator="lessThan">
      <formula>0</formula>
    </cfRule>
    <cfRule type="cellIs" dxfId="12250" priority="23723" operator="greaterThan">
      <formula>0</formula>
    </cfRule>
  </conditionalFormatting>
  <conditionalFormatting sqref="DL6 DL11">
    <cfRule type="cellIs" dxfId="12249" priority="23720" operator="lessThan">
      <formula>0</formula>
    </cfRule>
    <cfRule type="cellIs" dxfId="12248" priority="23721" operator="greaterThan">
      <formula>0</formula>
    </cfRule>
  </conditionalFormatting>
  <conditionalFormatting sqref="DL12:DL13">
    <cfRule type="cellIs" dxfId="12247" priority="23718" operator="lessThan">
      <formula>0</formula>
    </cfRule>
    <cfRule type="cellIs" dxfId="12246" priority="23719" operator="greaterThan">
      <formula>0</formula>
    </cfRule>
  </conditionalFormatting>
  <conditionalFormatting sqref="DL14:DL15 DL19">
    <cfRule type="cellIs" dxfId="12245" priority="23716" operator="lessThan">
      <formula>0</formula>
    </cfRule>
    <cfRule type="cellIs" dxfId="12244" priority="23717" operator="greaterThan">
      <formula>0</formula>
    </cfRule>
  </conditionalFormatting>
  <conditionalFormatting sqref="DL20:DL22">
    <cfRule type="cellIs" dxfId="12243" priority="23714" operator="lessThan">
      <formula>0</formula>
    </cfRule>
    <cfRule type="cellIs" dxfId="12242" priority="23715" operator="greaterThan">
      <formula>0</formula>
    </cfRule>
  </conditionalFormatting>
  <conditionalFormatting sqref="DL27:DL29">
    <cfRule type="cellIs" dxfId="12241" priority="23738" operator="lessThan">
      <formula>0</formula>
    </cfRule>
    <cfRule type="cellIs" dxfId="12240" priority="23739" operator="greaterThan">
      <formula>0</formula>
    </cfRule>
  </conditionalFormatting>
  <conditionalFormatting sqref="DL45:DL46">
    <cfRule type="cellIs" dxfId="12239" priority="23732" operator="lessThan">
      <formula>0</formula>
    </cfRule>
    <cfRule type="cellIs" dxfId="12238" priority="23733" operator="greaterThan">
      <formula>0</formula>
    </cfRule>
  </conditionalFormatting>
  <conditionalFormatting sqref="DN4:DN5">
    <cfRule type="cellIs" dxfId="12237" priority="23681" operator="lessThan">
      <formula>0</formula>
    </cfRule>
    <cfRule type="cellIs" dxfId="12236" priority="23682" operator="greaterThan">
      <formula>0</formula>
    </cfRule>
  </conditionalFormatting>
  <conditionalFormatting sqref="DN6 DN11">
    <cfRule type="cellIs" dxfId="12235" priority="23679" operator="lessThan">
      <formula>0</formula>
    </cfRule>
    <cfRule type="cellIs" dxfId="12234" priority="23680" operator="greaterThan">
      <formula>0</formula>
    </cfRule>
  </conditionalFormatting>
  <conditionalFormatting sqref="DN12:DN13">
    <cfRule type="cellIs" dxfId="12233" priority="23677" operator="lessThan">
      <formula>0</formula>
    </cfRule>
    <cfRule type="cellIs" dxfId="12232" priority="23678" operator="greaterThan">
      <formula>0</formula>
    </cfRule>
  </conditionalFormatting>
  <conditionalFormatting sqref="DN14:DN15 DN19">
    <cfRule type="cellIs" dxfId="12231" priority="23675" operator="lessThan">
      <formula>0</formula>
    </cfRule>
    <cfRule type="cellIs" dxfId="12230" priority="23676" operator="greaterThan">
      <formula>0</formula>
    </cfRule>
  </conditionalFormatting>
  <conditionalFormatting sqref="DN20:DN22">
    <cfRule type="cellIs" dxfId="12229" priority="23673" operator="lessThan">
      <formula>0</formula>
    </cfRule>
    <cfRule type="cellIs" dxfId="12228" priority="23674" operator="greaterThan">
      <formula>0</formula>
    </cfRule>
  </conditionalFormatting>
  <conditionalFormatting sqref="DN27:DN29">
    <cfRule type="cellIs" dxfId="12227" priority="23697" operator="lessThan">
      <formula>0</formula>
    </cfRule>
    <cfRule type="cellIs" dxfId="12226" priority="23698" operator="greaterThan">
      <formula>0</formula>
    </cfRule>
  </conditionalFormatting>
  <conditionalFormatting sqref="DN45:DN46">
    <cfRule type="cellIs" dxfId="12225" priority="23691" operator="lessThan">
      <formula>0</formula>
    </cfRule>
    <cfRule type="cellIs" dxfId="12224" priority="23692" operator="greaterThan">
      <formula>0</formula>
    </cfRule>
  </conditionalFormatting>
  <conditionalFormatting sqref="DP4:DP5">
    <cfRule type="cellIs" dxfId="12223" priority="23635" operator="lessThan">
      <formula>0</formula>
    </cfRule>
    <cfRule type="cellIs" dxfId="12222" priority="23636" operator="greaterThan">
      <formula>0</formula>
    </cfRule>
  </conditionalFormatting>
  <conditionalFormatting sqref="DP6 DP11">
    <cfRule type="cellIs" dxfId="12221" priority="23633" operator="lessThan">
      <formula>0</formula>
    </cfRule>
    <cfRule type="cellIs" dxfId="12220" priority="23634" operator="greaterThan">
      <formula>0</formula>
    </cfRule>
  </conditionalFormatting>
  <conditionalFormatting sqref="DP12:DP13">
    <cfRule type="cellIs" dxfId="12219" priority="23631" operator="lessThan">
      <formula>0</formula>
    </cfRule>
    <cfRule type="cellIs" dxfId="12218" priority="23632" operator="greaterThan">
      <formula>0</formula>
    </cfRule>
  </conditionalFormatting>
  <conditionalFormatting sqref="DP14:DP15 DP19">
    <cfRule type="cellIs" dxfId="12217" priority="23629" operator="lessThan">
      <formula>0</formula>
    </cfRule>
    <cfRule type="cellIs" dxfId="12216" priority="23630" operator="greaterThan">
      <formula>0</formula>
    </cfRule>
  </conditionalFormatting>
  <conditionalFormatting sqref="DP20:DP22">
    <cfRule type="cellIs" dxfId="12215" priority="23627" operator="lessThan">
      <formula>0</formula>
    </cfRule>
    <cfRule type="cellIs" dxfId="12214" priority="23628" operator="greaterThan">
      <formula>0</formula>
    </cfRule>
  </conditionalFormatting>
  <conditionalFormatting sqref="DP27:DP29">
    <cfRule type="cellIs" dxfId="12213" priority="23651" operator="lessThan">
      <formula>0</formula>
    </cfRule>
    <cfRule type="cellIs" dxfId="12212" priority="23652" operator="greaterThan">
      <formula>0</formula>
    </cfRule>
  </conditionalFormatting>
  <conditionalFormatting sqref="DP45:DP46">
    <cfRule type="cellIs" dxfId="12211" priority="23645" operator="lessThan">
      <formula>0</formula>
    </cfRule>
    <cfRule type="cellIs" dxfId="12210" priority="23646" operator="greaterThan">
      <formula>0</formula>
    </cfRule>
  </conditionalFormatting>
  <conditionalFormatting sqref="DR4:DR5">
    <cfRule type="cellIs" dxfId="12209" priority="23594" operator="lessThan">
      <formula>0</formula>
    </cfRule>
    <cfRule type="cellIs" dxfId="12208" priority="23595" operator="greaterThan">
      <formula>0</formula>
    </cfRule>
  </conditionalFormatting>
  <conditionalFormatting sqref="DR6 DR11">
    <cfRule type="cellIs" dxfId="12207" priority="23592" operator="lessThan">
      <formula>0</formula>
    </cfRule>
    <cfRule type="cellIs" dxfId="12206" priority="23593" operator="greaterThan">
      <formula>0</formula>
    </cfRule>
  </conditionalFormatting>
  <conditionalFormatting sqref="DR12:DR13">
    <cfRule type="cellIs" dxfId="12205" priority="23590" operator="lessThan">
      <formula>0</formula>
    </cfRule>
    <cfRule type="cellIs" dxfId="12204" priority="23591" operator="greaterThan">
      <formula>0</formula>
    </cfRule>
  </conditionalFormatting>
  <conditionalFormatting sqref="DR14:DR15 DR19">
    <cfRule type="cellIs" dxfId="12203" priority="23588" operator="lessThan">
      <formula>0</formula>
    </cfRule>
    <cfRule type="cellIs" dxfId="12202" priority="23589" operator="greaterThan">
      <formula>0</formula>
    </cfRule>
  </conditionalFormatting>
  <conditionalFormatting sqref="DR20:DR22">
    <cfRule type="cellIs" dxfId="12201" priority="23586" operator="lessThan">
      <formula>0</formula>
    </cfRule>
    <cfRule type="cellIs" dxfId="12200" priority="23587" operator="greaterThan">
      <formula>0</formula>
    </cfRule>
  </conditionalFormatting>
  <conditionalFormatting sqref="DR27:DR29">
    <cfRule type="cellIs" dxfId="12199" priority="23610" operator="lessThan">
      <formula>0</formula>
    </cfRule>
    <cfRule type="cellIs" dxfId="12198" priority="23611" operator="greaterThan">
      <formula>0</formula>
    </cfRule>
  </conditionalFormatting>
  <conditionalFormatting sqref="DR45:DR46">
    <cfRule type="cellIs" dxfId="12197" priority="23604" operator="lessThan">
      <formula>0</formula>
    </cfRule>
    <cfRule type="cellIs" dxfId="12196" priority="23605" operator="greaterThan">
      <formula>0</formula>
    </cfRule>
  </conditionalFormatting>
  <conditionalFormatting sqref="DT4:DT5">
    <cfRule type="cellIs" dxfId="12195" priority="23553" operator="lessThan">
      <formula>0</formula>
    </cfRule>
    <cfRule type="cellIs" dxfId="12194" priority="23554" operator="greaterThan">
      <formula>0</formula>
    </cfRule>
  </conditionalFormatting>
  <conditionalFormatting sqref="DT6 DT11">
    <cfRule type="cellIs" dxfId="12193" priority="23551" operator="lessThan">
      <formula>0</formula>
    </cfRule>
    <cfRule type="cellIs" dxfId="12192" priority="23552" operator="greaterThan">
      <formula>0</formula>
    </cfRule>
  </conditionalFormatting>
  <conditionalFormatting sqref="DT12:DT13">
    <cfRule type="cellIs" dxfId="12191" priority="23549" operator="lessThan">
      <formula>0</formula>
    </cfRule>
    <cfRule type="cellIs" dxfId="12190" priority="23550" operator="greaterThan">
      <formula>0</formula>
    </cfRule>
  </conditionalFormatting>
  <conditionalFormatting sqref="DT14:DT15 DT19">
    <cfRule type="cellIs" dxfId="12189" priority="23547" operator="lessThan">
      <formula>0</formula>
    </cfRule>
    <cfRule type="cellIs" dxfId="12188" priority="23548" operator="greaterThan">
      <formula>0</formula>
    </cfRule>
  </conditionalFormatting>
  <conditionalFormatting sqref="DT20:DT22">
    <cfRule type="cellIs" dxfId="12187" priority="23545" operator="lessThan">
      <formula>0</formula>
    </cfRule>
    <cfRule type="cellIs" dxfId="12186" priority="23546" operator="greaterThan">
      <formula>0</formula>
    </cfRule>
  </conditionalFormatting>
  <conditionalFormatting sqref="DT27:DT29">
    <cfRule type="cellIs" dxfId="12185" priority="23569" operator="lessThan">
      <formula>0</formula>
    </cfRule>
    <cfRule type="cellIs" dxfId="12184" priority="23570" operator="greaterThan">
      <formula>0</formula>
    </cfRule>
  </conditionalFormatting>
  <conditionalFormatting sqref="DT45:DT46">
    <cfRule type="cellIs" dxfId="12183" priority="23563" operator="lessThan">
      <formula>0</formula>
    </cfRule>
    <cfRule type="cellIs" dxfId="12182" priority="23564" operator="greaterThan">
      <formula>0</formula>
    </cfRule>
  </conditionalFormatting>
  <conditionalFormatting sqref="DV4:DV5">
    <cfRule type="cellIs" dxfId="12181" priority="23512" operator="lessThan">
      <formula>0</formula>
    </cfRule>
    <cfRule type="cellIs" dxfId="12180" priority="23513" operator="greaterThan">
      <formula>0</formula>
    </cfRule>
  </conditionalFormatting>
  <conditionalFormatting sqref="DV6 DV11">
    <cfRule type="cellIs" dxfId="12179" priority="23510" operator="lessThan">
      <formula>0</formula>
    </cfRule>
    <cfRule type="cellIs" dxfId="12178" priority="23511" operator="greaterThan">
      <formula>0</formula>
    </cfRule>
  </conditionalFormatting>
  <conditionalFormatting sqref="DV12:DV13">
    <cfRule type="cellIs" dxfId="12177" priority="23508" operator="lessThan">
      <formula>0</formula>
    </cfRule>
    <cfRule type="cellIs" dxfId="12176" priority="23509" operator="greaterThan">
      <formula>0</formula>
    </cfRule>
  </conditionalFormatting>
  <conditionalFormatting sqref="DV14:DV15 DV19">
    <cfRule type="cellIs" dxfId="12175" priority="23506" operator="lessThan">
      <formula>0</formula>
    </cfRule>
    <cfRule type="cellIs" dxfId="12174" priority="23507" operator="greaterThan">
      <formula>0</formula>
    </cfRule>
  </conditionalFormatting>
  <conditionalFormatting sqref="DV20:DV22">
    <cfRule type="cellIs" dxfId="12173" priority="23504" operator="lessThan">
      <formula>0</formula>
    </cfRule>
    <cfRule type="cellIs" dxfId="12172" priority="23505" operator="greaterThan">
      <formula>0</formula>
    </cfRule>
  </conditionalFormatting>
  <conditionalFormatting sqref="DV27:DV29">
    <cfRule type="cellIs" dxfId="12171" priority="23528" operator="lessThan">
      <formula>0</formula>
    </cfRule>
    <cfRule type="cellIs" dxfId="12170" priority="23529" operator="greaterThan">
      <formula>0</formula>
    </cfRule>
  </conditionalFormatting>
  <conditionalFormatting sqref="DV45:DV46">
    <cfRule type="cellIs" dxfId="12169" priority="23522" operator="lessThan">
      <formula>0</formula>
    </cfRule>
    <cfRule type="cellIs" dxfId="12168" priority="23523" operator="greaterThan">
      <formula>0</formula>
    </cfRule>
  </conditionalFormatting>
  <conditionalFormatting sqref="DX4:DX5">
    <cfRule type="cellIs" dxfId="12167" priority="23471" operator="lessThan">
      <formula>0</formula>
    </cfRule>
    <cfRule type="cellIs" dxfId="12166" priority="23472" operator="greaterThan">
      <formula>0</formula>
    </cfRule>
  </conditionalFormatting>
  <conditionalFormatting sqref="DX6 DX11">
    <cfRule type="cellIs" dxfId="12165" priority="23469" operator="lessThan">
      <formula>0</formula>
    </cfRule>
    <cfRule type="cellIs" dxfId="12164" priority="23470" operator="greaterThan">
      <formula>0</formula>
    </cfRule>
  </conditionalFormatting>
  <conditionalFormatting sqref="DX12:DX13">
    <cfRule type="cellIs" dxfId="12163" priority="23467" operator="lessThan">
      <formula>0</formula>
    </cfRule>
    <cfRule type="cellIs" dxfId="12162" priority="23468" operator="greaterThan">
      <formula>0</formula>
    </cfRule>
  </conditionalFormatting>
  <conditionalFormatting sqref="DX14:DX15 DX19">
    <cfRule type="cellIs" dxfId="12161" priority="23465" operator="lessThan">
      <formula>0</formula>
    </cfRule>
    <cfRule type="cellIs" dxfId="12160" priority="23466" operator="greaterThan">
      <formula>0</formula>
    </cfRule>
  </conditionalFormatting>
  <conditionalFormatting sqref="DX20:DX22">
    <cfRule type="cellIs" dxfId="12159" priority="23463" operator="lessThan">
      <formula>0</formula>
    </cfRule>
    <cfRule type="cellIs" dxfId="12158" priority="23464" operator="greaterThan">
      <formula>0</formula>
    </cfRule>
  </conditionalFormatting>
  <conditionalFormatting sqref="DX27:DX29">
    <cfRule type="cellIs" dxfId="12157" priority="23487" operator="lessThan">
      <formula>0</formula>
    </cfRule>
    <cfRule type="cellIs" dxfId="12156" priority="23488" operator="greaterThan">
      <formula>0</formula>
    </cfRule>
  </conditionalFormatting>
  <conditionalFormatting sqref="DX45:DX46">
    <cfRule type="cellIs" dxfId="12155" priority="23481" operator="lessThan">
      <formula>0</formula>
    </cfRule>
    <cfRule type="cellIs" dxfId="12154" priority="23482" operator="greaterThan">
      <formula>0</formula>
    </cfRule>
  </conditionalFormatting>
  <conditionalFormatting sqref="DZ4:DZ5">
    <cfRule type="cellIs" dxfId="12153" priority="23430" operator="lessThan">
      <formula>0</formula>
    </cfRule>
    <cfRule type="cellIs" dxfId="12152" priority="23431" operator="greaterThan">
      <formula>0</formula>
    </cfRule>
  </conditionalFormatting>
  <conditionalFormatting sqref="DZ6 DZ11">
    <cfRule type="cellIs" dxfId="12151" priority="23428" operator="lessThan">
      <formula>0</formula>
    </cfRule>
    <cfRule type="cellIs" dxfId="12150" priority="23429" operator="greaterThan">
      <formula>0</formula>
    </cfRule>
  </conditionalFormatting>
  <conditionalFormatting sqref="DZ12:DZ13">
    <cfRule type="cellIs" dxfId="12149" priority="23426" operator="lessThan">
      <formula>0</formula>
    </cfRule>
    <cfRule type="cellIs" dxfId="12148" priority="23427" operator="greaterThan">
      <formula>0</formula>
    </cfRule>
  </conditionalFormatting>
  <conditionalFormatting sqref="DZ14:DZ15 DZ19">
    <cfRule type="cellIs" dxfId="12147" priority="23424" operator="lessThan">
      <formula>0</formula>
    </cfRule>
    <cfRule type="cellIs" dxfId="12146" priority="23425" operator="greaterThan">
      <formula>0</formula>
    </cfRule>
  </conditionalFormatting>
  <conditionalFormatting sqref="DZ20:DZ22">
    <cfRule type="cellIs" dxfId="12145" priority="23422" operator="lessThan">
      <formula>0</formula>
    </cfRule>
    <cfRule type="cellIs" dxfId="12144" priority="23423" operator="greaterThan">
      <formula>0</formula>
    </cfRule>
  </conditionalFormatting>
  <conditionalFormatting sqref="DZ27:DZ29">
    <cfRule type="cellIs" dxfId="12143" priority="23446" operator="lessThan">
      <formula>0</formula>
    </cfRule>
    <cfRule type="cellIs" dxfId="12142" priority="23447" operator="greaterThan">
      <formula>0</formula>
    </cfRule>
  </conditionalFormatting>
  <conditionalFormatting sqref="DZ45:DZ46">
    <cfRule type="cellIs" dxfId="12141" priority="23440" operator="lessThan">
      <formula>0</formula>
    </cfRule>
    <cfRule type="cellIs" dxfId="12140" priority="23441" operator="greaterThan">
      <formula>0</formula>
    </cfRule>
  </conditionalFormatting>
  <conditionalFormatting sqref="EB4:EB5">
    <cfRule type="cellIs" dxfId="12139" priority="23389" operator="lessThan">
      <formula>0</formula>
    </cfRule>
    <cfRule type="cellIs" dxfId="12138" priority="23390" operator="greaterThan">
      <formula>0</formula>
    </cfRule>
  </conditionalFormatting>
  <conditionalFormatting sqref="EB6 EB11">
    <cfRule type="cellIs" dxfId="12137" priority="23387" operator="lessThan">
      <formula>0</formula>
    </cfRule>
    <cfRule type="cellIs" dxfId="12136" priority="23388" operator="greaterThan">
      <formula>0</formula>
    </cfRule>
  </conditionalFormatting>
  <conditionalFormatting sqref="EB12:EB13">
    <cfRule type="cellIs" dxfId="12135" priority="23385" operator="lessThan">
      <formula>0</formula>
    </cfRule>
    <cfRule type="cellIs" dxfId="12134" priority="23386" operator="greaterThan">
      <formula>0</formula>
    </cfRule>
  </conditionalFormatting>
  <conditionalFormatting sqref="EB14:EB15 EB19">
    <cfRule type="cellIs" dxfId="12133" priority="23383" operator="lessThan">
      <formula>0</formula>
    </cfRule>
    <cfRule type="cellIs" dxfId="12132" priority="23384" operator="greaterThan">
      <formula>0</formula>
    </cfRule>
  </conditionalFormatting>
  <conditionalFormatting sqref="EB20:EB22">
    <cfRule type="cellIs" dxfId="12131" priority="23381" operator="lessThan">
      <formula>0</formula>
    </cfRule>
    <cfRule type="cellIs" dxfId="12130" priority="23382" operator="greaterThan">
      <formula>0</formula>
    </cfRule>
  </conditionalFormatting>
  <conditionalFormatting sqref="EB27:EB29">
    <cfRule type="cellIs" dxfId="12129" priority="23405" operator="lessThan">
      <formula>0</formula>
    </cfRule>
    <cfRule type="cellIs" dxfId="12128" priority="23406" operator="greaterThan">
      <formula>0</formula>
    </cfRule>
  </conditionalFormatting>
  <conditionalFormatting sqref="EB45:EB46">
    <cfRule type="cellIs" dxfId="12127" priority="23399" operator="lessThan">
      <formula>0</formula>
    </cfRule>
    <cfRule type="cellIs" dxfId="12126" priority="23400" operator="greaterThan">
      <formula>0</formula>
    </cfRule>
  </conditionalFormatting>
  <conditionalFormatting sqref="ED4:ED5">
    <cfRule type="cellIs" dxfId="12125" priority="23348" operator="lessThan">
      <formula>0</formula>
    </cfRule>
    <cfRule type="cellIs" dxfId="12124" priority="23349" operator="greaterThan">
      <formula>0</formula>
    </cfRule>
  </conditionalFormatting>
  <conditionalFormatting sqref="ED6 ED11">
    <cfRule type="cellIs" dxfId="12123" priority="23346" operator="lessThan">
      <formula>0</formula>
    </cfRule>
    <cfRule type="cellIs" dxfId="12122" priority="23347" operator="greaterThan">
      <formula>0</formula>
    </cfRule>
  </conditionalFormatting>
  <conditionalFormatting sqref="ED12:ED13">
    <cfRule type="cellIs" dxfId="12121" priority="23344" operator="lessThan">
      <formula>0</formula>
    </cfRule>
    <cfRule type="cellIs" dxfId="12120" priority="23345" operator="greaterThan">
      <formula>0</formula>
    </cfRule>
  </conditionalFormatting>
  <conditionalFormatting sqref="ED14:ED15 ED19">
    <cfRule type="cellIs" dxfId="12119" priority="23342" operator="lessThan">
      <formula>0</formula>
    </cfRule>
    <cfRule type="cellIs" dxfId="12118" priority="23343" operator="greaterThan">
      <formula>0</formula>
    </cfRule>
  </conditionalFormatting>
  <conditionalFormatting sqref="ED20:ED22">
    <cfRule type="cellIs" dxfId="12117" priority="23340" operator="lessThan">
      <formula>0</formula>
    </cfRule>
    <cfRule type="cellIs" dxfId="12116" priority="23341" operator="greaterThan">
      <formula>0</formula>
    </cfRule>
  </conditionalFormatting>
  <conditionalFormatting sqref="ED27:ED29">
    <cfRule type="cellIs" dxfId="12115" priority="23364" operator="lessThan">
      <formula>0</formula>
    </cfRule>
    <cfRule type="cellIs" dxfId="12114" priority="23365" operator="greaterThan">
      <formula>0</formula>
    </cfRule>
  </conditionalFormatting>
  <conditionalFormatting sqref="ED45:ED46">
    <cfRule type="cellIs" dxfId="12113" priority="23358" operator="lessThan">
      <formula>0</formula>
    </cfRule>
    <cfRule type="cellIs" dxfId="12112" priority="23359" operator="greaterThan">
      <formula>0</formula>
    </cfRule>
  </conditionalFormatting>
  <conditionalFormatting sqref="EF4:EF5">
    <cfRule type="cellIs" dxfId="12111" priority="23307" operator="lessThan">
      <formula>0</formula>
    </cfRule>
    <cfRule type="cellIs" dxfId="12110" priority="23308" operator="greaterThan">
      <formula>0</formula>
    </cfRule>
  </conditionalFormatting>
  <conditionalFormatting sqref="EF6 EF11">
    <cfRule type="cellIs" dxfId="12109" priority="23305" operator="lessThan">
      <formula>0</formula>
    </cfRule>
    <cfRule type="cellIs" dxfId="12108" priority="23306" operator="greaterThan">
      <formula>0</formula>
    </cfRule>
  </conditionalFormatting>
  <conditionalFormatting sqref="EF12:EF13">
    <cfRule type="cellIs" dxfId="12107" priority="23303" operator="lessThan">
      <formula>0</formula>
    </cfRule>
    <cfRule type="cellIs" dxfId="12106" priority="23304" operator="greaterThan">
      <formula>0</formula>
    </cfRule>
  </conditionalFormatting>
  <conditionalFormatting sqref="EF14:EF15 EF19">
    <cfRule type="cellIs" dxfId="12105" priority="23301" operator="lessThan">
      <formula>0</formula>
    </cfRule>
    <cfRule type="cellIs" dxfId="12104" priority="23302" operator="greaterThan">
      <formula>0</formula>
    </cfRule>
  </conditionalFormatting>
  <conditionalFormatting sqref="EF20:EF22">
    <cfRule type="cellIs" dxfId="12103" priority="23299" operator="lessThan">
      <formula>0</formula>
    </cfRule>
    <cfRule type="cellIs" dxfId="12102" priority="23300" operator="greaterThan">
      <formula>0</formula>
    </cfRule>
  </conditionalFormatting>
  <conditionalFormatting sqref="EF27:EF29">
    <cfRule type="cellIs" dxfId="12101" priority="23323" operator="lessThan">
      <formula>0</formula>
    </cfRule>
    <cfRule type="cellIs" dxfId="12100" priority="23324" operator="greaterThan">
      <formula>0</formula>
    </cfRule>
  </conditionalFormatting>
  <conditionalFormatting sqref="EF45:EF46">
    <cfRule type="cellIs" dxfId="12099" priority="23317" operator="lessThan">
      <formula>0</formula>
    </cfRule>
    <cfRule type="cellIs" dxfId="12098" priority="23318" operator="greaterThan">
      <formula>0</formula>
    </cfRule>
  </conditionalFormatting>
  <conditionalFormatting sqref="EH4:EH5">
    <cfRule type="cellIs" dxfId="12097" priority="23266" operator="lessThan">
      <formula>0</formula>
    </cfRule>
    <cfRule type="cellIs" dxfId="12096" priority="23267" operator="greaterThan">
      <formula>0</formula>
    </cfRule>
  </conditionalFormatting>
  <conditionalFormatting sqref="EH6 EH11">
    <cfRule type="cellIs" dxfId="12095" priority="23264" operator="lessThan">
      <formula>0</formula>
    </cfRule>
    <cfRule type="cellIs" dxfId="12094" priority="23265" operator="greaterThan">
      <formula>0</formula>
    </cfRule>
  </conditionalFormatting>
  <conditionalFormatting sqref="EH12:EH13">
    <cfRule type="cellIs" dxfId="12093" priority="23262" operator="lessThan">
      <formula>0</formula>
    </cfRule>
    <cfRule type="cellIs" dxfId="12092" priority="23263" operator="greaterThan">
      <formula>0</formula>
    </cfRule>
  </conditionalFormatting>
  <conditionalFormatting sqref="EH14:EH15 EH19">
    <cfRule type="cellIs" dxfId="12091" priority="23260" operator="lessThan">
      <formula>0</formula>
    </cfRule>
    <cfRule type="cellIs" dxfId="12090" priority="23261" operator="greaterThan">
      <formula>0</formula>
    </cfRule>
  </conditionalFormatting>
  <conditionalFormatting sqref="EH20:EH22">
    <cfRule type="cellIs" dxfId="12089" priority="23258" operator="lessThan">
      <formula>0</formula>
    </cfRule>
    <cfRule type="cellIs" dxfId="12088" priority="23259" operator="greaterThan">
      <formula>0</formula>
    </cfRule>
  </conditionalFormatting>
  <conditionalFormatting sqref="EH27:EH29">
    <cfRule type="cellIs" dxfId="12087" priority="23282" operator="lessThan">
      <formula>0</formula>
    </cfRule>
    <cfRule type="cellIs" dxfId="12086" priority="23283" operator="greaterThan">
      <formula>0</formula>
    </cfRule>
  </conditionalFormatting>
  <conditionalFormatting sqref="EH45:EH46">
    <cfRule type="cellIs" dxfId="12085" priority="23276" operator="lessThan">
      <formula>0</formula>
    </cfRule>
    <cfRule type="cellIs" dxfId="12084" priority="23277" operator="greaterThan">
      <formula>0</formula>
    </cfRule>
  </conditionalFormatting>
  <conditionalFormatting sqref="EJ4:EJ5">
    <cfRule type="cellIs" dxfId="12083" priority="23225" operator="lessThan">
      <formula>0</formula>
    </cfRule>
    <cfRule type="cellIs" dxfId="12082" priority="23226" operator="greaterThan">
      <formula>0</formula>
    </cfRule>
  </conditionalFormatting>
  <conditionalFormatting sqref="EJ6 EJ11">
    <cfRule type="cellIs" dxfId="12081" priority="23223" operator="lessThan">
      <formula>0</formula>
    </cfRule>
    <cfRule type="cellIs" dxfId="12080" priority="23224" operator="greaterThan">
      <formula>0</formula>
    </cfRule>
  </conditionalFormatting>
  <conditionalFormatting sqref="EJ12:EJ13">
    <cfRule type="cellIs" dxfId="12079" priority="23221" operator="lessThan">
      <formula>0</formula>
    </cfRule>
    <cfRule type="cellIs" dxfId="12078" priority="23222" operator="greaterThan">
      <formula>0</formula>
    </cfRule>
  </conditionalFormatting>
  <conditionalFormatting sqref="EJ14:EJ15 EJ19">
    <cfRule type="cellIs" dxfId="12077" priority="23219" operator="lessThan">
      <formula>0</formula>
    </cfRule>
    <cfRule type="cellIs" dxfId="12076" priority="23220" operator="greaterThan">
      <formula>0</formula>
    </cfRule>
  </conditionalFormatting>
  <conditionalFormatting sqref="EJ20:EJ22">
    <cfRule type="cellIs" dxfId="12075" priority="23217" operator="lessThan">
      <formula>0</formula>
    </cfRule>
    <cfRule type="cellIs" dxfId="12074" priority="23218" operator="greaterThan">
      <formula>0</formula>
    </cfRule>
  </conditionalFormatting>
  <conditionalFormatting sqref="EJ27:EJ29">
    <cfRule type="cellIs" dxfId="12073" priority="23241" operator="lessThan">
      <formula>0</formula>
    </cfRule>
    <cfRule type="cellIs" dxfId="12072" priority="23242" operator="greaterThan">
      <formula>0</formula>
    </cfRule>
  </conditionalFormatting>
  <conditionalFormatting sqref="EJ45:EJ46">
    <cfRule type="cellIs" dxfId="12071" priority="23235" operator="lessThan">
      <formula>0</formula>
    </cfRule>
    <cfRule type="cellIs" dxfId="12070" priority="23236" operator="greaterThan">
      <formula>0</formula>
    </cfRule>
  </conditionalFormatting>
  <conditionalFormatting sqref="EL4:EL5">
    <cfRule type="cellIs" dxfId="12069" priority="23184" operator="lessThan">
      <formula>0</formula>
    </cfRule>
    <cfRule type="cellIs" dxfId="12068" priority="23185" operator="greaterThan">
      <formula>0</formula>
    </cfRule>
  </conditionalFormatting>
  <conditionalFormatting sqref="EL6 EL11">
    <cfRule type="cellIs" dxfId="12067" priority="23182" operator="lessThan">
      <formula>0</formula>
    </cfRule>
    <cfRule type="cellIs" dxfId="12066" priority="23183" operator="greaterThan">
      <formula>0</formula>
    </cfRule>
  </conditionalFormatting>
  <conditionalFormatting sqref="EL12:EL13">
    <cfRule type="cellIs" dxfId="12065" priority="23180" operator="lessThan">
      <formula>0</formula>
    </cfRule>
    <cfRule type="cellIs" dxfId="12064" priority="23181" operator="greaterThan">
      <formula>0</formula>
    </cfRule>
  </conditionalFormatting>
  <conditionalFormatting sqref="EL14:EL15 EL19">
    <cfRule type="cellIs" dxfId="12063" priority="23178" operator="lessThan">
      <formula>0</formula>
    </cfRule>
    <cfRule type="cellIs" dxfId="12062" priority="23179" operator="greaterThan">
      <formula>0</formula>
    </cfRule>
  </conditionalFormatting>
  <conditionalFormatting sqref="EL20:EL22">
    <cfRule type="cellIs" dxfId="12061" priority="23176" operator="lessThan">
      <formula>0</formula>
    </cfRule>
    <cfRule type="cellIs" dxfId="12060" priority="23177" operator="greaterThan">
      <formula>0</formula>
    </cfRule>
  </conditionalFormatting>
  <conditionalFormatting sqref="EL27:EL29">
    <cfRule type="cellIs" dxfId="12059" priority="23200" operator="lessThan">
      <formula>0</formula>
    </cfRule>
    <cfRule type="cellIs" dxfId="12058" priority="23201" operator="greaterThan">
      <formula>0</formula>
    </cfRule>
  </conditionalFormatting>
  <conditionalFormatting sqref="EL45:EL46">
    <cfRule type="cellIs" dxfId="12057" priority="23194" operator="lessThan">
      <formula>0</formula>
    </cfRule>
    <cfRule type="cellIs" dxfId="12056" priority="23195" operator="greaterThan">
      <formula>0</formula>
    </cfRule>
  </conditionalFormatting>
  <conditionalFormatting sqref="EN4:EN5">
    <cfRule type="cellIs" dxfId="12055" priority="23143" operator="lessThan">
      <formula>0</formula>
    </cfRule>
    <cfRule type="cellIs" dxfId="12054" priority="23144" operator="greaterThan">
      <formula>0</formula>
    </cfRule>
  </conditionalFormatting>
  <conditionalFormatting sqref="EN6 EN11">
    <cfRule type="cellIs" dxfId="12053" priority="23141" operator="lessThan">
      <formula>0</formula>
    </cfRule>
    <cfRule type="cellIs" dxfId="12052" priority="23142" operator="greaterThan">
      <formula>0</formula>
    </cfRule>
  </conditionalFormatting>
  <conditionalFormatting sqref="EN12:EN13">
    <cfRule type="cellIs" dxfId="12051" priority="23139" operator="lessThan">
      <formula>0</formula>
    </cfRule>
    <cfRule type="cellIs" dxfId="12050" priority="23140" operator="greaterThan">
      <formula>0</formula>
    </cfRule>
  </conditionalFormatting>
  <conditionalFormatting sqref="EN14:EN15 EN19">
    <cfRule type="cellIs" dxfId="12049" priority="23137" operator="lessThan">
      <formula>0</formula>
    </cfRule>
    <cfRule type="cellIs" dxfId="12048" priority="23138" operator="greaterThan">
      <formula>0</formula>
    </cfRule>
  </conditionalFormatting>
  <conditionalFormatting sqref="EN20:EN22">
    <cfRule type="cellIs" dxfId="12047" priority="23135" operator="lessThan">
      <formula>0</formula>
    </cfRule>
    <cfRule type="cellIs" dxfId="12046" priority="23136" operator="greaterThan">
      <formula>0</formula>
    </cfRule>
  </conditionalFormatting>
  <conditionalFormatting sqref="EN27:EN29">
    <cfRule type="cellIs" dxfId="12045" priority="23159" operator="lessThan">
      <formula>0</formula>
    </cfRule>
    <cfRule type="cellIs" dxfId="12044" priority="23160" operator="greaterThan">
      <formula>0</formula>
    </cfRule>
  </conditionalFormatting>
  <conditionalFormatting sqref="EN45:EN46">
    <cfRule type="cellIs" dxfId="12043" priority="23153" operator="lessThan">
      <formula>0</formula>
    </cfRule>
    <cfRule type="cellIs" dxfId="12042" priority="23154" operator="greaterThan">
      <formula>0</formula>
    </cfRule>
  </conditionalFormatting>
  <conditionalFormatting sqref="EP4:EP5">
    <cfRule type="cellIs" dxfId="12041" priority="23102" operator="lessThan">
      <formula>0</formula>
    </cfRule>
    <cfRule type="cellIs" dxfId="12040" priority="23103" operator="greaterThan">
      <formula>0</formula>
    </cfRule>
  </conditionalFormatting>
  <conditionalFormatting sqref="EP6 EP11">
    <cfRule type="cellIs" dxfId="12039" priority="23100" operator="lessThan">
      <formula>0</formula>
    </cfRule>
    <cfRule type="cellIs" dxfId="12038" priority="23101" operator="greaterThan">
      <formula>0</formula>
    </cfRule>
  </conditionalFormatting>
  <conditionalFormatting sqref="EP12:EP13">
    <cfRule type="cellIs" dxfId="12037" priority="23098" operator="lessThan">
      <formula>0</formula>
    </cfRule>
    <cfRule type="cellIs" dxfId="12036" priority="23099" operator="greaterThan">
      <formula>0</formula>
    </cfRule>
  </conditionalFormatting>
  <conditionalFormatting sqref="EP14:EP15 EP19">
    <cfRule type="cellIs" dxfId="12035" priority="23096" operator="lessThan">
      <formula>0</formula>
    </cfRule>
    <cfRule type="cellIs" dxfId="12034" priority="23097" operator="greaterThan">
      <formula>0</formula>
    </cfRule>
  </conditionalFormatting>
  <conditionalFormatting sqref="EP20:EP22">
    <cfRule type="cellIs" dxfId="12033" priority="23094" operator="lessThan">
      <formula>0</formula>
    </cfRule>
    <cfRule type="cellIs" dxfId="12032" priority="23095" operator="greaterThan">
      <formula>0</formula>
    </cfRule>
  </conditionalFormatting>
  <conditionalFormatting sqref="EP27:EP29">
    <cfRule type="cellIs" dxfId="12031" priority="23118" operator="lessThan">
      <formula>0</formula>
    </cfRule>
    <cfRule type="cellIs" dxfId="12030" priority="23119" operator="greaterThan">
      <formula>0</formula>
    </cfRule>
  </conditionalFormatting>
  <conditionalFormatting sqref="EP45:EP46">
    <cfRule type="cellIs" dxfId="12029" priority="23112" operator="lessThan">
      <formula>0</formula>
    </cfRule>
    <cfRule type="cellIs" dxfId="12028" priority="23113" operator="greaterThan">
      <formula>0</formula>
    </cfRule>
  </conditionalFormatting>
  <conditionalFormatting sqref="ER4:ER5">
    <cfRule type="cellIs" dxfId="12027" priority="23061" operator="lessThan">
      <formula>0</formula>
    </cfRule>
    <cfRule type="cellIs" dxfId="12026" priority="23062" operator="greaterThan">
      <formula>0</formula>
    </cfRule>
  </conditionalFormatting>
  <conditionalFormatting sqref="ER6 ER11">
    <cfRule type="cellIs" dxfId="12025" priority="23059" operator="lessThan">
      <formula>0</formula>
    </cfRule>
    <cfRule type="cellIs" dxfId="12024" priority="23060" operator="greaterThan">
      <formula>0</formula>
    </cfRule>
  </conditionalFormatting>
  <conditionalFormatting sqref="ER12:ER13">
    <cfRule type="cellIs" dxfId="12023" priority="23057" operator="lessThan">
      <formula>0</formula>
    </cfRule>
    <cfRule type="cellIs" dxfId="12022" priority="23058" operator="greaterThan">
      <formula>0</formula>
    </cfRule>
  </conditionalFormatting>
  <conditionalFormatting sqref="ER14:ER15 ER19">
    <cfRule type="cellIs" dxfId="12021" priority="23055" operator="lessThan">
      <formula>0</formula>
    </cfRule>
    <cfRule type="cellIs" dxfId="12020" priority="23056" operator="greaterThan">
      <formula>0</formula>
    </cfRule>
  </conditionalFormatting>
  <conditionalFormatting sqref="ER20:ER22">
    <cfRule type="cellIs" dxfId="12019" priority="23053" operator="lessThan">
      <formula>0</formula>
    </cfRule>
    <cfRule type="cellIs" dxfId="12018" priority="23054" operator="greaterThan">
      <formula>0</formula>
    </cfRule>
  </conditionalFormatting>
  <conditionalFormatting sqref="ER27:ER29">
    <cfRule type="cellIs" dxfId="12017" priority="23077" operator="lessThan">
      <formula>0</formula>
    </cfRule>
    <cfRule type="cellIs" dxfId="12016" priority="23078" operator="greaterThan">
      <formula>0</formula>
    </cfRule>
  </conditionalFormatting>
  <conditionalFormatting sqref="ER45:ER46">
    <cfRule type="cellIs" dxfId="12015" priority="23071" operator="lessThan">
      <formula>0</formula>
    </cfRule>
    <cfRule type="cellIs" dxfId="12014" priority="23072" operator="greaterThan">
      <formula>0</formula>
    </cfRule>
  </conditionalFormatting>
  <conditionalFormatting sqref="ET4:ET5">
    <cfRule type="cellIs" dxfId="12013" priority="23014" operator="lessThan">
      <formula>0</formula>
    </cfRule>
    <cfRule type="cellIs" dxfId="12012" priority="23015" operator="greaterThan">
      <formula>0</formula>
    </cfRule>
  </conditionalFormatting>
  <conditionalFormatting sqref="ET6 ET10:ET11">
    <cfRule type="cellIs" dxfId="12011" priority="23012" operator="lessThan">
      <formula>0</formula>
    </cfRule>
    <cfRule type="cellIs" dxfId="12010" priority="23013" operator="greaterThan">
      <formula>0</formula>
    </cfRule>
  </conditionalFormatting>
  <conditionalFormatting sqref="ET12:ET13">
    <cfRule type="cellIs" dxfId="12009" priority="23010" operator="lessThan">
      <formula>0</formula>
    </cfRule>
    <cfRule type="cellIs" dxfId="12008" priority="23011" operator="greaterThan">
      <formula>0</formula>
    </cfRule>
  </conditionalFormatting>
  <conditionalFormatting sqref="ET14 ET19">
    <cfRule type="cellIs" dxfId="12007" priority="23008" operator="lessThan">
      <formula>0</formula>
    </cfRule>
    <cfRule type="cellIs" dxfId="12006" priority="23009" operator="greaterThan">
      <formula>0</formula>
    </cfRule>
  </conditionalFormatting>
  <conditionalFormatting sqref="ET20:ET22">
    <cfRule type="cellIs" dxfId="12005" priority="23006" operator="lessThan">
      <formula>0</formula>
    </cfRule>
    <cfRule type="cellIs" dxfId="12004" priority="23007" operator="greaterThan">
      <formula>0</formula>
    </cfRule>
  </conditionalFormatting>
  <conditionalFormatting sqref="ET27">
    <cfRule type="cellIs" dxfId="12003" priority="23030" operator="lessThan">
      <formula>0</formula>
    </cfRule>
    <cfRule type="cellIs" dxfId="12002" priority="23031" operator="greaterThan">
      <formula>0</formula>
    </cfRule>
  </conditionalFormatting>
  <conditionalFormatting sqref="ET37">
    <cfRule type="cellIs" dxfId="12001" priority="23026" operator="lessThan">
      <formula>0</formula>
    </cfRule>
    <cfRule type="cellIs" dxfId="12000" priority="23027" operator="greaterThan">
      <formula>0</formula>
    </cfRule>
  </conditionalFormatting>
  <conditionalFormatting sqref="ET45:ET46">
    <cfRule type="cellIs" dxfId="11999" priority="23024" operator="lessThan">
      <formula>0</formula>
    </cfRule>
    <cfRule type="cellIs" dxfId="11998" priority="23025" operator="greaterThan">
      <formula>0</formula>
    </cfRule>
  </conditionalFormatting>
  <conditionalFormatting sqref="EV4:EV5">
    <cfRule type="cellIs" dxfId="11997" priority="22967" operator="lessThan">
      <formula>0</formula>
    </cfRule>
    <cfRule type="cellIs" dxfId="11996" priority="22968" operator="greaterThan">
      <formula>0</formula>
    </cfRule>
  </conditionalFormatting>
  <conditionalFormatting sqref="EV6 EV10:EV11">
    <cfRule type="cellIs" dxfId="11995" priority="22965" operator="lessThan">
      <formula>0</formula>
    </cfRule>
    <cfRule type="cellIs" dxfId="11994" priority="22966" operator="greaterThan">
      <formula>0</formula>
    </cfRule>
  </conditionalFormatting>
  <conditionalFormatting sqref="EV12:EV13">
    <cfRule type="cellIs" dxfId="11993" priority="22963" operator="lessThan">
      <formula>0</formula>
    </cfRule>
    <cfRule type="cellIs" dxfId="11992" priority="22964" operator="greaterThan">
      <formula>0</formula>
    </cfRule>
  </conditionalFormatting>
  <conditionalFormatting sqref="EV14 EV19">
    <cfRule type="cellIs" dxfId="11991" priority="22961" operator="lessThan">
      <formula>0</formula>
    </cfRule>
    <cfRule type="cellIs" dxfId="11990" priority="22962" operator="greaterThan">
      <formula>0</formula>
    </cfRule>
  </conditionalFormatting>
  <conditionalFormatting sqref="EV20:EV22">
    <cfRule type="cellIs" dxfId="11989" priority="22959" operator="lessThan">
      <formula>0</formula>
    </cfRule>
    <cfRule type="cellIs" dxfId="11988" priority="22960" operator="greaterThan">
      <formula>0</formula>
    </cfRule>
  </conditionalFormatting>
  <conditionalFormatting sqref="EV27">
    <cfRule type="cellIs" dxfId="11987" priority="22983" operator="lessThan">
      <formula>0</formula>
    </cfRule>
    <cfRule type="cellIs" dxfId="11986" priority="22984" operator="greaterThan">
      <formula>0</formula>
    </cfRule>
  </conditionalFormatting>
  <conditionalFormatting sqref="EV37">
    <cfRule type="cellIs" dxfId="11985" priority="22979" operator="lessThan">
      <formula>0</formula>
    </cfRule>
    <cfRule type="cellIs" dxfId="11984" priority="22980" operator="greaterThan">
      <formula>0</formula>
    </cfRule>
  </conditionalFormatting>
  <conditionalFormatting sqref="EV45:EV46">
    <cfRule type="cellIs" dxfId="11983" priority="22977" operator="lessThan">
      <formula>0</formula>
    </cfRule>
    <cfRule type="cellIs" dxfId="11982" priority="22978" operator="greaterThan">
      <formula>0</formula>
    </cfRule>
  </conditionalFormatting>
  <conditionalFormatting sqref="EX4:EX5">
    <cfRule type="cellIs" dxfId="11981" priority="22920" operator="lessThan">
      <formula>0</formula>
    </cfRule>
    <cfRule type="cellIs" dxfId="11980" priority="22921" operator="greaterThan">
      <formula>0</formula>
    </cfRule>
  </conditionalFormatting>
  <conditionalFormatting sqref="EX6 EX11">
    <cfRule type="cellIs" dxfId="11979" priority="22918" operator="lessThan">
      <formula>0</formula>
    </cfRule>
    <cfRule type="cellIs" dxfId="11978" priority="22919" operator="greaterThan">
      <formula>0</formula>
    </cfRule>
  </conditionalFormatting>
  <conditionalFormatting sqref="EX12:EX13">
    <cfRule type="cellIs" dxfId="11977" priority="22916" operator="lessThan">
      <formula>0</formula>
    </cfRule>
    <cfRule type="cellIs" dxfId="11976" priority="22917" operator="greaterThan">
      <formula>0</formula>
    </cfRule>
  </conditionalFormatting>
  <conditionalFormatting sqref="EX14 EX19">
    <cfRule type="cellIs" dxfId="11975" priority="22914" operator="lessThan">
      <formula>0</formula>
    </cfRule>
    <cfRule type="cellIs" dxfId="11974" priority="22915" operator="greaterThan">
      <formula>0</formula>
    </cfRule>
  </conditionalFormatting>
  <conditionalFormatting sqref="EX20:EX22">
    <cfRule type="cellIs" dxfId="11973" priority="22912" operator="lessThan">
      <formula>0</formula>
    </cfRule>
    <cfRule type="cellIs" dxfId="11972" priority="22913" operator="greaterThan">
      <formula>0</formula>
    </cfRule>
  </conditionalFormatting>
  <conditionalFormatting sqref="CH7">
    <cfRule type="cellIs" dxfId="11971" priority="22610" operator="lessThan">
      <formula>0</formula>
    </cfRule>
    <cfRule type="cellIs" dxfId="11970" priority="22611" operator="greaterThan">
      <formula>0</formula>
    </cfRule>
  </conditionalFormatting>
  <conditionalFormatting sqref="EX27">
    <cfRule type="cellIs" dxfId="11969" priority="22936" operator="lessThan">
      <formula>0</formula>
    </cfRule>
    <cfRule type="cellIs" dxfId="11968" priority="22937" operator="greaterThan">
      <formula>0</formula>
    </cfRule>
  </conditionalFormatting>
  <conditionalFormatting sqref="EX37">
    <cfRule type="cellIs" dxfId="11967" priority="22932" operator="lessThan">
      <formula>0</formula>
    </cfRule>
    <cfRule type="cellIs" dxfId="11966" priority="22933" operator="greaterThan">
      <formula>0</formula>
    </cfRule>
  </conditionalFormatting>
  <conditionalFormatting sqref="EX45:EX46">
    <cfRule type="cellIs" dxfId="11965" priority="22930" operator="lessThan">
      <formula>0</formula>
    </cfRule>
    <cfRule type="cellIs" dxfId="11964" priority="22931" operator="greaterThan">
      <formula>0</formula>
    </cfRule>
  </conditionalFormatting>
  <conditionalFormatting sqref="EZ4:EZ5">
    <cfRule type="cellIs" dxfId="11963" priority="22873" operator="lessThan">
      <formula>0</formula>
    </cfRule>
    <cfRule type="cellIs" dxfId="11962" priority="22874" operator="greaterThan">
      <formula>0</formula>
    </cfRule>
  </conditionalFormatting>
  <conditionalFormatting sqref="EZ6 EZ9:EZ11">
    <cfRule type="cellIs" dxfId="11961" priority="22871" operator="lessThan">
      <formula>0</formula>
    </cfRule>
    <cfRule type="cellIs" dxfId="11960" priority="22872" operator="greaterThan">
      <formula>0</formula>
    </cfRule>
  </conditionalFormatting>
  <conditionalFormatting sqref="EZ12:EZ13">
    <cfRule type="cellIs" dxfId="11959" priority="22869" operator="lessThan">
      <formula>0</formula>
    </cfRule>
    <cfRule type="cellIs" dxfId="11958" priority="22870" operator="greaterThan">
      <formula>0</formula>
    </cfRule>
  </conditionalFormatting>
  <conditionalFormatting sqref="EZ14:EZ19">
    <cfRule type="cellIs" dxfId="11957" priority="22867" operator="lessThan">
      <formula>0</formula>
    </cfRule>
    <cfRule type="cellIs" dxfId="11956" priority="22868" operator="greaterThan">
      <formula>0</formula>
    </cfRule>
  </conditionalFormatting>
  <conditionalFormatting sqref="EZ20:EZ22">
    <cfRule type="cellIs" dxfId="11955" priority="22865" operator="lessThan">
      <formula>0</formula>
    </cfRule>
    <cfRule type="cellIs" dxfId="11954" priority="22866" operator="greaterThan">
      <formula>0</formula>
    </cfRule>
  </conditionalFormatting>
  <conditionalFormatting sqref="EZ45:EZ46">
    <cfRule type="cellIs" dxfId="11953" priority="22883" operator="lessThan">
      <formula>0</formula>
    </cfRule>
    <cfRule type="cellIs" dxfId="11952" priority="22884" operator="greaterThan">
      <formula>0</formula>
    </cfRule>
  </conditionalFormatting>
  <conditionalFormatting sqref="H7">
    <cfRule type="cellIs" dxfId="11951" priority="22688" operator="lessThan">
      <formula>0</formula>
    </cfRule>
    <cfRule type="cellIs" dxfId="11950" priority="22689" operator="greaterThan">
      <formula>0</formula>
    </cfRule>
  </conditionalFormatting>
  <conditionalFormatting sqref="J7">
    <cfRule type="cellIs" dxfId="11949" priority="22686" operator="lessThan">
      <formula>0</formula>
    </cfRule>
    <cfRule type="cellIs" dxfId="11948" priority="22687" operator="greaterThan">
      <formula>0</formula>
    </cfRule>
  </conditionalFormatting>
  <conditionalFormatting sqref="L7">
    <cfRule type="cellIs" dxfId="11947" priority="22684" operator="lessThan">
      <formula>0</formula>
    </cfRule>
    <cfRule type="cellIs" dxfId="11946" priority="22685" operator="greaterThan">
      <formula>0</formula>
    </cfRule>
  </conditionalFormatting>
  <conditionalFormatting sqref="N7">
    <cfRule type="cellIs" dxfId="11945" priority="22682" operator="lessThan">
      <formula>0</formula>
    </cfRule>
    <cfRule type="cellIs" dxfId="11944" priority="22683" operator="greaterThan">
      <formula>0</formula>
    </cfRule>
  </conditionalFormatting>
  <conditionalFormatting sqref="P7">
    <cfRule type="cellIs" dxfId="11943" priority="22680" operator="lessThan">
      <formula>0</formula>
    </cfRule>
    <cfRule type="cellIs" dxfId="11942" priority="22681" operator="greaterThan">
      <formula>0</formula>
    </cfRule>
  </conditionalFormatting>
  <conditionalFormatting sqref="R7">
    <cfRule type="cellIs" dxfId="11941" priority="22678" operator="lessThan">
      <formula>0</formula>
    </cfRule>
    <cfRule type="cellIs" dxfId="11940" priority="22679" operator="greaterThan">
      <formula>0</formula>
    </cfRule>
  </conditionalFormatting>
  <conditionalFormatting sqref="T7">
    <cfRule type="cellIs" dxfId="11939" priority="22676" operator="lessThan">
      <formula>0</formula>
    </cfRule>
    <cfRule type="cellIs" dxfId="11938" priority="22677" operator="greaterThan">
      <formula>0</formula>
    </cfRule>
  </conditionalFormatting>
  <conditionalFormatting sqref="V7">
    <cfRule type="cellIs" dxfId="11937" priority="22674" operator="lessThan">
      <formula>0</formula>
    </cfRule>
    <cfRule type="cellIs" dxfId="11936" priority="22675" operator="greaterThan">
      <formula>0</formula>
    </cfRule>
  </conditionalFormatting>
  <conditionalFormatting sqref="X7">
    <cfRule type="cellIs" dxfId="11935" priority="22672" operator="lessThan">
      <formula>0</formula>
    </cfRule>
    <cfRule type="cellIs" dxfId="11934" priority="22673" operator="greaterThan">
      <formula>0</formula>
    </cfRule>
  </conditionalFormatting>
  <conditionalFormatting sqref="Z7">
    <cfRule type="cellIs" dxfId="11933" priority="22670" operator="lessThan">
      <formula>0</formula>
    </cfRule>
    <cfRule type="cellIs" dxfId="11932" priority="22671" operator="greaterThan">
      <formula>0</formula>
    </cfRule>
  </conditionalFormatting>
  <conditionalFormatting sqref="AB7">
    <cfRule type="cellIs" dxfId="11931" priority="22668" operator="lessThan">
      <formula>0</formula>
    </cfRule>
    <cfRule type="cellIs" dxfId="11930" priority="22669" operator="greaterThan">
      <formula>0</formula>
    </cfRule>
  </conditionalFormatting>
  <conditionalFormatting sqref="AD7">
    <cfRule type="cellIs" dxfId="11929" priority="22666" operator="lessThan">
      <formula>0</formula>
    </cfRule>
    <cfRule type="cellIs" dxfId="11928" priority="22667" operator="greaterThan">
      <formula>0</formula>
    </cfRule>
  </conditionalFormatting>
  <conditionalFormatting sqref="AF7">
    <cfRule type="cellIs" dxfId="11927" priority="22664" operator="lessThan">
      <formula>0</formula>
    </cfRule>
    <cfRule type="cellIs" dxfId="11926" priority="22665" operator="greaterThan">
      <formula>0</formula>
    </cfRule>
  </conditionalFormatting>
  <conditionalFormatting sqref="AH7">
    <cfRule type="cellIs" dxfId="11925" priority="22662" operator="lessThan">
      <formula>0</formula>
    </cfRule>
    <cfRule type="cellIs" dxfId="11924" priority="22663" operator="greaterThan">
      <formula>0</formula>
    </cfRule>
  </conditionalFormatting>
  <conditionalFormatting sqref="AJ7">
    <cfRule type="cellIs" dxfId="11923" priority="22660" operator="lessThan">
      <formula>0</formula>
    </cfRule>
    <cfRule type="cellIs" dxfId="11922" priority="22661" operator="greaterThan">
      <formula>0</formula>
    </cfRule>
  </conditionalFormatting>
  <conditionalFormatting sqref="AL7">
    <cfRule type="cellIs" dxfId="11921" priority="22658" operator="lessThan">
      <formula>0</formula>
    </cfRule>
    <cfRule type="cellIs" dxfId="11920" priority="22659" operator="greaterThan">
      <formula>0</formula>
    </cfRule>
  </conditionalFormatting>
  <conditionalFormatting sqref="AN7">
    <cfRule type="cellIs" dxfId="11919" priority="22656" operator="lessThan">
      <formula>0</formula>
    </cfRule>
    <cfRule type="cellIs" dxfId="11918" priority="22657" operator="greaterThan">
      <formula>0</formula>
    </cfRule>
  </conditionalFormatting>
  <conditionalFormatting sqref="AP7">
    <cfRule type="cellIs" dxfId="11917" priority="22654" operator="lessThan">
      <formula>0</formula>
    </cfRule>
    <cfRule type="cellIs" dxfId="11916" priority="22655" operator="greaterThan">
      <formula>0</formula>
    </cfRule>
  </conditionalFormatting>
  <conditionalFormatting sqref="AR7">
    <cfRule type="cellIs" dxfId="11915" priority="22652" operator="lessThan">
      <formula>0</formula>
    </cfRule>
    <cfRule type="cellIs" dxfId="11914" priority="22653" operator="greaterThan">
      <formula>0</formula>
    </cfRule>
  </conditionalFormatting>
  <conditionalFormatting sqref="AT7">
    <cfRule type="cellIs" dxfId="11913" priority="22650" operator="lessThan">
      <formula>0</formula>
    </cfRule>
    <cfRule type="cellIs" dxfId="11912" priority="22651" operator="greaterThan">
      <formula>0</formula>
    </cfRule>
  </conditionalFormatting>
  <conditionalFormatting sqref="AV7">
    <cfRule type="cellIs" dxfId="11911" priority="22648" operator="lessThan">
      <formula>0</formula>
    </cfRule>
    <cfRule type="cellIs" dxfId="11910" priority="22649" operator="greaterThan">
      <formula>0</formula>
    </cfRule>
  </conditionalFormatting>
  <conditionalFormatting sqref="AX7">
    <cfRule type="cellIs" dxfId="11909" priority="22646" operator="lessThan">
      <formula>0</formula>
    </cfRule>
    <cfRule type="cellIs" dxfId="11908" priority="22647" operator="greaterThan">
      <formula>0</formula>
    </cfRule>
  </conditionalFormatting>
  <conditionalFormatting sqref="AZ7">
    <cfRule type="cellIs" dxfId="11907" priority="22644" operator="lessThan">
      <formula>0</formula>
    </cfRule>
    <cfRule type="cellIs" dxfId="11906" priority="22645" operator="greaterThan">
      <formula>0</formula>
    </cfRule>
  </conditionalFormatting>
  <conditionalFormatting sqref="BB7">
    <cfRule type="cellIs" dxfId="11905" priority="22642" operator="lessThan">
      <formula>0</formula>
    </cfRule>
    <cfRule type="cellIs" dxfId="11904" priority="22643" operator="greaterThan">
      <formula>0</formula>
    </cfRule>
  </conditionalFormatting>
  <conditionalFormatting sqref="BD7">
    <cfRule type="cellIs" dxfId="11903" priority="22640" operator="lessThan">
      <formula>0</formula>
    </cfRule>
    <cfRule type="cellIs" dxfId="11902" priority="22641" operator="greaterThan">
      <formula>0</formula>
    </cfRule>
  </conditionalFormatting>
  <conditionalFormatting sqref="BF7">
    <cfRule type="cellIs" dxfId="11901" priority="22638" operator="lessThan">
      <formula>0</formula>
    </cfRule>
    <cfRule type="cellIs" dxfId="11900" priority="22639" operator="greaterThan">
      <formula>0</formula>
    </cfRule>
  </conditionalFormatting>
  <conditionalFormatting sqref="BH7">
    <cfRule type="cellIs" dxfId="11899" priority="22636" operator="lessThan">
      <formula>0</formula>
    </cfRule>
    <cfRule type="cellIs" dxfId="11898" priority="22637" operator="greaterThan">
      <formula>0</formula>
    </cfRule>
  </conditionalFormatting>
  <conditionalFormatting sqref="BJ7">
    <cfRule type="cellIs" dxfId="11897" priority="22634" operator="lessThan">
      <formula>0</formula>
    </cfRule>
    <cfRule type="cellIs" dxfId="11896" priority="22635" operator="greaterThan">
      <formula>0</formula>
    </cfRule>
  </conditionalFormatting>
  <conditionalFormatting sqref="BL7">
    <cfRule type="cellIs" dxfId="11895" priority="22632" operator="lessThan">
      <formula>0</formula>
    </cfRule>
    <cfRule type="cellIs" dxfId="11894" priority="22633" operator="greaterThan">
      <formula>0</formula>
    </cfRule>
  </conditionalFormatting>
  <conditionalFormatting sqref="BN7">
    <cfRule type="cellIs" dxfId="11893" priority="22630" operator="lessThan">
      <formula>0</formula>
    </cfRule>
    <cfRule type="cellIs" dxfId="11892" priority="22631" operator="greaterThan">
      <formula>0</formula>
    </cfRule>
  </conditionalFormatting>
  <conditionalFormatting sqref="BP7">
    <cfRule type="cellIs" dxfId="11891" priority="22628" operator="lessThan">
      <formula>0</formula>
    </cfRule>
    <cfRule type="cellIs" dxfId="11890" priority="22629" operator="greaterThan">
      <formula>0</formula>
    </cfRule>
  </conditionalFormatting>
  <conditionalFormatting sqref="BR7">
    <cfRule type="cellIs" dxfId="11889" priority="22626" operator="lessThan">
      <formula>0</formula>
    </cfRule>
    <cfRule type="cellIs" dxfId="11888" priority="22627" operator="greaterThan">
      <formula>0</formula>
    </cfRule>
  </conditionalFormatting>
  <conditionalFormatting sqref="BT7">
    <cfRule type="cellIs" dxfId="11887" priority="22624" operator="lessThan">
      <formula>0</formula>
    </cfRule>
    <cfRule type="cellIs" dxfId="11886" priority="22625" operator="greaterThan">
      <formula>0</formula>
    </cfRule>
  </conditionalFormatting>
  <conditionalFormatting sqref="BV7">
    <cfRule type="cellIs" dxfId="11885" priority="22622" operator="lessThan">
      <formula>0</formula>
    </cfRule>
    <cfRule type="cellIs" dxfId="11884" priority="22623" operator="greaterThan">
      <formula>0</formula>
    </cfRule>
  </conditionalFormatting>
  <conditionalFormatting sqref="BX7">
    <cfRule type="cellIs" dxfId="11883" priority="22620" operator="lessThan">
      <formula>0</formula>
    </cfRule>
    <cfRule type="cellIs" dxfId="11882" priority="22621" operator="greaterThan">
      <formula>0</formula>
    </cfRule>
  </conditionalFormatting>
  <conditionalFormatting sqref="BZ7">
    <cfRule type="cellIs" dxfId="11881" priority="22618" operator="lessThan">
      <formula>0</formula>
    </cfRule>
    <cfRule type="cellIs" dxfId="11880" priority="22619" operator="greaterThan">
      <formula>0</formula>
    </cfRule>
  </conditionalFormatting>
  <conditionalFormatting sqref="CB7">
    <cfRule type="cellIs" dxfId="11879" priority="22616" operator="lessThan">
      <formula>0</formula>
    </cfRule>
    <cfRule type="cellIs" dxfId="11878" priority="22617" operator="greaterThan">
      <formula>0</formula>
    </cfRule>
  </conditionalFormatting>
  <conditionalFormatting sqref="CD7">
    <cfRule type="cellIs" dxfId="11877" priority="22614" operator="lessThan">
      <formula>0</formula>
    </cfRule>
    <cfRule type="cellIs" dxfId="11876" priority="22615" operator="greaterThan">
      <formula>0</formula>
    </cfRule>
  </conditionalFormatting>
  <conditionalFormatting sqref="CF7">
    <cfRule type="cellIs" dxfId="11875" priority="22612" operator="lessThan">
      <formula>0</formula>
    </cfRule>
    <cfRule type="cellIs" dxfId="11874" priority="22613" operator="greaterThan">
      <formula>0</formula>
    </cfRule>
  </conditionalFormatting>
  <conditionalFormatting sqref="CJ7">
    <cfRule type="cellIs" dxfId="11873" priority="22608" operator="lessThan">
      <formula>0</formula>
    </cfRule>
    <cfRule type="cellIs" dxfId="11872" priority="22609" operator="greaterThan">
      <formula>0</formula>
    </cfRule>
  </conditionalFormatting>
  <conditionalFormatting sqref="CL7">
    <cfRule type="cellIs" dxfId="11871" priority="22606" operator="lessThan">
      <formula>0</formula>
    </cfRule>
    <cfRule type="cellIs" dxfId="11870" priority="22607" operator="greaterThan">
      <formula>0</formula>
    </cfRule>
  </conditionalFormatting>
  <conditionalFormatting sqref="CN7">
    <cfRule type="cellIs" dxfId="11869" priority="22604" operator="lessThan">
      <formula>0</formula>
    </cfRule>
    <cfRule type="cellIs" dxfId="11868" priority="22605" operator="greaterThan">
      <formula>0</formula>
    </cfRule>
  </conditionalFormatting>
  <conditionalFormatting sqref="CP7">
    <cfRule type="cellIs" dxfId="11867" priority="22602" operator="lessThan">
      <formula>0</formula>
    </cfRule>
    <cfRule type="cellIs" dxfId="11866" priority="22603" operator="greaterThan">
      <formula>0</formula>
    </cfRule>
  </conditionalFormatting>
  <conditionalFormatting sqref="CR7">
    <cfRule type="cellIs" dxfId="11865" priority="22600" operator="lessThan">
      <formula>0</formula>
    </cfRule>
    <cfRule type="cellIs" dxfId="11864" priority="22601" operator="greaterThan">
      <formula>0</formula>
    </cfRule>
  </conditionalFormatting>
  <conditionalFormatting sqref="CT7">
    <cfRule type="cellIs" dxfId="11863" priority="22598" operator="lessThan">
      <formula>0</formula>
    </cfRule>
    <cfRule type="cellIs" dxfId="11862" priority="22599" operator="greaterThan">
      <formula>0</formula>
    </cfRule>
  </conditionalFormatting>
  <conditionalFormatting sqref="CV7">
    <cfRule type="cellIs" dxfId="11861" priority="22596" operator="lessThan">
      <formula>0</formula>
    </cfRule>
    <cfRule type="cellIs" dxfId="11860" priority="22597" operator="greaterThan">
      <formula>0</formula>
    </cfRule>
  </conditionalFormatting>
  <conditionalFormatting sqref="CX7">
    <cfRule type="cellIs" dxfId="11859" priority="22594" operator="lessThan">
      <formula>0</formula>
    </cfRule>
    <cfRule type="cellIs" dxfId="11858" priority="22595" operator="greaterThan">
      <formula>0</formula>
    </cfRule>
  </conditionalFormatting>
  <conditionalFormatting sqref="CZ7">
    <cfRule type="cellIs" dxfId="11857" priority="22592" operator="lessThan">
      <formula>0</formula>
    </cfRule>
    <cfRule type="cellIs" dxfId="11856" priority="22593" operator="greaterThan">
      <formula>0</formula>
    </cfRule>
  </conditionalFormatting>
  <conditionalFormatting sqref="DB7">
    <cfRule type="cellIs" dxfId="11855" priority="22590" operator="lessThan">
      <formula>0</formula>
    </cfRule>
    <cfRule type="cellIs" dxfId="11854" priority="22591" operator="greaterThan">
      <formula>0</formula>
    </cfRule>
  </conditionalFormatting>
  <conditionalFormatting sqref="DD7">
    <cfRule type="cellIs" dxfId="11853" priority="22588" operator="lessThan">
      <formula>0</formula>
    </cfRule>
    <cfRule type="cellIs" dxfId="11852" priority="22589" operator="greaterThan">
      <formula>0</formula>
    </cfRule>
  </conditionalFormatting>
  <conditionalFormatting sqref="DF7">
    <cfRule type="cellIs" dxfId="11851" priority="22586" operator="lessThan">
      <formula>0</formula>
    </cfRule>
    <cfRule type="cellIs" dxfId="11850" priority="22587" operator="greaterThan">
      <formula>0</formula>
    </cfRule>
  </conditionalFormatting>
  <conditionalFormatting sqref="DH7">
    <cfRule type="cellIs" dxfId="11849" priority="22584" operator="lessThan">
      <formula>0</formula>
    </cfRule>
    <cfRule type="cellIs" dxfId="11848" priority="22585" operator="greaterThan">
      <formula>0</formula>
    </cfRule>
  </conditionalFormatting>
  <conditionalFormatting sqref="DJ7">
    <cfRule type="cellIs" dxfId="11847" priority="22582" operator="lessThan">
      <formula>0</formula>
    </cfRule>
    <cfRule type="cellIs" dxfId="11846" priority="22583" operator="greaterThan">
      <formula>0</formula>
    </cfRule>
  </conditionalFormatting>
  <conditionalFormatting sqref="DT7">
    <cfRule type="cellIs" dxfId="11845" priority="22536" operator="lessThan">
      <formula>0</formula>
    </cfRule>
    <cfRule type="cellIs" dxfId="11844" priority="22537" operator="greaterThan">
      <formula>0</formula>
    </cfRule>
  </conditionalFormatting>
  <conditionalFormatting sqref="DV7">
    <cfRule type="cellIs" dxfId="11843" priority="22534" operator="lessThan">
      <formula>0</formula>
    </cfRule>
    <cfRule type="cellIs" dxfId="11842" priority="22535" operator="greaterThan">
      <formula>0</formula>
    </cfRule>
  </conditionalFormatting>
  <conditionalFormatting sqref="DX7">
    <cfRule type="cellIs" dxfId="11841" priority="22532" operator="lessThan">
      <formula>0</formula>
    </cfRule>
    <cfRule type="cellIs" dxfId="11840" priority="22533" operator="greaterThan">
      <formula>0</formula>
    </cfRule>
  </conditionalFormatting>
  <conditionalFormatting sqref="DZ7">
    <cfRule type="cellIs" dxfId="11839" priority="22530" operator="lessThan">
      <formula>0</formula>
    </cfRule>
    <cfRule type="cellIs" dxfId="11838" priority="22531" operator="greaterThan">
      <formula>0</formula>
    </cfRule>
  </conditionalFormatting>
  <conditionalFormatting sqref="EB7">
    <cfRule type="cellIs" dxfId="11837" priority="22528" operator="lessThan">
      <formula>0</formula>
    </cfRule>
    <cfRule type="cellIs" dxfId="11836" priority="22529" operator="greaterThan">
      <formula>0</formula>
    </cfRule>
  </conditionalFormatting>
  <conditionalFormatting sqref="ED7">
    <cfRule type="cellIs" dxfId="11835" priority="22526" operator="lessThan">
      <formula>0</formula>
    </cfRule>
    <cfRule type="cellIs" dxfId="11834" priority="22527" operator="greaterThan">
      <formula>0</formula>
    </cfRule>
  </conditionalFormatting>
  <conditionalFormatting sqref="EF7">
    <cfRule type="cellIs" dxfId="11833" priority="22524" operator="lessThan">
      <formula>0</formula>
    </cfRule>
    <cfRule type="cellIs" dxfId="11832" priority="22525" operator="greaterThan">
      <formula>0</formula>
    </cfRule>
  </conditionalFormatting>
  <conditionalFormatting sqref="EH7">
    <cfRule type="cellIs" dxfId="11831" priority="22522" operator="lessThan">
      <formula>0</formula>
    </cfRule>
    <cfRule type="cellIs" dxfId="11830" priority="22523" operator="greaterThan">
      <formula>0</formula>
    </cfRule>
  </conditionalFormatting>
  <conditionalFormatting sqref="EJ7">
    <cfRule type="cellIs" dxfId="11829" priority="22520" operator="lessThan">
      <formula>0</formula>
    </cfRule>
    <cfRule type="cellIs" dxfId="11828" priority="22521" operator="greaterThan">
      <formula>0</formula>
    </cfRule>
  </conditionalFormatting>
  <conditionalFormatting sqref="EL7">
    <cfRule type="cellIs" dxfId="11827" priority="22518" operator="lessThan">
      <formula>0</formula>
    </cfRule>
    <cfRule type="cellIs" dxfId="11826" priority="22519" operator="greaterThan">
      <formula>0</formula>
    </cfRule>
  </conditionalFormatting>
  <conditionalFormatting sqref="EN7">
    <cfRule type="cellIs" dxfId="11825" priority="22516" operator="lessThan">
      <formula>0</formula>
    </cfRule>
    <cfRule type="cellIs" dxfId="11824" priority="22517" operator="greaterThan">
      <formula>0</formula>
    </cfRule>
  </conditionalFormatting>
  <conditionalFormatting sqref="EP7">
    <cfRule type="cellIs" dxfId="11823" priority="22514" operator="lessThan">
      <formula>0</formula>
    </cfRule>
    <cfRule type="cellIs" dxfId="11822" priority="22515" operator="greaterThan">
      <formula>0</formula>
    </cfRule>
  </conditionalFormatting>
  <conditionalFormatting sqref="ER7">
    <cfRule type="cellIs" dxfId="11821" priority="22512" operator="lessThan">
      <formula>0</formula>
    </cfRule>
    <cfRule type="cellIs" dxfId="11820" priority="22513" operator="greaterThan">
      <formula>0</formula>
    </cfRule>
  </conditionalFormatting>
  <conditionalFormatting sqref="ET7">
    <cfRule type="cellIs" dxfId="11819" priority="22510" operator="lessThan">
      <formula>0</formula>
    </cfRule>
    <cfRule type="cellIs" dxfId="11818" priority="22511" operator="greaterThan">
      <formula>0</formula>
    </cfRule>
  </conditionalFormatting>
  <conditionalFormatting sqref="EV7">
    <cfRule type="cellIs" dxfId="11817" priority="22508" operator="lessThan">
      <formula>0</formula>
    </cfRule>
    <cfRule type="cellIs" dxfId="11816" priority="22509" operator="greaterThan">
      <formula>0</formula>
    </cfRule>
  </conditionalFormatting>
  <conditionalFormatting sqref="EN8">
    <cfRule type="cellIs" dxfId="11815" priority="22373" operator="lessThan">
      <formula>0</formula>
    </cfRule>
    <cfRule type="cellIs" dxfId="11814" priority="22374" operator="greaterThan">
      <formula>0</formula>
    </cfRule>
  </conditionalFormatting>
  <conditionalFormatting sqref="DL7">
    <cfRule type="cellIs" dxfId="11813" priority="22544" operator="lessThan">
      <formula>0</formula>
    </cfRule>
    <cfRule type="cellIs" dxfId="11812" priority="22545" operator="greaterThan">
      <formula>0</formula>
    </cfRule>
  </conditionalFormatting>
  <conditionalFormatting sqref="DN7">
    <cfRule type="cellIs" dxfId="11811" priority="22542" operator="lessThan">
      <formula>0</formula>
    </cfRule>
    <cfRule type="cellIs" dxfId="11810" priority="22543" operator="greaterThan">
      <formula>0</formula>
    </cfRule>
  </conditionalFormatting>
  <conditionalFormatting sqref="DP7">
    <cfRule type="cellIs" dxfId="11809" priority="22540" operator="lessThan">
      <formula>0</formula>
    </cfRule>
    <cfRule type="cellIs" dxfId="11808" priority="22541" operator="greaterThan">
      <formula>0</formula>
    </cfRule>
  </conditionalFormatting>
  <conditionalFormatting sqref="DR7">
    <cfRule type="cellIs" dxfId="11807" priority="22538" operator="lessThan">
      <formula>0</formula>
    </cfRule>
    <cfRule type="cellIs" dxfId="11806" priority="22539" operator="greaterThan">
      <formula>0</formula>
    </cfRule>
  </conditionalFormatting>
  <conditionalFormatting sqref="EX7">
    <cfRule type="cellIs" dxfId="11805" priority="22495" operator="lessThan">
      <formula>0</formula>
    </cfRule>
    <cfRule type="cellIs" dxfId="11804" priority="22496" operator="greaterThan">
      <formula>0</formula>
    </cfRule>
  </conditionalFormatting>
  <conditionalFormatting sqref="EV8">
    <cfRule type="cellIs" dxfId="11803" priority="22365" operator="lessThan">
      <formula>0</formula>
    </cfRule>
    <cfRule type="cellIs" dxfId="11802" priority="22366" operator="greaterThan">
      <formula>0</formula>
    </cfRule>
  </conditionalFormatting>
  <conditionalFormatting sqref="EZ7">
    <cfRule type="cellIs" dxfId="11801" priority="22491" operator="lessThan">
      <formula>0</formula>
    </cfRule>
    <cfRule type="cellIs" dxfId="11800" priority="22492" operator="greaterThan">
      <formula>0</formula>
    </cfRule>
  </conditionalFormatting>
  <conditionalFormatting sqref="EZ7">
    <cfRule type="cellIs" dxfId="11799" priority="22489" operator="lessThan">
      <formula>0</formula>
    </cfRule>
    <cfRule type="cellIs" dxfId="11798" priority="22490" operator="greaterThan">
      <formula>0</formula>
    </cfRule>
  </conditionalFormatting>
  <conditionalFormatting sqref="BJ8">
    <cfRule type="cellIs" dxfId="11797" priority="22487" operator="lessThan">
      <formula>0</formula>
    </cfRule>
    <cfRule type="cellIs" dxfId="11796" priority="22488" operator="greaterThan">
      <formula>0</formula>
    </cfRule>
  </conditionalFormatting>
  <conditionalFormatting sqref="BL8">
    <cfRule type="cellIs" dxfId="11795" priority="22485" operator="lessThan">
      <formula>0</formula>
    </cfRule>
    <cfRule type="cellIs" dxfId="11794" priority="22486" operator="greaterThan">
      <formula>0</formula>
    </cfRule>
  </conditionalFormatting>
  <conditionalFormatting sqref="BN8">
    <cfRule type="cellIs" dxfId="11793" priority="22483" operator="lessThan">
      <formula>0</formula>
    </cfRule>
    <cfRule type="cellIs" dxfId="11792" priority="22484" operator="greaterThan">
      <formula>0</formula>
    </cfRule>
  </conditionalFormatting>
  <conditionalFormatting sqref="BP8">
    <cfRule type="cellIs" dxfId="11791" priority="22481" operator="lessThan">
      <formula>0</formula>
    </cfRule>
    <cfRule type="cellIs" dxfId="11790" priority="22482" operator="greaterThan">
      <formula>0</formula>
    </cfRule>
  </conditionalFormatting>
  <conditionalFormatting sqref="BR8">
    <cfRule type="cellIs" dxfId="11789" priority="22479" operator="lessThan">
      <formula>0</formula>
    </cfRule>
    <cfRule type="cellIs" dxfId="11788" priority="22480" operator="greaterThan">
      <formula>0</formula>
    </cfRule>
  </conditionalFormatting>
  <conditionalFormatting sqref="BT8">
    <cfRule type="cellIs" dxfId="11787" priority="22477" operator="lessThan">
      <formula>0</formula>
    </cfRule>
    <cfRule type="cellIs" dxfId="11786" priority="22478" operator="greaterThan">
      <formula>0</formula>
    </cfRule>
  </conditionalFormatting>
  <conditionalFormatting sqref="BV8">
    <cfRule type="cellIs" dxfId="11785" priority="22475" operator="lessThan">
      <formula>0</formula>
    </cfRule>
    <cfRule type="cellIs" dxfId="11784" priority="22476" operator="greaterThan">
      <formula>0</formula>
    </cfRule>
  </conditionalFormatting>
  <conditionalFormatting sqref="BX8">
    <cfRule type="cellIs" dxfId="11783" priority="22473" operator="lessThan">
      <formula>0</formula>
    </cfRule>
    <cfRule type="cellIs" dxfId="11782" priority="22474" operator="greaterThan">
      <formula>0</formula>
    </cfRule>
  </conditionalFormatting>
  <conditionalFormatting sqref="BZ8">
    <cfRule type="cellIs" dxfId="11781" priority="22471" operator="lessThan">
      <formula>0</formula>
    </cfRule>
    <cfRule type="cellIs" dxfId="11780" priority="22472" operator="greaterThan">
      <formula>0</formula>
    </cfRule>
  </conditionalFormatting>
  <conditionalFormatting sqref="CB8">
    <cfRule type="cellIs" dxfId="11779" priority="22469" operator="lessThan">
      <formula>0</formula>
    </cfRule>
    <cfRule type="cellIs" dxfId="11778" priority="22470" operator="greaterThan">
      <formula>0</formula>
    </cfRule>
  </conditionalFormatting>
  <conditionalFormatting sqref="CD8">
    <cfRule type="cellIs" dxfId="11777" priority="22467" operator="lessThan">
      <formula>0</formula>
    </cfRule>
    <cfRule type="cellIs" dxfId="11776" priority="22468" operator="greaterThan">
      <formula>0</formula>
    </cfRule>
  </conditionalFormatting>
  <conditionalFormatting sqref="CF8">
    <cfRule type="cellIs" dxfId="11775" priority="22465" operator="lessThan">
      <formula>0</formula>
    </cfRule>
    <cfRule type="cellIs" dxfId="11774" priority="22466" operator="greaterThan">
      <formula>0</formula>
    </cfRule>
  </conditionalFormatting>
  <conditionalFormatting sqref="CH8">
    <cfRule type="cellIs" dxfId="11773" priority="22463" operator="lessThan">
      <formula>0</formula>
    </cfRule>
    <cfRule type="cellIs" dxfId="11772" priority="22464" operator="greaterThan">
      <formula>0</formula>
    </cfRule>
  </conditionalFormatting>
  <conditionalFormatting sqref="CJ8">
    <cfRule type="cellIs" dxfId="11771" priority="22461" operator="lessThan">
      <formula>0</formula>
    </cfRule>
    <cfRule type="cellIs" dxfId="11770" priority="22462" operator="greaterThan">
      <formula>0</formula>
    </cfRule>
  </conditionalFormatting>
  <conditionalFormatting sqref="CL8">
    <cfRule type="cellIs" dxfId="11769" priority="22459" operator="lessThan">
      <formula>0</formula>
    </cfRule>
    <cfRule type="cellIs" dxfId="11768" priority="22460" operator="greaterThan">
      <formula>0</formula>
    </cfRule>
  </conditionalFormatting>
  <conditionalFormatting sqref="CN8">
    <cfRule type="cellIs" dxfId="11767" priority="22457" operator="lessThan">
      <formula>0</formula>
    </cfRule>
    <cfRule type="cellIs" dxfId="11766" priority="22458" operator="greaterThan">
      <formula>0</formula>
    </cfRule>
  </conditionalFormatting>
  <conditionalFormatting sqref="CP8">
    <cfRule type="cellIs" dxfId="11765" priority="22455" operator="lessThan">
      <formula>0</formula>
    </cfRule>
    <cfRule type="cellIs" dxfId="11764" priority="22456" operator="greaterThan">
      <formula>0</formula>
    </cfRule>
  </conditionalFormatting>
  <conditionalFormatting sqref="CR8">
    <cfRule type="cellIs" dxfId="11763" priority="22453" operator="lessThan">
      <formula>0</formula>
    </cfRule>
    <cfRule type="cellIs" dxfId="11762" priority="22454" operator="greaterThan">
      <formula>0</formula>
    </cfRule>
  </conditionalFormatting>
  <conditionalFormatting sqref="CT8">
    <cfRule type="cellIs" dxfId="11761" priority="22451" operator="lessThan">
      <formula>0</formula>
    </cfRule>
    <cfRule type="cellIs" dxfId="11760" priority="22452" operator="greaterThan">
      <formula>0</formula>
    </cfRule>
  </conditionalFormatting>
  <conditionalFormatting sqref="CV8">
    <cfRule type="cellIs" dxfId="11759" priority="22449" operator="lessThan">
      <formula>0</formula>
    </cfRule>
    <cfRule type="cellIs" dxfId="11758" priority="22450" operator="greaterThan">
      <formula>0</formula>
    </cfRule>
  </conditionalFormatting>
  <conditionalFormatting sqref="CX8">
    <cfRule type="cellIs" dxfId="11757" priority="22447" operator="lessThan">
      <formula>0</formula>
    </cfRule>
    <cfRule type="cellIs" dxfId="11756" priority="22448" operator="greaterThan">
      <formula>0</formula>
    </cfRule>
  </conditionalFormatting>
  <conditionalFormatting sqref="CZ8">
    <cfRule type="cellIs" dxfId="11755" priority="22445" operator="lessThan">
      <formula>0</formula>
    </cfRule>
    <cfRule type="cellIs" dxfId="11754" priority="22446" operator="greaterThan">
      <formula>0</formula>
    </cfRule>
  </conditionalFormatting>
  <conditionalFormatting sqref="DB8">
    <cfRule type="cellIs" dxfId="11753" priority="22443" operator="lessThan">
      <formula>0</formula>
    </cfRule>
    <cfRule type="cellIs" dxfId="11752" priority="22444" operator="greaterThan">
      <formula>0</formula>
    </cfRule>
  </conditionalFormatting>
  <conditionalFormatting sqref="DD8">
    <cfRule type="cellIs" dxfId="11751" priority="22441" operator="lessThan">
      <formula>0</formula>
    </cfRule>
    <cfRule type="cellIs" dxfId="11750" priority="22442" operator="greaterThan">
      <formula>0</formula>
    </cfRule>
  </conditionalFormatting>
  <conditionalFormatting sqref="DF8">
    <cfRule type="cellIs" dxfId="11749" priority="22439" operator="lessThan">
      <formula>0</formula>
    </cfRule>
    <cfRule type="cellIs" dxfId="11748" priority="22440" operator="greaterThan">
      <formula>0</formula>
    </cfRule>
  </conditionalFormatting>
  <conditionalFormatting sqref="DH8">
    <cfRule type="cellIs" dxfId="11747" priority="22437" operator="lessThan">
      <formula>0</formula>
    </cfRule>
    <cfRule type="cellIs" dxfId="11746" priority="22438" operator="greaterThan">
      <formula>0</formula>
    </cfRule>
  </conditionalFormatting>
  <conditionalFormatting sqref="DJ8">
    <cfRule type="cellIs" dxfId="11745" priority="22435" operator="lessThan">
      <formula>0</formula>
    </cfRule>
    <cfRule type="cellIs" dxfId="11744" priority="22436" operator="greaterThan">
      <formula>0</formula>
    </cfRule>
  </conditionalFormatting>
  <conditionalFormatting sqref="DL8">
    <cfRule type="cellIs" dxfId="11743" priority="22433" operator="lessThan">
      <formula>0</formula>
    </cfRule>
    <cfRule type="cellIs" dxfId="11742" priority="22434" operator="greaterThan">
      <formula>0</formula>
    </cfRule>
  </conditionalFormatting>
  <conditionalFormatting sqref="DN8">
    <cfRule type="cellIs" dxfId="11741" priority="22431" operator="lessThan">
      <formula>0</formula>
    </cfRule>
    <cfRule type="cellIs" dxfId="11740" priority="22432" operator="greaterThan">
      <formula>0</formula>
    </cfRule>
  </conditionalFormatting>
  <conditionalFormatting sqref="DP8">
    <cfRule type="cellIs" dxfId="11739" priority="22429" operator="lessThan">
      <formula>0</formula>
    </cfRule>
    <cfRule type="cellIs" dxfId="11738" priority="22430" operator="greaterThan">
      <formula>0</formula>
    </cfRule>
  </conditionalFormatting>
  <conditionalFormatting sqref="DR8">
    <cfRule type="cellIs" dxfId="11737" priority="22427" operator="lessThan">
      <formula>0</formula>
    </cfRule>
    <cfRule type="cellIs" dxfId="11736" priority="22428" operator="greaterThan">
      <formula>0</formula>
    </cfRule>
  </conditionalFormatting>
  <conditionalFormatting sqref="DT8">
    <cfRule type="cellIs" dxfId="11735" priority="22425" operator="lessThan">
      <formula>0</formula>
    </cfRule>
    <cfRule type="cellIs" dxfId="11734" priority="22426" operator="greaterThan">
      <formula>0</formula>
    </cfRule>
  </conditionalFormatting>
  <conditionalFormatting sqref="DV8">
    <cfRule type="cellIs" dxfId="11733" priority="22423" operator="lessThan">
      <formula>0</formula>
    </cfRule>
    <cfRule type="cellIs" dxfId="11732" priority="22424" operator="greaterThan">
      <formula>0</formula>
    </cfRule>
  </conditionalFormatting>
  <conditionalFormatting sqref="DX8">
    <cfRule type="cellIs" dxfId="11731" priority="22421" operator="lessThan">
      <formula>0</formula>
    </cfRule>
    <cfRule type="cellIs" dxfId="11730" priority="22422" operator="greaterThan">
      <formula>0</formula>
    </cfRule>
  </conditionalFormatting>
  <conditionalFormatting sqref="DZ8">
    <cfRule type="cellIs" dxfId="11729" priority="22419" operator="lessThan">
      <formula>0</formula>
    </cfRule>
    <cfRule type="cellIs" dxfId="11728" priority="22420" operator="greaterThan">
      <formula>0</formula>
    </cfRule>
  </conditionalFormatting>
  <conditionalFormatting sqref="EB8">
    <cfRule type="cellIs" dxfId="11727" priority="22417" operator="lessThan">
      <formula>0</formula>
    </cfRule>
    <cfRule type="cellIs" dxfId="11726" priority="22418" operator="greaterThan">
      <formula>0</formula>
    </cfRule>
  </conditionalFormatting>
  <conditionalFormatting sqref="ED8">
    <cfRule type="cellIs" dxfId="11725" priority="22415" operator="lessThan">
      <formula>0</formula>
    </cfRule>
    <cfRule type="cellIs" dxfId="11724" priority="22416" operator="greaterThan">
      <formula>0</formula>
    </cfRule>
  </conditionalFormatting>
  <conditionalFormatting sqref="EF8">
    <cfRule type="cellIs" dxfId="11723" priority="22413" operator="lessThan">
      <formula>0</formula>
    </cfRule>
    <cfRule type="cellIs" dxfId="11722" priority="22414" operator="greaterThan">
      <formula>0</formula>
    </cfRule>
  </conditionalFormatting>
  <conditionalFormatting sqref="EX8">
    <cfRule type="cellIs" dxfId="11721" priority="22387" operator="lessThan">
      <formula>0</formula>
    </cfRule>
    <cfRule type="cellIs" dxfId="11720" priority="22388" operator="greaterThan">
      <formula>0</formula>
    </cfRule>
  </conditionalFormatting>
  <conditionalFormatting sqref="EP8">
    <cfRule type="cellIs" dxfId="11719" priority="22371" operator="lessThan">
      <formula>0</formula>
    </cfRule>
    <cfRule type="cellIs" dxfId="11718" priority="22372" operator="greaterThan">
      <formula>0</formula>
    </cfRule>
  </conditionalFormatting>
  <conditionalFormatting sqref="EL8">
    <cfRule type="cellIs" dxfId="11717" priority="22375" operator="lessThan">
      <formula>0</formula>
    </cfRule>
    <cfRule type="cellIs" dxfId="11716" priority="22376" operator="greaterThan">
      <formula>0</formula>
    </cfRule>
  </conditionalFormatting>
  <conditionalFormatting sqref="EV15">
    <cfRule type="cellIs" dxfId="11715" priority="21949" operator="lessThan">
      <formula>0</formula>
    </cfRule>
    <cfRule type="cellIs" dxfId="11714" priority="21950" operator="greaterThan">
      <formula>0</formula>
    </cfRule>
  </conditionalFormatting>
  <conditionalFormatting sqref="EH8">
    <cfRule type="cellIs" dxfId="11713" priority="22379" operator="lessThan">
      <formula>0</formula>
    </cfRule>
    <cfRule type="cellIs" dxfId="11712" priority="22380" operator="greaterThan">
      <formula>0</formula>
    </cfRule>
  </conditionalFormatting>
  <conditionalFormatting sqref="EJ8">
    <cfRule type="cellIs" dxfId="11711" priority="22377" operator="lessThan">
      <formula>0</formula>
    </cfRule>
    <cfRule type="cellIs" dxfId="11710" priority="22378" operator="greaterThan">
      <formula>0</formula>
    </cfRule>
  </conditionalFormatting>
  <conditionalFormatting sqref="ET15">
    <cfRule type="cellIs" dxfId="11709" priority="21951" operator="lessThan">
      <formula>0</formula>
    </cfRule>
    <cfRule type="cellIs" dxfId="11708" priority="21952" operator="greaterThan">
      <formula>0</formula>
    </cfRule>
  </conditionalFormatting>
  <conditionalFormatting sqref="EX15">
    <cfRule type="cellIs" dxfId="11707" priority="21947" operator="lessThan">
      <formula>0</formula>
    </cfRule>
    <cfRule type="cellIs" dxfId="11706" priority="21948" operator="greaterThan">
      <formula>0</formula>
    </cfRule>
  </conditionalFormatting>
  <conditionalFormatting sqref="ER8">
    <cfRule type="cellIs" dxfId="11705" priority="22369" operator="lessThan">
      <formula>0</formula>
    </cfRule>
    <cfRule type="cellIs" dxfId="11704" priority="22370" operator="greaterThan">
      <formula>0</formula>
    </cfRule>
  </conditionalFormatting>
  <conditionalFormatting sqref="ET8">
    <cfRule type="cellIs" dxfId="11703" priority="22367" operator="lessThan">
      <formula>0</formula>
    </cfRule>
    <cfRule type="cellIs" dxfId="11702" priority="22368" operator="greaterThan">
      <formula>0</formula>
    </cfRule>
  </conditionalFormatting>
  <conditionalFormatting sqref="EZ8">
    <cfRule type="cellIs" dxfId="11701" priority="22363" operator="lessThan">
      <formula>0</formula>
    </cfRule>
    <cfRule type="cellIs" dxfId="11700" priority="22364" operator="greaterThan">
      <formula>0</formula>
    </cfRule>
  </conditionalFormatting>
  <conditionalFormatting sqref="BF9">
    <cfRule type="cellIs" dxfId="11699" priority="22361" operator="lessThan">
      <formula>0</formula>
    </cfRule>
    <cfRule type="cellIs" dxfId="11698" priority="22362" operator="greaterThan">
      <formula>0</formula>
    </cfRule>
  </conditionalFormatting>
  <conditionalFormatting sqref="BH9">
    <cfRule type="cellIs" dxfId="11697" priority="22359" operator="lessThan">
      <formula>0</formula>
    </cfRule>
    <cfRule type="cellIs" dxfId="11696" priority="22360" operator="greaterThan">
      <formula>0</formula>
    </cfRule>
  </conditionalFormatting>
  <conditionalFormatting sqref="BJ9">
    <cfRule type="cellIs" dxfId="11695" priority="22357" operator="lessThan">
      <formula>0</formula>
    </cfRule>
    <cfRule type="cellIs" dxfId="11694" priority="22358" operator="greaterThan">
      <formula>0</formula>
    </cfRule>
  </conditionalFormatting>
  <conditionalFormatting sqref="BL9">
    <cfRule type="cellIs" dxfId="11693" priority="22355" operator="lessThan">
      <formula>0</formula>
    </cfRule>
    <cfRule type="cellIs" dxfId="11692" priority="22356" operator="greaterThan">
      <formula>0</formula>
    </cfRule>
  </conditionalFormatting>
  <conditionalFormatting sqref="BN9">
    <cfRule type="cellIs" dxfId="11691" priority="22353" operator="lessThan">
      <formula>0</formula>
    </cfRule>
    <cfRule type="cellIs" dxfId="11690" priority="22354" operator="greaterThan">
      <formula>0</formula>
    </cfRule>
  </conditionalFormatting>
  <conditionalFormatting sqref="BP9">
    <cfRule type="cellIs" dxfId="11689" priority="22351" operator="lessThan">
      <formula>0</formula>
    </cfRule>
    <cfRule type="cellIs" dxfId="11688" priority="22352" operator="greaterThan">
      <formula>0</formula>
    </cfRule>
  </conditionalFormatting>
  <conditionalFormatting sqref="BR9">
    <cfRule type="cellIs" dxfId="11687" priority="22349" operator="lessThan">
      <formula>0</formula>
    </cfRule>
    <cfRule type="cellIs" dxfId="11686" priority="22350" operator="greaterThan">
      <formula>0</formula>
    </cfRule>
  </conditionalFormatting>
  <conditionalFormatting sqref="BT9">
    <cfRule type="cellIs" dxfId="11685" priority="22347" operator="lessThan">
      <formula>0</formula>
    </cfRule>
    <cfRule type="cellIs" dxfId="11684" priority="22348" operator="greaterThan">
      <formula>0</formula>
    </cfRule>
  </conditionalFormatting>
  <conditionalFormatting sqref="BV9">
    <cfRule type="cellIs" dxfId="11683" priority="22345" operator="lessThan">
      <formula>0</formula>
    </cfRule>
    <cfRule type="cellIs" dxfId="11682" priority="22346" operator="greaterThan">
      <formula>0</formula>
    </cfRule>
  </conditionalFormatting>
  <conditionalFormatting sqref="BX9">
    <cfRule type="cellIs" dxfId="11681" priority="22343" operator="lessThan">
      <formula>0</formula>
    </cfRule>
    <cfRule type="cellIs" dxfId="11680" priority="22344" operator="greaterThan">
      <formula>0</formula>
    </cfRule>
  </conditionalFormatting>
  <conditionalFormatting sqref="BZ9">
    <cfRule type="cellIs" dxfId="11679" priority="22341" operator="lessThan">
      <formula>0</formula>
    </cfRule>
    <cfRule type="cellIs" dxfId="11678" priority="22342" operator="greaterThan">
      <formula>0</formula>
    </cfRule>
  </conditionalFormatting>
  <conditionalFormatting sqref="CB9">
    <cfRule type="cellIs" dxfId="11677" priority="22339" operator="lessThan">
      <formula>0</formula>
    </cfRule>
    <cfRule type="cellIs" dxfId="11676" priority="22340" operator="greaterThan">
      <formula>0</formula>
    </cfRule>
  </conditionalFormatting>
  <conditionalFormatting sqref="CD9">
    <cfRule type="cellIs" dxfId="11675" priority="22337" operator="lessThan">
      <formula>0</formula>
    </cfRule>
    <cfRule type="cellIs" dxfId="11674" priority="22338" operator="greaterThan">
      <formula>0</formula>
    </cfRule>
  </conditionalFormatting>
  <conditionalFormatting sqref="CF9">
    <cfRule type="cellIs" dxfId="11673" priority="22335" operator="lessThan">
      <formula>0</formula>
    </cfRule>
    <cfRule type="cellIs" dxfId="11672" priority="22336" operator="greaterThan">
      <formula>0</formula>
    </cfRule>
  </conditionalFormatting>
  <conditionalFormatting sqref="CH9">
    <cfRule type="cellIs" dxfId="11671" priority="22333" operator="lessThan">
      <formula>0</formula>
    </cfRule>
    <cfRule type="cellIs" dxfId="11670" priority="22334" operator="greaterThan">
      <formula>0</formula>
    </cfRule>
  </conditionalFormatting>
  <conditionalFormatting sqref="CJ9">
    <cfRule type="cellIs" dxfId="11669" priority="22331" operator="lessThan">
      <formula>0</formula>
    </cfRule>
    <cfRule type="cellIs" dxfId="11668" priority="22332" operator="greaterThan">
      <formula>0</formula>
    </cfRule>
  </conditionalFormatting>
  <conditionalFormatting sqref="CL9">
    <cfRule type="cellIs" dxfId="11667" priority="22329" operator="lessThan">
      <formula>0</formula>
    </cfRule>
    <cfRule type="cellIs" dxfId="11666" priority="22330" operator="greaterThan">
      <formula>0</formula>
    </cfRule>
  </conditionalFormatting>
  <conditionalFormatting sqref="CN9">
    <cfRule type="cellIs" dxfId="11665" priority="22327" operator="lessThan">
      <formula>0</formula>
    </cfRule>
    <cfRule type="cellIs" dxfId="11664" priority="22328" operator="greaterThan">
      <formula>0</formula>
    </cfRule>
  </conditionalFormatting>
  <conditionalFormatting sqref="CP9">
    <cfRule type="cellIs" dxfId="11663" priority="22325" operator="lessThan">
      <formula>0</formula>
    </cfRule>
    <cfRule type="cellIs" dxfId="11662" priority="22326" operator="greaterThan">
      <formula>0</formula>
    </cfRule>
  </conditionalFormatting>
  <conditionalFormatting sqref="CR9">
    <cfRule type="cellIs" dxfId="11661" priority="22323" operator="lessThan">
      <formula>0</formula>
    </cfRule>
    <cfRule type="cellIs" dxfId="11660" priority="22324" operator="greaterThan">
      <formula>0</formula>
    </cfRule>
  </conditionalFormatting>
  <conditionalFormatting sqref="CT9">
    <cfRule type="cellIs" dxfId="11659" priority="22321" operator="lessThan">
      <formula>0</formula>
    </cfRule>
    <cfRule type="cellIs" dxfId="11658" priority="22322" operator="greaterThan">
      <formula>0</formula>
    </cfRule>
  </conditionalFormatting>
  <conditionalFormatting sqref="CV9">
    <cfRule type="cellIs" dxfId="11657" priority="22319" operator="lessThan">
      <formula>0</formula>
    </cfRule>
    <cfRule type="cellIs" dxfId="11656" priority="22320" operator="greaterThan">
      <formula>0</formula>
    </cfRule>
  </conditionalFormatting>
  <conditionalFormatting sqref="CX9">
    <cfRule type="cellIs" dxfId="11655" priority="22317" operator="lessThan">
      <formula>0</formula>
    </cfRule>
    <cfRule type="cellIs" dxfId="11654" priority="22318" operator="greaterThan">
      <formula>0</formula>
    </cfRule>
  </conditionalFormatting>
  <conditionalFormatting sqref="CZ9">
    <cfRule type="cellIs" dxfId="11653" priority="22315" operator="lessThan">
      <formula>0</formula>
    </cfRule>
    <cfRule type="cellIs" dxfId="11652" priority="22316" operator="greaterThan">
      <formula>0</formula>
    </cfRule>
  </conditionalFormatting>
  <conditionalFormatting sqref="DB9">
    <cfRule type="cellIs" dxfId="11651" priority="22313" operator="lessThan">
      <formula>0</formula>
    </cfRule>
    <cfRule type="cellIs" dxfId="11650" priority="22314" operator="greaterThan">
      <formula>0</formula>
    </cfRule>
  </conditionalFormatting>
  <conditionalFormatting sqref="DD9">
    <cfRule type="cellIs" dxfId="11649" priority="22311" operator="lessThan">
      <formula>0</formula>
    </cfRule>
    <cfRule type="cellIs" dxfId="11648" priority="22312" operator="greaterThan">
      <formula>0</formula>
    </cfRule>
  </conditionalFormatting>
  <conditionalFormatting sqref="DF9">
    <cfRule type="cellIs" dxfId="11647" priority="22309" operator="lessThan">
      <formula>0</formula>
    </cfRule>
    <cfRule type="cellIs" dxfId="11646" priority="22310" operator="greaterThan">
      <formula>0</formula>
    </cfRule>
  </conditionalFormatting>
  <conditionalFormatting sqref="DH9">
    <cfRule type="cellIs" dxfId="11645" priority="22307" operator="lessThan">
      <formula>0</formula>
    </cfRule>
    <cfRule type="cellIs" dxfId="11644" priority="22308" operator="greaterThan">
      <formula>0</formula>
    </cfRule>
  </conditionalFormatting>
  <conditionalFormatting sqref="DJ9">
    <cfRule type="cellIs" dxfId="11643" priority="22305" operator="lessThan">
      <formula>0</formula>
    </cfRule>
    <cfRule type="cellIs" dxfId="11642" priority="22306" operator="greaterThan">
      <formula>0</formula>
    </cfRule>
  </conditionalFormatting>
  <conditionalFormatting sqref="DL9">
    <cfRule type="cellIs" dxfId="11641" priority="22303" operator="lessThan">
      <formula>0</formula>
    </cfRule>
    <cfRule type="cellIs" dxfId="11640" priority="22304" operator="greaterThan">
      <formula>0</formula>
    </cfRule>
  </conditionalFormatting>
  <conditionalFormatting sqref="DN9">
    <cfRule type="cellIs" dxfId="11639" priority="22301" operator="lessThan">
      <formula>0</formula>
    </cfRule>
    <cfRule type="cellIs" dxfId="11638" priority="22302" operator="greaterThan">
      <formula>0</formula>
    </cfRule>
  </conditionalFormatting>
  <conditionalFormatting sqref="DP9">
    <cfRule type="cellIs" dxfId="11637" priority="22299" operator="lessThan">
      <formula>0</formula>
    </cfRule>
    <cfRule type="cellIs" dxfId="11636" priority="22300" operator="greaterThan">
      <formula>0</formula>
    </cfRule>
  </conditionalFormatting>
  <conditionalFormatting sqref="DR9">
    <cfRule type="cellIs" dxfId="11635" priority="22297" operator="lessThan">
      <formula>0</formula>
    </cfRule>
    <cfRule type="cellIs" dxfId="11634" priority="22298" operator="greaterThan">
      <formula>0</formula>
    </cfRule>
  </conditionalFormatting>
  <conditionalFormatting sqref="DT9">
    <cfRule type="cellIs" dxfId="11633" priority="22295" operator="lessThan">
      <formula>0</formula>
    </cfRule>
    <cfRule type="cellIs" dxfId="11632" priority="22296" operator="greaterThan">
      <formula>0</formula>
    </cfRule>
  </conditionalFormatting>
  <conditionalFormatting sqref="DV9">
    <cfRule type="cellIs" dxfId="11631" priority="22293" operator="lessThan">
      <formula>0</formula>
    </cfRule>
    <cfRule type="cellIs" dxfId="11630" priority="22294" operator="greaterThan">
      <formula>0</formula>
    </cfRule>
  </conditionalFormatting>
  <conditionalFormatting sqref="DX9">
    <cfRule type="cellIs" dxfId="11629" priority="22291" operator="lessThan">
      <formula>0</formula>
    </cfRule>
    <cfRule type="cellIs" dxfId="11628" priority="22292" operator="greaterThan">
      <formula>0</formula>
    </cfRule>
  </conditionalFormatting>
  <conditionalFormatting sqref="DZ9">
    <cfRule type="cellIs" dxfId="11627" priority="22289" operator="lessThan">
      <formula>0</formula>
    </cfRule>
    <cfRule type="cellIs" dxfId="11626" priority="22290" operator="greaterThan">
      <formula>0</formula>
    </cfRule>
  </conditionalFormatting>
  <conditionalFormatting sqref="EB9">
    <cfRule type="cellIs" dxfId="11625" priority="22287" operator="lessThan">
      <formula>0</formula>
    </cfRule>
    <cfRule type="cellIs" dxfId="11624" priority="22288" operator="greaterThan">
      <formula>0</formula>
    </cfRule>
  </conditionalFormatting>
  <conditionalFormatting sqref="ED9">
    <cfRule type="cellIs" dxfId="11623" priority="22285" operator="lessThan">
      <formula>0</formula>
    </cfRule>
    <cfRule type="cellIs" dxfId="11622" priority="22286" operator="greaterThan">
      <formula>0</formula>
    </cfRule>
  </conditionalFormatting>
  <conditionalFormatting sqref="EF9">
    <cfRule type="cellIs" dxfId="11621" priority="22283" operator="lessThan">
      <formula>0</formula>
    </cfRule>
    <cfRule type="cellIs" dxfId="11620" priority="22284" operator="greaterThan">
      <formula>0</formula>
    </cfRule>
  </conditionalFormatting>
  <conditionalFormatting sqref="EH9">
    <cfRule type="cellIs" dxfId="11619" priority="22269" operator="lessThan">
      <formula>0</formula>
    </cfRule>
    <cfRule type="cellIs" dxfId="11618" priority="22270" operator="greaterThan">
      <formula>0</formula>
    </cfRule>
  </conditionalFormatting>
  <conditionalFormatting sqref="EJ9">
    <cfRule type="cellIs" dxfId="11617" priority="22267" operator="lessThan">
      <formula>0</formula>
    </cfRule>
    <cfRule type="cellIs" dxfId="11616" priority="22268" operator="greaterThan">
      <formula>0</formula>
    </cfRule>
  </conditionalFormatting>
  <conditionalFormatting sqref="EL9">
    <cfRule type="cellIs" dxfId="11615" priority="22265" operator="lessThan">
      <formula>0</formula>
    </cfRule>
    <cfRule type="cellIs" dxfId="11614" priority="22266" operator="greaterThan">
      <formula>0</formula>
    </cfRule>
  </conditionalFormatting>
  <conditionalFormatting sqref="EN9">
    <cfRule type="cellIs" dxfId="11613" priority="22263" operator="lessThan">
      <formula>0</formula>
    </cfRule>
    <cfRule type="cellIs" dxfId="11612" priority="22264" operator="greaterThan">
      <formula>0</formula>
    </cfRule>
  </conditionalFormatting>
  <conditionalFormatting sqref="EP9">
    <cfRule type="cellIs" dxfId="11611" priority="22261" operator="lessThan">
      <formula>0</formula>
    </cfRule>
    <cfRule type="cellIs" dxfId="11610" priority="22262" operator="greaterThan">
      <formula>0</formula>
    </cfRule>
  </conditionalFormatting>
  <conditionalFormatting sqref="ER9">
    <cfRule type="cellIs" dxfId="11609" priority="22259" operator="lessThan">
      <formula>0</formula>
    </cfRule>
    <cfRule type="cellIs" dxfId="11608" priority="22260" operator="greaterThan">
      <formula>0</formula>
    </cfRule>
  </conditionalFormatting>
  <conditionalFormatting sqref="ET9">
    <cfRule type="cellIs" dxfId="11607" priority="22257" operator="lessThan">
      <formula>0</formula>
    </cfRule>
    <cfRule type="cellIs" dxfId="11606" priority="22258" operator="greaterThan">
      <formula>0</formula>
    </cfRule>
  </conditionalFormatting>
  <conditionalFormatting sqref="EV9">
    <cfRule type="cellIs" dxfId="11605" priority="22255" operator="lessThan">
      <formula>0</formula>
    </cfRule>
    <cfRule type="cellIs" dxfId="11604" priority="22256" operator="greaterThan">
      <formula>0</formula>
    </cfRule>
  </conditionalFormatting>
  <conditionalFormatting sqref="EX9">
    <cfRule type="cellIs" dxfId="11603" priority="22253" operator="lessThan">
      <formula>0</formula>
    </cfRule>
    <cfRule type="cellIs" dxfId="11602" priority="22254" operator="greaterThan">
      <formula>0</formula>
    </cfRule>
  </conditionalFormatting>
  <conditionalFormatting sqref="BF10">
    <cfRule type="cellIs" dxfId="11601" priority="22245" operator="lessThan">
      <formula>0</formula>
    </cfRule>
    <cfRule type="cellIs" dxfId="11600" priority="22246" operator="greaterThan">
      <formula>0</formula>
    </cfRule>
  </conditionalFormatting>
  <conditionalFormatting sqref="BF10">
    <cfRule type="cellIs" dxfId="11599" priority="22243" operator="lessThan">
      <formula>0</formula>
    </cfRule>
    <cfRule type="cellIs" dxfId="11598" priority="22244" operator="greaterThan">
      <formula>0</formula>
    </cfRule>
  </conditionalFormatting>
  <conditionalFormatting sqref="BH10">
    <cfRule type="cellIs" dxfId="11597" priority="22241" operator="lessThan">
      <formula>0</formula>
    </cfRule>
    <cfRule type="cellIs" dxfId="11596" priority="22242" operator="greaterThan">
      <formula>0</formula>
    </cfRule>
  </conditionalFormatting>
  <conditionalFormatting sqref="BH10">
    <cfRule type="cellIs" dxfId="11595" priority="22239" operator="lessThan">
      <formula>0</formula>
    </cfRule>
    <cfRule type="cellIs" dxfId="11594" priority="22240" operator="greaterThan">
      <formula>0</formula>
    </cfRule>
  </conditionalFormatting>
  <conditionalFormatting sqref="BJ10">
    <cfRule type="cellIs" dxfId="11593" priority="22237" operator="lessThan">
      <formula>0</formula>
    </cfRule>
    <cfRule type="cellIs" dxfId="11592" priority="22238" operator="greaterThan">
      <formula>0</formula>
    </cfRule>
  </conditionalFormatting>
  <conditionalFormatting sqref="BJ10">
    <cfRule type="cellIs" dxfId="11591" priority="22235" operator="lessThan">
      <formula>0</formula>
    </cfRule>
    <cfRule type="cellIs" dxfId="11590" priority="22236" operator="greaterThan">
      <formula>0</formula>
    </cfRule>
  </conditionalFormatting>
  <conditionalFormatting sqref="BL10">
    <cfRule type="cellIs" dxfId="11589" priority="22233" operator="lessThan">
      <formula>0</formula>
    </cfRule>
    <cfRule type="cellIs" dxfId="11588" priority="22234" operator="greaterThan">
      <formula>0</formula>
    </cfRule>
  </conditionalFormatting>
  <conditionalFormatting sqref="BL10">
    <cfRule type="cellIs" dxfId="11587" priority="22231" operator="lessThan">
      <formula>0</formula>
    </cfRule>
    <cfRule type="cellIs" dxfId="11586" priority="22232" operator="greaterThan">
      <formula>0</formula>
    </cfRule>
  </conditionalFormatting>
  <conditionalFormatting sqref="BN10">
    <cfRule type="cellIs" dxfId="11585" priority="22229" operator="lessThan">
      <formula>0</formula>
    </cfRule>
    <cfRule type="cellIs" dxfId="11584" priority="22230" operator="greaterThan">
      <formula>0</formula>
    </cfRule>
  </conditionalFormatting>
  <conditionalFormatting sqref="BN10">
    <cfRule type="cellIs" dxfId="11583" priority="22227" operator="lessThan">
      <formula>0</formula>
    </cfRule>
    <cfRule type="cellIs" dxfId="11582" priority="22228" operator="greaterThan">
      <formula>0</formula>
    </cfRule>
  </conditionalFormatting>
  <conditionalFormatting sqref="BP10">
    <cfRule type="cellIs" dxfId="11581" priority="22225" operator="lessThan">
      <formula>0</formula>
    </cfRule>
    <cfRule type="cellIs" dxfId="11580" priority="22226" operator="greaterThan">
      <formula>0</formula>
    </cfRule>
  </conditionalFormatting>
  <conditionalFormatting sqref="BP10">
    <cfRule type="cellIs" dxfId="11579" priority="22223" operator="lessThan">
      <formula>0</formula>
    </cfRule>
    <cfRule type="cellIs" dxfId="11578" priority="22224" operator="greaterThan">
      <formula>0</formula>
    </cfRule>
  </conditionalFormatting>
  <conditionalFormatting sqref="BR10">
    <cfRule type="cellIs" dxfId="11577" priority="22221" operator="lessThan">
      <formula>0</formula>
    </cfRule>
    <cfRule type="cellIs" dxfId="11576" priority="22222" operator="greaterThan">
      <formula>0</formula>
    </cfRule>
  </conditionalFormatting>
  <conditionalFormatting sqref="BR10">
    <cfRule type="cellIs" dxfId="11575" priority="22219" operator="lessThan">
      <formula>0</formula>
    </cfRule>
    <cfRule type="cellIs" dxfId="11574" priority="22220" operator="greaterThan">
      <formula>0</formula>
    </cfRule>
  </conditionalFormatting>
  <conditionalFormatting sqref="BT10">
    <cfRule type="cellIs" dxfId="11573" priority="22217" operator="lessThan">
      <formula>0</formula>
    </cfRule>
    <cfRule type="cellIs" dxfId="11572" priority="22218" operator="greaterThan">
      <formula>0</formula>
    </cfRule>
  </conditionalFormatting>
  <conditionalFormatting sqref="BT10">
    <cfRule type="cellIs" dxfId="11571" priority="22215" operator="lessThan">
      <formula>0</formula>
    </cfRule>
    <cfRule type="cellIs" dxfId="11570" priority="22216" operator="greaterThan">
      <formula>0</formula>
    </cfRule>
  </conditionalFormatting>
  <conditionalFormatting sqref="BV10">
    <cfRule type="cellIs" dxfId="11569" priority="22213" operator="lessThan">
      <formula>0</formula>
    </cfRule>
    <cfRule type="cellIs" dxfId="11568" priority="22214" operator="greaterThan">
      <formula>0</formula>
    </cfRule>
  </conditionalFormatting>
  <conditionalFormatting sqref="BV10">
    <cfRule type="cellIs" dxfId="11567" priority="22211" operator="lessThan">
      <formula>0</formula>
    </cfRule>
    <cfRule type="cellIs" dxfId="11566" priority="22212" operator="greaterThan">
      <formula>0</formula>
    </cfRule>
  </conditionalFormatting>
  <conditionalFormatting sqref="BX10">
    <cfRule type="cellIs" dxfId="11565" priority="22209" operator="lessThan">
      <formula>0</formula>
    </cfRule>
    <cfRule type="cellIs" dxfId="11564" priority="22210" operator="greaterThan">
      <formula>0</formula>
    </cfRule>
  </conditionalFormatting>
  <conditionalFormatting sqref="BX10">
    <cfRule type="cellIs" dxfId="11563" priority="22207" operator="lessThan">
      <formula>0</formula>
    </cfRule>
    <cfRule type="cellIs" dxfId="11562" priority="22208" operator="greaterThan">
      <formula>0</formula>
    </cfRule>
  </conditionalFormatting>
  <conditionalFormatting sqref="BZ10">
    <cfRule type="cellIs" dxfId="11561" priority="22205" operator="lessThan">
      <formula>0</formula>
    </cfRule>
    <cfRule type="cellIs" dxfId="11560" priority="22206" operator="greaterThan">
      <formula>0</formula>
    </cfRule>
  </conditionalFormatting>
  <conditionalFormatting sqref="BZ10">
    <cfRule type="cellIs" dxfId="11559" priority="22203" operator="lessThan">
      <formula>0</formula>
    </cfRule>
    <cfRule type="cellIs" dxfId="11558" priority="22204" operator="greaterThan">
      <formula>0</formula>
    </cfRule>
  </conditionalFormatting>
  <conditionalFormatting sqref="CB10">
    <cfRule type="cellIs" dxfId="11557" priority="22201" operator="lessThan">
      <formula>0</formula>
    </cfRule>
    <cfRule type="cellIs" dxfId="11556" priority="22202" operator="greaterThan">
      <formula>0</formula>
    </cfRule>
  </conditionalFormatting>
  <conditionalFormatting sqref="CB10">
    <cfRule type="cellIs" dxfId="11555" priority="22199" operator="lessThan">
      <formula>0</formula>
    </cfRule>
    <cfRule type="cellIs" dxfId="11554" priority="22200" operator="greaterThan">
      <formula>0</formula>
    </cfRule>
  </conditionalFormatting>
  <conditionalFormatting sqref="CD10">
    <cfRule type="cellIs" dxfId="11553" priority="22197" operator="lessThan">
      <formula>0</formula>
    </cfRule>
    <cfRule type="cellIs" dxfId="11552" priority="22198" operator="greaterThan">
      <formula>0</formula>
    </cfRule>
  </conditionalFormatting>
  <conditionalFormatting sqref="CD10">
    <cfRule type="cellIs" dxfId="11551" priority="22195" operator="lessThan">
      <formula>0</formula>
    </cfRule>
    <cfRule type="cellIs" dxfId="11550" priority="22196" operator="greaterThan">
      <formula>0</formula>
    </cfRule>
  </conditionalFormatting>
  <conditionalFormatting sqref="CF10">
    <cfRule type="cellIs" dxfId="11549" priority="22193" operator="lessThan">
      <formula>0</formula>
    </cfRule>
    <cfRule type="cellIs" dxfId="11548" priority="22194" operator="greaterThan">
      <formula>0</formula>
    </cfRule>
  </conditionalFormatting>
  <conditionalFormatting sqref="CF10">
    <cfRule type="cellIs" dxfId="11547" priority="22191" operator="lessThan">
      <formula>0</formula>
    </cfRule>
    <cfRule type="cellIs" dxfId="11546" priority="22192" operator="greaterThan">
      <formula>0</formula>
    </cfRule>
  </conditionalFormatting>
  <conditionalFormatting sqref="CH10">
    <cfRule type="cellIs" dxfId="11545" priority="22189" operator="lessThan">
      <formula>0</formula>
    </cfRule>
    <cfRule type="cellIs" dxfId="11544" priority="22190" operator="greaterThan">
      <formula>0</formula>
    </cfRule>
  </conditionalFormatting>
  <conditionalFormatting sqref="CH10">
    <cfRule type="cellIs" dxfId="11543" priority="22187" operator="lessThan">
      <formula>0</formula>
    </cfRule>
    <cfRule type="cellIs" dxfId="11542" priority="22188" operator="greaterThan">
      <formula>0</formula>
    </cfRule>
  </conditionalFormatting>
  <conditionalFormatting sqref="CJ10">
    <cfRule type="cellIs" dxfId="11541" priority="22185" operator="lessThan">
      <formula>0</formula>
    </cfRule>
    <cfRule type="cellIs" dxfId="11540" priority="22186" operator="greaterThan">
      <formula>0</formula>
    </cfRule>
  </conditionalFormatting>
  <conditionalFormatting sqref="CJ10">
    <cfRule type="cellIs" dxfId="11539" priority="22183" operator="lessThan">
      <formula>0</formula>
    </cfRule>
    <cfRule type="cellIs" dxfId="11538" priority="22184" operator="greaterThan">
      <formula>0</formula>
    </cfRule>
  </conditionalFormatting>
  <conditionalFormatting sqref="CL10">
    <cfRule type="cellIs" dxfId="11537" priority="22181" operator="lessThan">
      <formula>0</formula>
    </cfRule>
    <cfRule type="cellIs" dxfId="11536" priority="22182" operator="greaterThan">
      <formula>0</formula>
    </cfRule>
  </conditionalFormatting>
  <conditionalFormatting sqref="CL10">
    <cfRule type="cellIs" dxfId="11535" priority="22179" operator="lessThan">
      <formula>0</formula>
    </cfRule>
    <cfRule type="cellIs" dxfId="11534" priority="22180" operator="greaterThan">
      <formula>0</formula>
    </cfRule>
  </conditionalFormatting>
  <conditionalFormatting sqref="CN10">
    <cfRule type="cellIs" dxfId="11533" priority="22177" operator="lessThan">
      <formula>0</formula>
    </cfRule>
    <cfRule type="cellIs" dxfId="11532" priority="22178" operator="greaterThan">
      <formula>0</formula>
    </cfRule>
  </conditionalFormatting>
  <conditionalFormatting sqref="CN10">
    <cfRule type="cellIs" dxfId="11531" priority="22175" operator="lessThan">
      <formula>0</formula>
    </cfRule>
    <cfRule type="cellIs" dxfId="11530" priority="22176" operator="greaterThan">
      <formula>0</formula>
    </cfRule>
  </conditionalFormatting>
  <conditionalFormatting sqref="CP10">
    <cfRule type="cellIs" dxfId="11529" priority="22173" operator="lessThan">
      <formula>0</formula>
    </cfRule>
    <cfRule type="cellIs" dxfId="11528" priority="22174" operator="greaterThan">
      <formula>0</formula>
    </cfRule>
  </conditionalFormatting>
  <conditionalFormatting sqref="CP10">
    <cfRule type="cellIs" dxfId="11527" priority="22171" operator="lessThan">
      <formula>0</formula>
    </cfRule>
    <cfRule type="cellIs" dxfId="11526" priority="22172" operator="greaterThan">
      <formula>0</formula>
    </cfRule>
  </conditionalFormatting>
  <conditionalFormatting sqref="CR10">
    <cfRule type="cellIs" dxfId="11525" priority="22169" operator="lessThan">
      <formula>0</formula>
    </cfRule>
    <cfRule type="cellIs" dxfId="11524" priority="22170" operator="greaterThan">
      <formula>0</formula>
    </cfRule>
  </conditionalFormatting>
  <conditionalFormatting sqref="CR10">
    <cfRule type="cellIs" dxfId="11523" priority="22167" operator="lessThan">
      <formula>0</formula>
    </cfRule>
    <cfRule type="cellIs" dxfId="11522" priority="22168" operator="greaterThan">
      <formula>0</formula>
    </cfRule>
  </conditionalFormatting>
  <conditionalFormatting sqref="CT10">
    <cfRule type="cellIs" dxfId="11521" priority="22165" operator="lessThan">
      <formula>0</formula>
    </cfRule>
    <cfRule type="cellIs" dxfId="11520" priority="22166" operator="greaterThan">
      <formula>0</formula>
    </cfRule>
  </conditionalFormatting>
  <conditionalFormatting sqref="CT10">
    <cfRule type="cellIs" dxfId="11519" priority="22163" operator="lessThan">
      <formula>0</formula>
    </cfRule>
    <cfRule type="cellIs" dxfId="11518" priority="22164" operator="greaterThan">
      <formula>0</formula>
    </cfRule>
  </conditionalFormatting>
  <conditionalFormatting sqref="CV10">
    <cfRule type="cellIs" dxfId="11517" priority="22161" operator="lessThan">
      <formula>0</formula>
    </cfRule>
    <cfRule type="cellIs" dxfId="11516" priority="22162" operator="greaterThan">
      <formula>0</formula>
    </cfRule>
  </conditionalFormatting>
  <conditionalFormatting sqref="CV10">
    <cfRule type="cellIs" dxfId="11515" priority="22159" operator="lessThan">
      <formula>0</formula>
    </cfRule>
    <cfRule type="cellIs" dxfId="11514" priority="22160" operator="greaterThan">
      <formula>0</formula>
    </cfRule>
  </conditionalFormatting>
  <conditionalFormatting sqref="CX10">
    <cfRule type="cellIs" dxfId="11513" priority="22157" operator="lessThan">
      <formula>0</formula>
    </cfRule>
    <cfRule type="cellIs" dxfId="11512" priority="22158" operator="greaterThan">
      <formula>0</formula>
    </cfRule>
  </conditionalFormatting>
  <conditionalFormatting sqref="CX10">
    <cfRule type="cellIs" dxfId="11511" priority="22155" operator="lessThan">
      <formula>0</formula>
    </cfRule>
    <cfRule type="cellIs" dxfId="11510" priority="22156" operator="greaterThan">
      <formula>0</formula>
    </cfRule>
  </conditionalFormatting>
  <conditionalFormatting sqref="CZ10">
    <cfRule type="cellIs" dxfId="11509" priority="22153" operator="lessThan">
      <formula>0</formula>
    </cfRule>
    <cfRule type="cellIs" dxfId="11508" priority="22154" operator="greaterThan">
      <formula>0</formula>
    </cfRule>
  </conditionalFormatting>
  <conditionalFormatting sqref="CZ10">
    <cfRule type="cellIs" dxfId="11507" priority="22151" operator="lessThan">
      <formula>0</formula>
    </cfRule>
    <cfRule type="cellIs" dxfId="11506" priority="22152" operator="greaterThan">
      <formula>0</formula>
    </cfRule>
  </conditionalFormatting>
  <conditionalFormatting sqref="DB10">
    <cfRule type="cellIs" dxfId="11505" priority="22149" operator="lessThan">
      <formula>0</formula>
    </cfRule>
    <cfRule type="cellIs" dxfId="11504" priority="22150" operator="greaterThan">
      <formula>0</formula>
    </cfRule>
  </conditionalFormatting>
  <conditionalFormatting sqref="DB10">
    <cfRule type="cellIs" dxfId="11503" priority="22147" operator="lessThan">
      <formula>0</formula>
    </cfRule>
    <cfRule type="cellIs" dxfId="11502" priority="22148" operator="greaterThan">
      <formula>0</formula>
    </cfRule>
  </conditionalFormatting>
  <conditionalFormatting sqref="DD10">
    <cfRule type="cellIs" dxfId="11501" priority="22145" operator="lessThan">
      <formula>0</formula>
    </cfRule>
    <cfRule type="cellIs" dxfId="11500" priority="22146" operator="greaterThan">
      <formula>0</formula>
    </cfRule>
  </conditionalFormatting>
  <conditionalFormatting sqref="DD10">
    <cfRule type="cellIs" dxfId="11499" priority="22143" operator="lessThan">
      <formula>0</formula>
    </cfRule>
    <cfRule type="cellIs" dxfId="11498" priority="22144" operator="greaterThan">
      <formula>0</formula>
    </cfRule>
  </conditionalFormatting>
  <conditionalFormatting sqref="DF10">
    <cfRule type="cellIs" dxfId="11497" priority="22141" operator="lessThan">
      <formula>0</formula>
    </cfRule>
    <cfRule type="cellIs" dxfId="11496" priority="22142" operator="greaterThan">
      <formula>0</formula>
    </cfRule>
  </conditionalFormatting>
  <conditionalFormatting sqref="DF10">
    <cfRule type="cellIs" dxfId="11495" priority="22139" operator="lessThan">
      <formula>0</formula>
    </cfRule>
    <cfRule type="cellIs" dxfId="11494" priority="22140" operator="greaterThan">
      <formula>0</formula>
    </cfRule>
  </conditionalFormatting>
  <conditionalFormatting sqref="DH10">
    <cfRule type="cellIs" dxfId="11493" priority="22137" operator="lessThan">
      <formula>0</formula>
    </cfRule>
    <cfRule type="cellIs" dxfId="11492" priority="22138" operator="greaterThan">
      <formula>0</formula>
    </cfRule>
  </conditionalFormatting>
  <conditionalFormatting sqref="DH10">
    <cfRule type="cellIs" dxfId="11491" priority="22135" operator="lessThan">
      <formula>0</formula>
    </cfRule>
    <cfRule type="cellIs" dxfId="11490" priority="22136" operator="greaterThan">
      <formula>0</formula>
    </cfRule>
  </conditionalFormatting>
  <conditionalFormatting sqref="DJ10">
    <cfRule type="cellIs" dxfId="11489" priority="22133" operator="lessThan">
      <formula>0</formula>
    </cfRule>
    <cfRule type="cellIs" dxfId="11488" priority="22134" operator="greaterThan">
      <formula>0</formula>
    </cfRule>
  </conditionalFormatting>
  <conditionalFormatting sqref="DJ10">
    <cfRule type="cellIs" dxfId="11487" priority="22131" operator="lessThan">
      <formula>0</formula>
    </cfRule>
    <cfRule type="cellIs" dxfId="11486" priority="22132" operator="greaterThan">
      <formula>0</formula>
    </cfRule>
  </conditionalFormatting>
  <conditionalFormatting sqref="DL10">
    <cfRule type="cellIs" dxfId="11485" priority="22129" operator="lessThan">
      <formula>0</formula>
    </cfRule>
    <cfRule type="cellIs" dxfId="11484" priority="22130" operator="greaterThan">
      <formula>0</formula>
    </cfRule>
  </conditionalFormatting>
  <conditionalFormatting sqref="DL10">
    <cfRule type="cellIs" dxfId="11483" priority="22127" operator="lessThan">
      <formula>0</formula>
    </cfRule>
    <cfRule type="cellIs" dxfId="11482" priority="22128" operator="greaterThan">
      <formula>0</formula>
    </cfRule>
  </conditionalFormatting>
  <conditionalFormatting sqref="DN10">
    <cfRule type="cellIs" dxfId="11481" priority="22125" operator="lessThan">
      <formula>0</formula>
    </cfRule>
    <cfRule type="cellIs" dxfId="11480" priority="22126" operator="greaterThan">
      <formula>0</formula>
    </cfRule>
  </conditionalFormatting>
  <conditionalFormatting sqref="DN10">
    <cfRule type="cellIs" dxfId="11479" priority="22123" operator="lessThan">
      <formula>0</formula>
    </cfRule>
    <cfRule type="cellIs" dxfId="11478" priority="22124" operator="greaterThan">
      <formula>0</formula>
    </cfRule>
  </conditionalFormatting>
  <conditionalFormatting sqref="DP10">
    <cfRule type="cellIs" dxfId="11477" priority="22121" operator="lessThan">
      <formula>0</formula>
    </cfRule>
    <cfRule type="cellIs" dxfId="11476" priority="22122" operator="greaterThan">
      <formula>0</formula>
    </cfRule>
  </conditionalFormatting>
  <conditionalFormatting sqref="DP10">
    <cfRule type="cellIs" dxfId="11475" priority="22119" operator="lessThan">
      <formula>0</formula>
    </cfRule>
    <cfRule type="cellIs" dxfId="11474" priority="22120" operator="greaterThan">
      <formula>0</formula>
    </cfRule>
  </conditionalFormatting>
  <conditionalFormatting sqref="DR10">
    <cfRule type="cellIs" dxfId="11473" priority="22117" operator="lessThan">
      <formula>0</formula>
    </cfRule>
    <cfRule type="cellIs" dxfId="11472" priority="22118" operator="greaterThan">
      <formula>0</formula>
    </cfRule>
  </conditionalFormatting>
  <conditionalFormatting sqref="DR10">
    <cfRule type="cellIs" dxfId="11471" priority="22115" operator="lessThan">
      <formula>0</formula>
    </cfRule>
    <cfRule type="cellIs" dxfId="11470" priority="22116" operator="greaterThan">
      <formula>0</formula>
    </cfRule>
  </conditionalFormatting>
  <conditionalFormatting sqref="DT10">
    <cfRule type="cellIs" dxfId="11469" priority="22113" operator="lessThan">
      <formula>0</formula>
    </cfRule>
    <cfRule type="cellIs" dxfId="11468" priority="22114" operator="greaterThan">
      <formula>0</formula>
    </cfRule>
  </conditionalFormatting>
  <conditionalFormatting sqref="DT10">
    <cfRule type="cellIs" dxfId="11467" priority="22111" operator="lessThan">
      <formula>0</formula>
    </cfRule>
    <cfRule type="cellIs" dxfId="11466" priority="22112" operator="greaterThan">
      <formula>0</formula>
    </cfRule>
  </conditionalFormatting>
  <conditionalFormatting sqref="DV10">
    <cfRule type="cellIs" dxfId="11465" priority="22109" operator="lessThan">
      <formula>0</formula>
    </cfRule>
    <cfRule type="cellIs" dxfId="11464" priority="22110" operator="greaterThan">
      <formula>0</formula>
    </cfRule>
  </conditionalFormatting>
  <conditionalFormatting sqref="DV10">
    <cfRule type="cellIs" dxfId="11463" priority="22107" operator="lessThan">
      <formula>0</formula>
    </cfRule>
    <cfRule type="cellIs" dxfId="11462" priority="22108" operator="greaterThan">
      <formula>0</formula>
    </cfRule>
  </conditionalFormatting>
  <conditionalFormatting sqref="DX10">
    <cfRule type="cellIs" dxfId="11461" priority="22105" operator="lessThan">
      <formula>0</formula>
    </cfRule>
    <cfRule type="cellIs" dxfId="11460" priority="22106" operator="greaterThan">
      <formula>0</formula>
    </cfRule>
  </conditionalFormatting>
  <conditionalFormatting sqref="DX10">
    <cfRule type="cellIs" dxfId="11459" priority="22103" operator="lessThan">
      <formula>0</formula>
    </cfRule>
    <cfRule type="cellIs" dxfId="11458" priority="22104" operator="greaterThan">
      <formula>0</formula>
    </cfRule>
  </conditionalFormatting>
  <conditionalFormatting sqref="DZ10">
    <cfRule type="cellIs" dxfId="11457" priority="22101" operator="lessThan">
      <formula>0</formula>
    </cfRule>
    <cfRule type="cellIs" dxfId="11456" priority="22102" operator="greaterThan">
      <formula>0</formula>
    </cfRule>
  </conditionalFormatting>
  <conditionalFormatting sqref="DZ10">
    <cfRule type="cellIs" dxfId="11455" priority="22099" operator="lessThan">
      <formula>0</formula>
    </cfRule>
    <cfRule type="cellIs" dxfId="11454" priority="22100" operator="greaterThan">
      <formula>0</formula>
    </cfRule>
  </conditionalFormatting>
  <conditionalFormatting sqref="EB10">
    <cfRule type="cellIs" dxfId="11453" priority="22097" operator="lessThan">
      <formula>0</formula>
    </cfRule>
    <cfRule type="cellIs" dxfId="11452" priority="22098" operator="greaterThan">
      <formula>0</formula>
    </cfRule>
  </conditionalFormatting>
  <conditionalFormatting sqref="EB10">
    <cfRule type="cellIs" dxfId="11451" priority="22095" operator="lessThan">
      <formula>0</formula>
    </cfRule>
    <cfRule type="cellIs" dxfId="11450" priority="22096" operator="greaterThan">
      <formula>0</formula>
    </cfRule>
  </conditionalFormatting>
  <conditionalFormatting sqref="ED10">
    <cfRule type="cellIs" dxfId="11449" priority="22093" operator="lessThan">
      <formula>0</formula>
    </cfRule>
    <cfRule type="cellIs" dxfId="11448" priority="22094" operator="greaterThan">
      <formula>0</formula>
    </cfRule>
  </conditionalFormatting>
  <conditionalFormatting sqref="ED10">
    <cfRule type="cellIs" dxfId="11447" priority="22091" operator="lessThan">
      <formula>0</formula>
    </cfRule>
    <cfRule type="cellIs" dxfId="11446" priority="22092" operator="greaterThan">
      <formula>0</formula>
    </cfRule>
  </conditionalFormatting>
  <conditionalFormatting sqref="EF10">
    <cfRule type="cellIs" dxfId="11445" priority="22089" operator="lessThan">
      <formula>0</formula>
    </cfRule>
    <cfRule type="cellIs" dxfId="11444" priority="22090" operator="greaterThan">
      <formula>0</formula>
    </cfRule>
  </conditionalFormatting>
  <conditionalFormatting sqref="EF10">
    <cfRule type="cellIs" dxfId="11443" priority="22087" operator="lessThan">
      <formula>0</formula>
    </cfRule>
    <cfRule type="cellIs" dxfId="11442" priority="22088" operator="greaterThan">
      <formula>0</formula>
    </cfRule>
  </conditionalFormatting>
  <conditionalFormatting sqref="EH10">
    <cfRule type="cellIs" dxfId="11441" priority="22085" operator="lessThan">
      <formula>0</formula>
    </cfRule>
    <cfRule type="cellIs" dxfId="11440" priority="22086" operator="greaterThan">
      <formula>0</formula>
    </cfRule>
  </conditionalFormatting>
  <conditionalFormatting sqref="EH10">
    <cfRule type="cellIs" dxfId="11439" priority="22083" operator="lessThan">
      <formula>0</formula>
    </cfRule>
    <cfRule type="cellIs" dxfId="11438" priority="22084" operator="greaterThan">
      <formula>0</formula>
    </cfRule>
  </conditionalFormatting>
  <conditionalFormatting sqref="EJ10">
    <cfRule type="cellIs" dxfId="11437" priority="22081" operator="lessThan">
      <formula>0</formula>
    </cfRule>
    <cfRule type="cellIs" dxfId="11436" priority="22082" operator="greaterThan">
      <formula>0</formula>
    </cfRule>
  </conditionalFormatting>
  <conditionalFormatting sqref="EJ10">
    <cfRule type="cellIs" dxfId="11435" priority="22079" operator="lessThan">
      <formula>0</formula>
    </cfRule>
    <cfRule type="cellIs" dxfId="11434" priority="22080" operator="greaterThan">
      <formula>0</formula>
    </cfRule>
  </conditionalFormatting>
  <conditionalFormatting sqref="EL10">
    <cfRule type="cellIs" dxfId="11433" priority="22077" operator="lessThan">
      <formula>0</formula>
    </cfRule>
    <cfRule type="cellIs" dxfId="11432" priority="22078" operator="greaterThan">
      <formula>0</formula>
    </cfRule>
  </conditionalFormatting>
  <conditionalFormatting sqref="EL10">
    <cfRule type="cellIs" dxfId="11431" priority="22075" operator="lessThan">
      <formula>0</formula>
    </cfRule>
    <cfRule type="cellIs" dxfId="11430" priority="22076" operator="greaterThan">
      <formula>0</formula>
    </cfRule>
  </conditionalFormatting>
  <conditionalFormatting sqref="EN10">
    <cfRule type="cellIs" dxfId="11429" priority="22073" operator="lessThan">
      <formula>0</formula>
    </cfRule>
    <cfRule type="cellIs" dxfId="11428" priority="22074" operator="greaterThan">
      <formula>0</formula>
    </cfRule>
  </conditionalFormatting>
  <conditionalFormatting sqref="EN10">
    <cfRule type="cellIs" dxfId="11427" priority="22071" operator="lessThan">
      <formula>0</formula>
    </cfRule>
    <cfRule type="cellIs" dxfId="11426" priority="22072" operator="greaterThan">
      <formula>0</formula>
    </cfRule>
  </conditionalFormatting>
  <conditionalFormatting sqref="EP10">
    <cfRule type="cellIs" dxfId="11425" priority="22069" operator="lessThan">
      <formula>0</formula>
    </cfRule>
    <cfRule type="cellIs" dxfId="11424" priority="22070" operator="greaterThan">
      <formula>0</formula>
    </cfRule>
  </conditionalFormatting>
  <conditionalFormatting sqref="EP10">
    <cfRule type="cellIs" dxfId="11423" priority="22067" operator="lessThan">
      <formula>0</formula>
    </cfRule>
    <cfRule type="cellIs" dxfId="11422" priority="22068" operator="greaterThan">
      <formula>0</formula>
    </cfRule>
  </conditionalFormatting>
  <conditionalFormatting sqref="ER10">
    <cfRule type="cellIs" dxfId="11421" priority="22065" operator="lessThan">
      <formula>0</formula>
    </cfRule>
    <cfRule type="cellIs" dxfId="11420" priority="22066" operator="greaterThan">
      <formula>0</formula>
    </cfRule>
  </conditionalFormatting>
  <conditionalFormatting sqref="ER10">
    <cfRule type="cellIs" dxfId="11419" priority="22063" operator="lessThan">
      <formula>0</formula>
    </cfRule>
    <cfRule type="cellIs" dxfId="11418" priority="22064" operator="greaterThan">
      <formula>0</formula>
    </cfRule>
  </conditionalFormatting>
  <conditionalFormatting sqref="EX10">
    <cfRule type="cellIs" dxfId="11417" priority="22061" operator="lessThan">
      <formula>0</formula>
    </cfRule>
    <cfRule type="cellIs" dxfId="11416" priority="22062" operator="greaterThan">
      <formula>0</formula>
    </cfRule>
  </conditionalFormatting>
  <conditionalFormatting sqref="BF16:BF18">
    <cfRule type="cellIs" dxfId="11415" priority="22054" operator="lessThan">
      <formula>0</formula>
    </cfRule>
    <cfRule type="cellIs" dxfId="11414" priority="22055" operator="greaterThan">
      <formula>0</formula>
    </cfRule>
  </conditionalFormatting>
  <conditionalFormatting sqref="BH16:BH18">
    <cfRule type="cellIs" dxfId="11413" priority="22052" operator="lessThan">
      <formula>0</formula>
    </cfRule>
    <cfRule type="cellIs" dxfId="11412" priority="22053" operator="greaterThan">
      <formula>0</formula>
    </cfRule>
  </conditionalFormatting>
  <conditionalFormatting sqref="BJ16:BJ18">
    <cfRule type="cellIs" dxfId="11411" priority="22050" operator="lessThan">
      <formula>0</formula>
    </cfRule>
    <cfRule type="cellIs" dxfId="11410" priority="22051" operator="greaterThan">
      <formula>0</formula>
    </cfRule>
  </conditionalFormatting>
  <conditionalFormatting sqref="BL16:BL18">
    <cfRule type="cellIs" dxfId="11409" priority="22048" operator="lessThan">
      <formula>0</formula>
    </cfRule>
    <cfRule type="cellIs" dxfId="11408" priority="22049" operator="greaterThan">
      <formula>0</formula>
    </cfRule>
  </conditionalFormatting>
  <conditionalFormatting sqref="BN16:BN18">
    <cfRule type="cellIs" dxfId="11407" priority="22046" operator="lessThan">
      <formula>0</formula>
    </cfRule>
    <cfRule type="cellIs" dxfId="11406" priority="22047" operator="greaterThan">
      <formula>0</formula>
    </cfRule>
  </conditionalFormatting>
  <conditionalFormatting sqref="BP16:BP18">
    <cfRule type="cellIs" dxfId="11405" priority="22044" operator="lessThan">
      <formula>0</formula>
    </cfRule>
    <cfRule type="cellIs" dxfId="11404" priority="22045" operator="greaterThan">
      <formula>0</formula>
    </cfRule>
  </conditionalFormatting>
  <conditionalFormatting sqref="BR16:BR18">
    <cfRule type="cellIs" dxfId="11403" priority="22042" operator="lessThan">
      <formula>0</formula>
    </cfRule>
    <cfRule type="cellIs" dxfId="11402" priority="22043" operator="greaterThan">
      <formula>0</formula>
    </cfRule>
  </conditionalFormatting>
  <conditionalFormatting sqref="BT16:BT18">
    <cfRule type="cellIs" dxfId="11401" priority="22040" operator="lessThan">
      <formula>0</formula>
    </cfRule>
    <cfRule type="cellIs" dxfId="11400" priority="22041" operator="greaterThan">
      <formula>0</formula>
    </cfRule>
  </conditionalFormatting>
  <conditionalFormatting sqref="BV16:BV18">
    <cfRule type="cellIs" dxfId="11399" priority="22038" operator="lessThan">
      <formula>0</formula>
    </cfRule>
    <cfRule type="cellIs" dxfId="11398" priority="22039" operator="greaterThan">
      <formula>0</formula>
    </cfRule>
  </conditionalFormatting>
  <conditionalFormatting sqref="BX16:BX18">
    <cfRule type="cellIs" dxfId="11397" priority="22036" operator="lessThan">
      <formula>0</formula>
    </cfRule>
    <cfRule type="cellIs" dxfId="11396" priority="22037" operator="greaterThan">
      <formula>0</formula>
    </cfRule>
  </conditionalFormatting>
  <conditionalFormatting sqref="BZ16:BZ18">
    <cfRule type="cellIs" dxfId="11395" priority="22034" operator="lessThan">
      <formula>0</formula>
    </cfRule>
    <cfRule type="cellIs" dxfId="11394" priority="22035" operator="greaterThan">
      <formula>0</formula>
    </cfRule>
  </conditionalFormatting>
  <conditionalFormatting sqref="CB16:CB18">
    <cfRule type="cellIs" dxfId="11393" priority="22032" operator="lessThan">
      <formula>0</formula>
    </cfRule>
    <cfRule type="cellIs" dxfId="11392" priority="22033" operator="greaterThan">
      <formula>0</formula>
    </cfRule>
  </conditionalFormatting>
  <conditionalFormatting sqref="CD16:CD18">
    <cfRule type="cellIs" dxfId="11391" priority="22030" operator="lessThan">
      <formula>0</formula>
    </cfRule>
    <cfRule type="cellIs" dxfId="11390" priority="22031" operator="greaterThan">
      <formula>0</formula>
    </cfRule>
  </conditionalFormatting>
  <conditionalFormatting sqref="CF16:CF18">
    <cfRule type="cellIs" dxfId="11389" priority="22028" operator="lessThan">
      <formula>0</formula>
    </cfRule>
    <cfRule type="cellIs" dxfId="11388" priority="22029" operator="greaterThan">
      <formula>0</formula>
    </cfRule>
  </conditionalFormatting>
  <conditionalFormatting sqref="CH16:CH18">
    <cfRule type="cellIs" dxfId="11387" priority="22026" operator="lessThan">
      <formula>0</formula>
    </cfRule>
    <cfRule type="cellIs" dxfId="11386" priority="22027" operator="greaterThan">
      <formula>0</formula>
    </cfRule>
  </conditionalFormatting>
  <conditionalFormatting sqref="CJ16:CJ18">
    <cfRule type="cellIs" dxfId="11385" priority="22024" operator="lessThan">
      <formula>0</formula>
    </cfRule>
    <cfRule type="cellIs" dxfId="11384" priority="22025" operator="greaterThan">
      <formula>0</formula>
    </cfRule>
  </conditionalFormatting>
  <conditionalFormatting sqref="CL16:CL18">
    <cfRule type="cellIs" dxfId="11383" priority="22022" operator="lessThan">
      <formula>0</formula>
    </cfRule>
    <cfRule type="cellIs" dxfId="11382" priority="22023" operator="greaterThan">
      <formula>0</formula>
    </cfRule>
  </conditionalFormatting>
  <conditionalFormatting sqref="CN16:CN18">
    <cfRule type="cellIs" dxfId="11381" priority="22020" operator="lessThan">
      <formula>0</formula>
    </cfRule>
    <cfRule type="cellIs" dxfId="11380" priority="22021" operator="greaterThan">
      <formula>0</formula>
    </cfRule>
  </conditionalFormatting>
  <conditionalFormatting sqref="CP16:CP18">
    <cfRule type="cellIs" dxfId="11379" priority="22018" operator="lessThan">
      <formula>0</formula>
    </cfRule>
    <cfRule type="cellIs" dxfId="11378" priority="22019" operator="greaterThan">
      <formula>0</formula>
    </cfRule>
  </conditionalFormatting>
  <conditionalFormatting sqref="CR16:CR18">
    <cfRule type="cellIs" dxfId="11377" priority="22016" operator="lessThan">
      <formula>0</formula>
    </cfRule>
    <cfRule type="cellIs" dxfId="11376" priority="22017" operator="greaterThan">
      <formula>0</formula>
    </cfRule>
  </conditionalFormatting>
  <conditionalFormatting sqref="CT16:CT18">
    <cfRule type="cellIs" dxfId="11375" priority="22014" operator="lessThan">
      <formula>0</formula>
    </cfRule>
    <cfRule type="cellIs" dxfId="11374" priority="22015" operator="greaterThan">
      <formula>0</formula>
    </cfRule>
  </conditionalFormatting>
  <conditionalFormatting sqref="CV16:CV18">
    <cfRule type="cellIs" dxfId="11373" priority="22012" operator="lessThan">
      <formula>0</formula>
    </cfRule>
    <cfRule type="cellIs" dxfId="11372" priority="22013" operator="greaterThan">
      <formula>0</formula>
    </cfRule>
  </conditionalFormatting>
  <conditionalFormatting sqref="CX16:CX18">
    <cfRule type="cellIs" dxfId="11371" priority="22010" operator="lessThan">
      <formula>0</formula>
    </cfRule>
    <cfRule type="cellIs" dxfId="11370" priority="22011" operator="greaterThan">
      <formula>0</formula>
    </cfRule>
  </conditionalFormatting>
  <conditionalFormatting sqref="CZ16:CZ18">
    <cfRule type="cellIs" dxfId="11369" priority="22008" operator="lessThan">
      <formula>0</formula>
    </cfRule>
    <cfRule type="cellIs" dxfId="11368" priority="22009" operator="greaterThan">
      <formula>0</formula>
    </cfRule>
  </conditionalFormatting>
  <conditionalFormatting sqref="DB16:DB18">
    <cfRule type="cellIs" dxfId="11367" priority="22006" operator="lessThan">
      <formula>0</formula>
    </cfRule>
    <cfRule type="cellIs" dxfId="11366" priority="22007" operator="greaterThan">
      <formula>0</formula>
    </cfRule>
  </conditionalFormatting>
  <conditionalFormatting sqref="DD16:DD18">
    <cfRule type="cellIs" dxfId="11365" priority="22004" operator="lessThan">
      <formula>0</formula>
    </cfRule>
    <cfRule type="cellIs" dxfId="11364" priority="22005" operator="greaterThan">
      <formula>0</formula>
    </cfRule>
  </conditionalFormatting>
  <conditionalFormatting sqref="DF16:DF18">
    <cfRule type="cellIs" dxfId="11363" priority="22002" operator="lessThan">
      <formula>0</formula>
    </cfRule>
    <cfRule type="cellIs" dxfId="11362" priority="22003" operator="greaterThan">
      <formula>0</formula>
    </cfRule>
  </conditionalFormatting>
  <conditionalFormatting sqref="DH16:DH18">
    <cfRule type="cellIs" dxfId="11361" priority="22000" operator="lessThan">
      <formula>0</formula>
    </cfRule>
    <cfRule type="cellIs" dxfId="11360" priority="22001" operator="greaterThan">
      <formula>0</formula>
    </cfRule>
  </conditionalFormatting>
  <conditionalFormatting sqref="DJ16:DJ18">
    <cfRule type="cellIs" dxfId="11359" priority="21998" operator="lessThan">
      <formula>0</formula>
    </cfRule>
    <cfRule type="cellIs" dxfId="11358" priority="21999" operator="greaterThan">
      <formula>0</formula>
    </cfRule>
  </conditionalFormatting>
  <conditionalFormatting sqref="DL16:DL18">
    <cfRule type="cellIs" dxfId="11357" priority="21996" operator="lessThan">
      <formula>0</formula>
    </cfRule>
    <cfRule type="cellIs" dxfId="11356" priority="21997" operator="greaterThan">
      <formula>0</formula>
    </cfRule>
  </conditionalFormatting>
  <conditionalFormatting sqref="DN16:DN18">
    <cfRule type="cellIs" dxfId="11355" priority="21994" operator="lessThan">
      <formula>0</formula>
    </cfRule>
    <cfRule type="cellIs" dxfId="11354" priority="21995" operator="greaterThan">
      <formula>0</formula>
    </cfRule>
  </conditionalFormatting>
  <conditionalFormatting sqref="DP16:DP18">
    <cfRule type="cellIs" dxfId="11353" priority="21992" operator="lessThan">
      <formula>0</formula>
    </cfRule>
    <cfRule type="cellIs" dxfId="11352" priority="21993" operator="greaterThan">
      <formula>0</formula>
    </cfRule>
  </conditionalFormatting>
  <conditionalFormatting sqref="DR16:DR18">
    <cfRule type="cellIs" dxfId="11351" priority="21990" operator="lessThan">
      <formula>0</formula>
    </cfRule>
    <cfRule type="cellIs" dxfId="11350" priority="21991" operator="greaterThan">
      <formula>0</formula>
    </cfRule>
  </conditionalFormatting>
  <conditionalFormatting sqref="DT16:DT18">
    <cfRule type="cellIs" dxfId="11349" priority="21988" operator="lessThan">
      <formula>0</formula>
    </cfRule>
    <cfRule type="cellIs" dxfId="11348" priority="21989" operator="greaterThan">
      <formula>0</formula>
    </cfRule>
  </conditionalFormatting>
  <conditionalFormatting sqref="DV16:DV18">
    <cfRule type="cellIs" dxfId="11347" priority="21986" operator="lessThan">
      <formula>0</formula>
    </cfRule>
    <cfRule type="cellIs" dxfId="11346" priority="21987" operator="greaterThan">
      <formula>0</formula>
    </cfRule>
  </conditionalFormatting>
  <conditionalFormatting sqref="DX16:DX18">
    <cfRule type="cellIs" dxfId="11345" priority="21984" operator="lessThan">
      <formula>0</formula>
    </cfRule>
    <cfRule type="cellIs" dxfId="11344" priority="21985" operator="greaterThan">
      <formula>0</formula>
    </cfRule>
  </conditionalFormatting>
  <conditionalFormatting sqref="DZ16:DZ18">
    <cfRule type="cellIs" dxfId="11343" priority="21982" operator="lessThan">
      <formula>0</formula>
    </cfRule>
    <cfRule type="cellIs" dxfId="11342" priority="21983" operator="greaterThan">
      <formula>0</formula>
    </cfRule>
  </conditionalFormatting>
  <conditionalFormatting sqref="EB16:EB18">
    <cfRule type="cellIs" dxfId="11341" priority="21980" operator="lessThan">
      <formula>0</formula>
    </cfRule>
    <cfRule type="cellIs" dxfId="11340" priority="21981" operator="greaterThan">
      <formula>0</formula>
    </cfRule>
  </conditionalFormatting>
  <conditionalFormatting sqref="ED16:ED18">
    <cfRule type="cellIs" dxfId="11339" priority="21978" operator="lessThan">
      <formula>0</formula>
    </cfRule>
    <cfRule type="cellIs" dxfId="11338" priority="21979" operator="greaterThan">
      <formula>0</formula>
    </cfRule>
  </conditionalFormatting>
  <conditionalFormatting sqref="EF16:EF18">
    <cfRule type="cellIs" dxfId="11337" priority="21976" operator="lessThan">
      <formula>0</formula>
    </cfRule>
    <cfRule type="cellIs" dxfId="11336" priority="21977" operator="greaterThan">
      <formula>0</formula>
    </cfRule>
  </conditionalFormatting>
  <conditionalFormatting sqref="EH16:EH18">
    <cfRule type="cellIs" dxfId="11335" priority="21974" operator="lessThan">
      <formula>0</formula>
    </cfRule>
    <cfRule type="cellIs" dxfId="11334" priority="21975" operator="greaterThan">
      <formula>0</formula>
    </cfRule>
  </conditionalFormatting>
  <conditionalFormatting sqref="EJ16:EJ18">
    <cfRule type="cellIs" dxfId="11333" priority="21972" operator="lessThan">
      <formula>0</formula>
    </cfRule>
    <cfRule type="cellIs" dxfId="11332" priority="21973" operator="greaterThan">
      <formula>0</formula>
    </cfRule>
  </conditionalFormatting>
  <conditionalFormatting sqref="EL16:EL18">
    <cfRule type="cellIs" dxfId="11331" priority="21970" operator="lessThan">
      <formula>0</formula>
    </cfRule>
    <cfRule type="cellIs" dxfId="11330" priority="21971" operator="greaterThan">
      <formula>0</formula>
    </cfRule>
  </conditionalFormatting>
  <conditionalFormatting sqref="EN16:EN18">
    <cfRule type="cellIs" dxfId="11329" priority="21968" operator="lessThan">
      <formula>0</formula>
    </cfRule>
    <cfRule type="cellIs" dxfId="11328" priority="21969" operator="greaterThan">
      <formula>0</formula>
    </cfRule>
  </conditionalFormatting>
  <conditionalFormatting sqref="EP16:EP18">
    <cfRule type="cellIs" dxfId="11327" priority="21966" operator="lessThan">
      <formula>0</formula>
    </cfRule>
    <cfRule type="cellIs" dxfId="11326" priority="21967" operator="greaterThan">
      <formula>0</formula>
    </cfRule>
  </conditionalFormatting>
  <conditionalFormatting sqref="ER16:ER18">
    <cfRule type="cellIs" dxfId="11325" priority="21964" operator="lessThan">
      <formula>0</formula>
    </cfRule>
    <cfRule type="cellIs" dxfId="11324" priority="21965" operator="greaterThan">
      <formula>0</formula>
    </cfRule>
  </conditionalFormatting>
  <conditionalFormatting sqref="ET16:ET18">
    <cfRule type="cellIs" dxfId="11323" priority="21962" operator="lessThan">
      <formula>0</formula>
    </cfRule>
    <cfRule type="cellIs" dxfId="11322" priority="21963" operator="greaterThan">
      <formula>0</formula>
    </cfRule>
  </conditionalFormatting>
  <conditionalFormatting sqref="EV16:EV18">
    <cfRule type="cellIs" dxfId="11321" priority="21960" operator="lessThan">
      <formula>0</formula>
    </cfRule>
    <cfRule type="cellIs" dxfId="11320" priority="21961" operator="greaterThan">
      <formula>0</formula>
    </cfRule>
  </conditionalFormatting>
  <conditionalFormatting sqref="EX16:EX18">
    <cfRule type="cellIs" dxfId="11319" priority="21958" operator="lessThan">
      <formula>0</formula>
    </cfRule>
    <cfRule type="cellIs" dxfId="11318" priority="21959" operator="greaterThan">
      <formula>0</formula>
    </cfRule>
  </conditionalFormatting>
  <conditionalFormatting sqref="H47">
    <cfRule type="cellIs" dxfId="11317" priority="21939" operator="lessThan">
      <formula>0</formula>
    </cfRule>
    <cfRule type="cellIs" dxfId="11316" priority="21940" operator="greaterThan">
      <formula>0</formula>
    </cfRule>
  </conditionalFormatting>
  <conditionalFormatting sqref="J47">
    <cfRule type="cellIs" dxfId="11315" priority="21937" operator="lessThan">
      <formula>0</formula>
    </cfRule>
    <cfRule type="cellIs" dxfId="11314" priority="21938" operator="greaterThan">
      <formula>0</formula>
    </cfRule>
  </conditionalFormatting>
  <conditionalFormatting sqref="L47">
    <cfRule type="cellIs" dxfId="11313" priority="21935" operator="lessThan">
      <formula>0</formula>
    </cfRule>
    <cfRule type="cellIs" dxfId="11312" priority="21936" operator="greaterThan">
      <formula>0</formula>
    </cfRule>
  </conditionalFormatting>
  <conditionalFormatting sqref="N47">
    <cfRule type="cellIs" dxfId="11311" priority="21933" operator="lessThan">
      <formula>0</formula>
    </cfRule>
    <cfRule type="cellIs" dxfId="11310" priority="21934" operator="greaterThan">
      <formula>0</formula>
    </cfRule>
  </conditionalFormatting>
  <conditionalFormatting sqref="P47">
    <cfRule type="cellIs" dxfId="11309" priority="21931" operator="lessThan">
      <formula>0</formula>
    </cfRule>
    <cfRule type="cellIs" dxfId="11308" priority="21932" operator="greaterThan">
      <formula>0</formula>
    </cfRule>
  </conditionalFormatting>
  <conditionalFormatting sqref="R47">
    <cfRule type="cellIs" dxfId="11307" priority="21929" operator="lessThan">
      <formula>0</formula>
    </cfRule>
    <cfRule type="cellIs" dxfId="11306" priority="21930" operator="greaterThan">
      <formula>0</formula>
    </cfRule>
  </conditionalFormatting>
  <conditionalFormatting sqref="T47">
    <cfRule type="cellIs" dxfId="11305" priority="21927" operator="lessThan">
      <formula>0</formula>
    </cfRule>
    <cfRule type="cellIs" dxfId="11304" priority="21928" operator="greaterThan">
      <formula>0</formula>
    </cfRule>
  </conditionalFormatting>
  <conditionalFormatting sqref="V47">
    <cfRule type="cellIs" dxfId="11303" priority="21925" operator="lessThan">
      <formula>0</formula>
    </cfRule>
    <cfRule type="cellIs" dxfId="11302" priority="21926" operator="greaterThan">
      <formula>0</formula>
    </cfRule>
  </conditionalFormatting>
  <conditionalFormatting sqref="X47">
    <cfRule type="cellIs" dxfId="11301" priority="21923" operator="lessThan">
      <formula>0</formula>
    </cfRule>
    <cfRule type="cellIs" dxfId="11300" priority="21924" operator="greaterThan">
      <formula>0</formula>
    </cfRule>
  </conditionalFormatting>
  <conditionalFormatting sqref="Z47">
    <cfRule type="cellIs" dxfId="11299" priority="21921" operator="lessThan">
      <formula>0</formula>
    </cfRule>
    <cfRule type="cellIs" dxfId="11298" priority="21922" operator="greaterThan">
      <formula>0</formula>
    </cfRule>
  </conditionalFormatting>
  <conditionalFormatting sqref="AB47">
    <cfRule type="cellIs" dxfId="11297" priority="21919" operator="lessThan">
      <formula>0</formula>
    </cfRule>
    <cfRule type="cellIs" dxfId="11296" priority="21920" operator="greaterThan">
      <formula>0</formula>
    </cfRule>
  </conditionalFormatting>
  <conditionalFormatting sqref="AD47">
    <cfRule type="cellIs" dxfId="11295" priority="21917" operator="lessThan">
      <formula>0</formula>
    </cfRule>
    <cfRule type="cellIs" dxfId="11294" priority="21918" operator="greaterThan">
      <formula>0</formula>
    </cfRule>
  </conditionalFormatting>
  <conditionalFormatting sqref="AF47">
    <cfRule type="cellIs" dxfId="11293" priority="21915" operator="lessThan">
      <formula>0</formula>
    </cfRule>
    <cfRule type="cellIs" dxfId="11292" priority="21916" operator="greaterThan">
      <formula>0</formula>
    </cfRule>
  </conditionalFormatting>
  <conditionalFormatting sqref="AH47">
    <cfRule type="cellIs" dxfId="11291" priority="21913" operator="lessThan">
      <formula>0</formula>
    </cfRule>
    <cfRule type="cellIs" dxfId="11290" priority="21914" operator="greaterThan">
      <formula>0</formula>
    </cfRule>
  </conditionalFormatting>
  <conditionalFormatting sqref="AJ47">
    <cfRule type="cellIs" dxfId="11289" priority="21911" operator="lessThan">
      <formula>0</formula>
    </cfRule>
    <cfRule type="cellIs" dxfId="11288" priority="21912" operator="greaterThan">
      <formula>0</formula>
    </cfRule>
  </conditionalFormatting>
  <conditionalFormatting sqref="AL47">
    <cfRule type="cellIs" dxfId="11287" priority="21909" operator="lessThan">
      <formula>0</formula>
    </cfRule>
    <cfRule type="cellIs" dxfId="11286" priority="21910" operator="greaterThan">
      <formula>0</formula>
    </cfRule>
  </conditionalFormatting>
  <conditionalFormatting sqref="AN47">
    <cfRule type="cellIs" dxfId="11285" priority="21907" operator="lessThan">
      <formula>0</formula>
    </cfRule>
    <cfRule type="cellIs" dxfId="11284" priority="21908" operator="greaterThan">
      <formula>0</formula>
    </cfRule>
  </conditionalFormatting>
  <conditionalFormatting sqref="AP47">
    <cfRule type="cellIs" dxfId="11283" priority="21905" operator="lessThan">
      <formula>0</formula>
    </cfRule>
    <cfRule type="cellIs" dxfId="11282" priority="21906" operator="greaterThan">
      <formula>0</formula>
    </cfRule>
  </conditionalFormatting>
  <conditionalFormatting sqref="AR47">
    <cfRule type="cellIs" dxfId="11281" priority="21903" operator="lessThan">
      <formula>0</formula>
    </cfRule>
    <cfRule type="cellIs" dxfId="11280" priority="21904" operator="greaterThan">
      <formula>0</formula>
    </cfRule>
  </conditionalFormatting>
  <conditionalFormatting sqref="AT47">
    <cfRule type="cellIs" dxfId="11279" priority="21901" operator="lessThan">
      <formula>0</formula>
    </cfRule>
    <cfRule type="cellIs" dxfId="11278" priority="21902" operator="greaterThan">
      <formula>0</formula>
    </cfRule>
  </conditionalFormatting>
  <conditionalFormatting sqref="AV47">
    <cfRule type="cellIs" dxfId="11277" priority="21899" operator="lessThan">
      <formula>0</formula>
    </cfRule>
    <cfRule type="cellIs" dxfId="11276" priority="21900" operator="greaterThan">
      <formula>0</formula>
    </cfRule>
  </conditionalFormatting>
  <conditionalFormatting sqref="AX47">
    <cfRule type="cellIs" dxfId="11275" priority="21897" operator="lessThan">
      <formula>0</formula>
    </cfRule>
    <cfRule type="cellIs" dxfId="11274" priority="21898" operator="greaterThan">
      <formula>0</formula>
    </cfRule>
  </conditionalFormatting>
  <conditionalFormatting sqref="AZ47">
    <cfRule type="cellIs" dxfId="11273" priority="21895" operator="lessThan">
      <formula>0</formula>
    </cfRule>
    <cfRule type="cellIs" dxfId="11272" priority="21896" operator="greaterThan">
      <formula>0</formula>
    </cfRule>
  </conditionalFormatting>
  <conditionalFormatting sqref="BB47">
    <cfRule type="cellIs" dxfId="11271" priority="21893" operator="lessThan">
      <formula>0</formula>
    </cfRule>
    <cfRule type="cellIs" dxfId="11270" priority="21894" operator="greaterThan">
      <formula>0</formula>
    </cfRule>
  </conditionalFormatting>
  <conditionalFormatting sqref="BD47">
    <cfRule type="cellIs" dxfId="11269" priority="21891" operator="lessThan">
      <formula>0</formula>
    </cfRule>
    <cfRule type="cellIs" dxfId="11268" priority="21892" operator="greaterThan">
      <formula>0</formula>
    </cfRule>
  </conditionalFormatting>
  <conditionalFormatting sqref="BF47">
    <cfRule type="cellIs" dxfId="11267" priority="21889" operator="lessThan">
      <formula>0</formula>
    </cfRule>
    <cfRule type="cellIs" dxfId="11266" priority="21890" operator="greaterThan">
      <formula>0</formula>
    </cfRule>
  </conditionalFormatting>
  <conditionalFormatting sqref="BH47">
    <cfRule type="cellIs" dxfId="11265" priority="21887" operator="lessThan">
      <formula>0</formula>
    </cfRule>
    <cfRule type="cellIs" dxfId="11264" priority="21888" operator="greaterThan">
      <formula>0</formula>
    </cfRule>
  </conditionalFormatting>
  <conditionalFormatting sqref="BJ47">
    <cfRule type="cellIs" dxfId="11263" priority="21885" operator="lessThan">
      <formula>0</formula>
    </cfRule>
    <cfRule type="cellIs" dxfId="11262" priority="21886" operator="greaterThan">
      <formula>0</formula>
    </cfRule>
  </conditionalFormatting>
  <conditionalFormatting sqref="BL47">
    <cfRule type="cellIs" dxfId="11261" priority="21883" operator="lessThan">
      <formula>0</formula>
    </cfRule>
    <cfRule type="cellIs" dxfId="11260" priority="21884" operator="greaterThan">
      <formula>0</formula>
    </cfRule>
  </conditionalFormatting>
  <conditionalFormatting sqref="BN47">
    <cfRule type="cellIs" dxfId="11259" priority="21881" operator="lessThan">
      <formula>0</formula>
    </cfRule>
    <cfRule type="cellIs" dxfId="11258" priority="21882" operator="greaterThan">
      <formula>0</formula>
    </cfRule>
  </conditionalFormatting>
  <conditionalFormatting sqref="BP47">
    <cfRule type="cellIs" dxfId="11257" priority="21879" operator="lessThan">
      <formula>0</formula>
    </cfRule>
    <cfRule type="cellIs" dxfId="11256" priority="21880" operator="greaterThan">
      <formula>0</formula>
    </cfRule>
  </conditionalFormatting>
  <conditionalFormatting sqref="BR47">
    <cfRule type="cellIs" dxfId="11255" priority="21877" operator="lessThan">
      <formula>0</formula>
    </cfRule>
    <cfRule type="cellIs" dxfId="11254" priority="21878" operator="greaterThan">
      <formula>0</formula>
    </cfRule>
  </conditionalFormatting>
  <conditionalFormatting sqref="BT47">
    <cfRule type="cellIs" dxfId="11253" priority="21875" operator="lessThan">
      <formula>0</formula>
    </cfRule>
    <cfRule type="cellIs" dxfId="11252" priority="21876" operator="greaterThan">
      <formula>0</formula>
    </cfRule>
  </conditionalFormatting>
  <conditionalFormatting sqref="BV47">
    <cfRule type="cellIs" dxfId="11251" priority="21873" operator="lessThan">
      <formula>0</formula>
    </cfRule>
    <cfRule type="cellIs" dxfId="11250" priority="21874" operator="greaterThan">
      <formula>0</formula>
    </cfRule>
  </conditionalFormatting>
  <conditionalFormatting sqref="BX47">
    <cfRule type="cellIs" dxfId="11249" priority="21871" operator="lessThan">
      <formula>0</formula>
    </cfRule>
    <cfRule type="cellIs" dxfId="11248" priority="21872" operator="greaterThan">
      <formula>0</formula>
    </cfRule>
  </conditionalFormatting>
  <conditionalFormatting sqref="BZ47">
    <cfRule type="cellIs" dxfId="11247" priority="21869" operator="lessThan">
      <formula>0</formula>
    </cfRule>
    <cfRule type="cellIs" dxfId="11246" priority="21870" operator="greaterThan">
      <formula>0</formula>
    </cfRule>
  </conditionalFormatting>
  <conditionalFormatting sqref="CB47">
    <cfRule type="cellIs" dxfId="11245" priority="21867" operator="lessThan">
      <formula>0</formula>
    </cfRule>
    <cfRule type="cellIs" dxfId="11244" priority="21868" operator="greaterThan">
      <formula>0</formula>
    </cfRule>
  </conditionalFormatting>
  <conditionalFormatting sqref="CD47">
    <cfRule type="cellIs" dxfId="11243" priority="21865" operator="lessThan">
      <formula>0</formula>
    </cfRule>
    <cfRule type="cellIs" dxfId="11242" priority="21866" operator="greaterThan">
      <formula>0</formula>
    </cfRule>
  </conditionalFormatting>
  <conditionalFormatting sqref="CF47">
    <cfRule type="cellIs" dxfId="11241" priority="21863" operator="lessThan">
      <formula>0</formula>
    </cfRule>
    <cfRule type="cellIs" dxfId="11240" priority="21864" operator="greaterThan">
      <formula>0</formula>
    </cfRule>
  </conditionalFormatting>
  <conditionalFormatting sqref="CH47">
    <cfRule type="cellIs" dxfId="11239" priority="21861" operator="lessThan">
      <formula>0</formula>
    </cfRule>
    <cfRule type="cellIs" dxfId="11238" priority="21862" operator="greaterThan">
      <formula>0</formula>
    </cfRule>
  </conditionalFormatting>
  <conditionalFormatting sqref="CJ47">
    <cfRule type="cellIs" dxfId="11237" priority="21859" operator="lessThan">
      <formula>0</formula>
    </cfRule>
    <cfRule type="cellIs" dxfId="11236" priority="21860" operator="greaterThan">
      <formula>0</formula>
    </cfRule>
  </conditionalFormatting>
  <conditionalFormatting sqref="CL47">
    <cfRule type="cellIs" dxfId="11235" priority="21857" operator="lessThan">
      <formula>0</formula>
    </cfRule>
    <cfRule type="cellIs" dxfId="11234" priority="21858" operator="greaterThan">
      <formula>0</formula>
    </cfRule>
  </conditionalFormatting>
  <conditionalFormatting sqref="CN47">
    <cfRule type="cellIs" dxfId="11233" priority="21855" operator="lessThan">
      <formula>0</formula>
    </cfRule>
    <cfRule type="cellIs" dxfId="11232" priority="21856" operator="greaterThan">
      <formula>0</formula>
    </cfRule>
  </conditionalFormatting>
  <conditionalFormatting sqref="CP47">
    <cfRule type="cellIs" dxfId="11231" priority="21853" operator="lessThan">
      <formula>0</formula>
    </cfRule>
    <cfRule type="cellIs" dxfId="11230" priority="21854" operator="greaterThan">
      <formula>0</formula>
    </cfRule>
  </conditionalFormatting>
  <conditionalFormatting sqref="CR47">
    <cfRule type="cellIs" dxfId="11229" priority="21851" operator="lessThan">
      <formula>0</formula>
    </cfRule>
    <cfRule type="cellIs" dxfId="11228" priority="21852" operator="greaterThan">
      <formula>0</formula>
    </cfRule>
  </conditionalFormatting>
  <conditionalFormatting sqref="CT47">
    <cfRule type="cellIs" dxfId="11227" priority="21849" operator="lessThan">
      <formula>0</formula>
    </cfRule>
    <cfRule type="cellIs" dxfId="11226" priority="21850" operator="greaterThan">
      <formula>0</formula>
    </cfRule>
  </conditionalFormatting>
  <conditionalFormatting sqref="CV47">
    <cfRule type="cellIs" dxfId="11225" priority="21847" operator="lessThan">
      <formula>0</formula>
    </cfRule>
    <cfRule type="cellIs" dxfId="11224" priority="21848" operator="greaterThan">
      <formula>0</formula>
    </cfRule>
  </conditionalFormatting>
  <conditionalFormatting sqref="CX47">
    <cfRule type="cellIs" dxfId="11223" priority="21845" operator="lessThan">
      <formula>0</formula>
    </cfRule>
    <cfRule type="cellIs" dxfId="11222" priority="21846" operator="greaterThan">
      <formula>0</formula>
    </cfRule>
  </conditionalFormatting>
  <conditionalFormatting sqref="CZ47">
    <cfRule type="cellIs" dxfId="11221" priority="21843" operator="lessThan">
      <formula>0</formula>
    </cfRule>
    <cfRule type="cellIs" dxfId="11220" priority="21844" operator="greaterThan">
      <formula>0</formula>
    </cfRule>
  </conditionalFormatting>
  <conditionalFormatting sqref="DB47">
    <cfRule type="cellIs" dxfId="11219" priority="21841" operator="lessThan">
      <formula>0</formula>
    </cfRule>
    <cfRule type="cellIs" dxfId="11218" priority="21842" operator="greaterThan">
      <formula>0</formula>
    </cfRule>
  </conditionalFormatting>
  <conditionalFormatting sqref="DD47">
    <cfRule type="cellIs" dxfId="11217" priority="21839" operator="lessThan">
      <formula>0</formula>
    </cfRule>
    <cfRule type="cellIs" dxfId="11216" priority="21840" operator="greaterThan">
      <formula>0</formula>
    </cfRule>
  </conditionalFormatting>
  <conditionalFormatting sqref="DF47">
    <cfRule type="cellIs" dxfId="11215" priority="21837" operator="lessThan">
      <formula>0</formula>
    </cfRule>
    <cfRule type="cellIs" dxfId="11214" priority="21838" operator="greaterThan">
      <formula>0</formula>
    </cfRule>
  </conditionalFormatting>
  <conditionalFormatting sqref="DH47">
    <cfRule type="cellIs" dxfId="11213" priority="21835" operator="lessThan">
      <formula>0</formula>
    </cfRule>
    <cfRule type="cellIs" dxfId="11212" priority="21836" operator="greaterThan">
      <formula>0</formula>
    </cfRule>
  </conditionalFormatting>
  <conditionalFormatting sqref="DJ47">
    <cfRule type="cellIs" dxfId="11211" priority="21833" operator="lessThan">
      <formula>0</formula>
    </cfRule>
    <cfRule type="cellIs" dxfId="11210" priority="21834" operator="greaterThan">
      <formula>0</formula>
    </cfRule>
  </conditionalFormatting>
  <conditionalFormatting sqref="DL47">
    <cfRule type="cellIs" dxfId="11209" priority="21831" operator="lessThan">
      <formula>0</formula>
    </cfRule>
    <cfRule type="cellIs" dxfId="11208" priority="21832" operator="greaterThan">
      <formula>0</formula>
    </cfRule>
  </conditionalFormatting>
  <conditionalFormatting sqref="DN47">
    <cfRule type="cellIs" dxfId="11207" priority="21829" operator="lessThan">
      <formula>0</formula>
    </cfRule>
    <cfRule type="cellIs" dxfId="11206" priority="21830" operator="greaterThan">
      <formula>0</formula>
    </cfRule>
  </conditionalFormatting>
  <conditionalFormatting sqref="DP47">
    <cfRule type="cellIs" dxfId="11205" priority="21827" operator="lessThan">
      <formula>0</formula>
    </cfRule>
    <cfRule type="cellIs" dxfId="11204" priority="21828" operator="greaterThan">
      <formula>0</formula>
    </cfRule>
  </conditionalFormatting>
  <conditionalFormatting sqref="DR47">
    <cfRule type="cellIs" dxfId="11203" priority="21825" operator="lessThan">
      <formula>0</formula>
    </cfRule>
    <cfRule type="cellIs" dxfId="11202" priority="21826" operator="greaterThan">
      <formula>0</formula>
    </cfRule>
  </conditionalFormatting>
  <conditionalFormatting sqref="DT47">
    <cfRule type="cellIs" dxfId="11201" priority="21823" operator="lessThan">
      <formula>0</formula>
    </cfRule>
    <cfRule type="cellIs" dxfId="11200" priority="21824" operator="greaterThan">
      <formula>0</formula>
    </cfRule>
  </conditionalFormatting>
  <conditionalFormatting sqref="DV47">
    <cfRule type="cellIs" dxfId="11199" priority="21821" operator="lessThan">
      <formula>0</formula>
    </cfRule>
    <cfRule type="cellIs" dxfId="11198" priority="21822" operator="greaterThan">
      <formula>0</formula>
    </cfRule>
  </conditionalFormatting>
  <conditionalFormatting sqref="DX47">
    <cfRule type="cellIs" dxfId="11197" priority="21819" operator="lessThan">
      <formula>0</formula>
    </cfRule>
    <cfRule type="cellIs" dxfId="11196" priority="21820" operator="greaterThan">
      <formula>0</formula>
    </cfRule>
  </conditionalFormatting>
  <conditionalFormatting sqref="DZ47">
    <cfRule type="cellIs" dxfId="11195" priority="21817" operator="lessThan">
      <formula>0</formula>
    </cfRule>
    <cfRule type="cellIs" dxfId="11194" priority="21818" operator="greaterThan">
      <formula>0</formula>
    </cfRule>
  </conditionalFormatting>
  <conditionalFormatting sqref="EB47">
    <cfRule type="cellIs" dxfId="11193" priority="21815" operator="lessThan">
      <formula>0</formula>
    </cfRule>
    <cfRule type="cellIs" dxfId="11192" priority="21816" operator="greaterThan">
      <formula>0</formula>
    </cfRule>
  </conditionalFormatting>
  <conditionalFormatting sqref="ED47">
    <cfRule type="cellIs" dxfId="11191" priority="21813" operator="lessThan">
      <formula>0</formula>
    </cfRule>
    <cfRule type="cellIs" dxfId="11190" priority="21814" operator="greaterThan">
      <formula>0</formula>
    </cfRule>
  </conditionalFormatting>
  <conditionalFormatting sqref="EF47">
    <cfRule type="cellIs" dxfId="11189" priority="21811" operator="lessThan">
      <formula>0</formula>
    </cfRule>
    <cfRule type="cellIs" dxfId="11188" priority="21812" operator="greaterThan">
      <formula>0</formula>
    </cfRule>
  </conditionalFormatting>
  <conditionalFormatting sqref="EH47">
    <cfRule type="cellIs" dxfId="11187" priority="21809" operator="lessThan">
      <formula>0</formula>
    </cfRule>
    <cfRule type="cellIs" dxfId="11186" priority="21810" operator="greaterThan">
      <formula>0</formula>
    </cfRule>
  </conditionalFormatting>
  <conditionalFormatting sqref="EJ47">
    <cfRule type="cellIs" dxfId="11185" priority="21807" operator="lessThan">
      <formula>0</formula>
    </cfRule>
    <cfRule type="cellIs" dxfId="11184" priority="21808" operator="greaterThan">
      <formula>0</formula>
    </cfRule>
  </conditionalFormatting>
  <conditionalFormatting sqref="EL47">
    <cfRule type="cellIs" dxfId="11183" priority="21805" operator="lessThan">
      <formula>0</formula>
    </cfRule>
    <cfRule type="cellIs" dxfId="11182" priority="21806" operator="greaterThan">
      <formula>0</formula>
    </cfRule>
  </conditionalFormatting>
  <conditionalFormatting sqref="EN47">
    <cfRule type="cellIs" dxfId="11181" priority="21803" operator="lessThan">
      <formula>0</formula>
    </cfRule>
    <cfRule type="cellIs" dxfId="11180" priority="21804" operator="greaterThan">
      <formula>0</formula>
    </cfRule>
  </conditionalFormatting>
  <conditionalFormatting sqref="EP47">
    <cfRule type="cellIs" dxfId="11179" priority="21801" operator="lessThan">
      <formula>0</formula>
    </cfRule>
    <cfRule type="cellIs" dxfId="11178" priority="21802" operator="greaterThan">
      <formula>0</formula>
    </cfRule>
  </conditionalFormatting>
  <conditionalFormatting sqref="ER47">
    <cfRule type="cellIs" dxfId="11177" priority="21799" operator="lessThan">
      <formula>0</formula>
    </cfRule>
    <cfRule type="cellIs" dxfId="11176" priority="21800" operator="greaterThan">
      <formula>0</formula>
    </cfRule>
  </conditionalFormatting>
  <conditionalFormatting sqref="ET47">
    <cfRule type="cellIs" dxfId="11175" priority="21797" operator="lessThan">
      <formula>0</formula>
    </cfRule>
    <cfRule type="cellIs" dxfId="11174" priority="21798" operator="greaterThan">
      <formula>0</formula>
    </cfRule>
  </conditionalFormatting>
  <conditionalFormatting sqref="EV47">
    <cfRule type="cellIs" dxfId="11173" priority="21795" operator="lessThan">
      <formula>0</formula>
    </cfRule>
    <cfRule type="cellIs" dxfId="11172" priority="21796" operator="greaterThan">
      <formula>0</formula>
    </cfRule>
  </conditionalFormatting>
  <conditionalFormatting sqref="EX47">
    <cfRule type="cellIs" dxfId="11171" priority="21793" operator="lessThan">
      <formula>0</formula>
    </cfRule>
    <cfRule type="cellIs" dxfId="11170" priority="21794" operator="greaterThan">
      <formula>0</formula>
    </cfRule>
  </conditionalFormatting>
  <conditionalFormatting sqref="EZ47">
    <cfRule type="cellIs" dxfId="11169" priority="21791" operator="lessThan">
      <formula>0</formula>
    </cfRule>
    <cfRule type="cellIs" dxfId="11168" priority="21792" operator="greaterThan">
      <formula>0</formula>
    </cfRule>
  </conditionalFormatting>
  <conditionalFormatting sqref="H44">
    <cfRule type="cellIs" dxfId="11167" priority="21789" operator="lessThan">
      <formula>0</formula>
    </cfRule>
    <cfRule type="cellIs" dxfId="11166" priority="21790" operator="greaterThan">
      <formula>0</formula>
    </cfRule>
  </conditionalFormatting>
  <conditionalFormatting sqref="J44">
    <cfRule type="cellIs" dxfId="11165" priority="21787" operator="lessThan">
      <formula>0</formula>
    </cfRule>
    <cfRule type="cellIs" dxfId="11164" priority="21788" operator="greaterThan">
      <formula>0</formula>
    </cfRule>
  </conditionalFormatting>
  <conditionalFormatting sqref="L44">
    <cfRule type="cellIs" dxfId="11163" priority="21785" operator="lessThan">
      <formula>0</formula>
    </cfRule>
    <cfRule type="cellIs" dxfId="11162" priority="21786" operator="greaterThan">
      <formula>0</formula>
    </cfRule>
  </conditionalFormatting>
  <conditionalFormatting sqref="N44">
    <cfRule type="cellIs" dxfId="11161" priority="21783" operator="lessThan">
      <formula>0</formula>
    </cfRule>
    <cfRule type="cellIs" dxfId="11160" priority="21784" operator="greaterThan">
      <formula>0</formula>
    </cfRule>
  </conditionalFormatting>
  <conditionalFormatting sqref="P44">
    <cfRule type="cellIs" dxfId="11159" priority="21781" operator="lessThan">
      <formula>0</formula>
    </cfRule>
    <cfRule type="cellIs" dxfId="11158" priority="21782" operator="greaterThan">
      <formula>0</formula>
    </cfRule>
  </conditionalFormatting>
  <conditionalFormatting sqref="R44">
    <cfRule type="cellIs" dxfId="11157" priority="21779" operator="lessThan">
      <formula>0</formula>
    </cfRule>
    <cfRule type="cellIs" dxfId="11156" priority="21780" operator="greaterThan">
      <formula>0</formula>
    </cfRule>
  </conditionalFormatting>
  <conditionalFormatting sqref="T44">
    <cfRule type="cellIs" dxfId="11155" priority="21777" operator="lessThan">
      <formula>0</formula>
    </cfRule>
    <cfRule type="cellIs" dxfId="11154" priority="21778" operator="greaterThan">
      <formula>0</formula>
    </cfRule>
  </conditionalFormatting>
  <conditionalFormatting sqref="V44">
    <cfRule type="cellIs" dxfId="11153" priority="21775" operator="lessThan">
      <formula>0</formula>
    </cfRule>
    <cfRule type="cellIs" dxfId="11152" priority="21776" operator="greaterThan">
      <formula>0</formula>
    </cfRule>
  </conditionalFormatting>
  <conditionalFormatting sqref="X44">
    <cfRule type="cellIs" dxfId="11151" priority="21773" operator="lessThan">
      <formula>0</formula>
    </cfRule>
    <cfRule type="cellIs" dxfId="11150" priority="21774" operator="greaterThan">
      <formula>0</formula>
    </cfRule>
  </conditionalFormatting>
  <conditionalFormatting sqref="Z44">
    <cfRule type="cellIs" dxfId="11149" priority="21771" operator="lessThan">
      <formula>0</formula>
    </cfRule>
    <cfRule type="cellIs" dxfId="11148" priority="21772" operator="greaterThan">
      <formula>0</formula>
    </cfRule>
  </conditionalFormatting>
  <conditionalFormatting sqref="AB44">
    <cfRule type="cellIs" dxfId="11147" priority="21769" operator="lessThan">
      <formula>0</formula>
    </cfRule>
    <cfRule type="cellIs" dxfId="11146" priority="21770" operator="greaterThan">
      <formula>0</formula>
    </cfRule>
  </conditionalFormatting>
  <conditionalFormatting sqref="AD44">
    <cfRule type="cellIs" dxfId="11145" priority="21767" operator="lessThan">
      <formula>0</formula>
    </cfRule>
    <cfRule type="cellIs" dxfId="11144" priority="21768" operator="greaterThan">
      <formula>0</formula>
    </cfRule>
  </conditionalFormatting>
  <conditionalFormatting sqref="AF44">
    <cfRule type="cellIs" dxfId="11143" priority="21765" operator="lessThan">
      <formula>0</formula>
    </cfRule>
    <cfRule type="cellIs" dxfId="11142" priority="21766" operator="greaterThan">
      <formula>0</formula>
    </cfRule>
  </conditionalFormatting>
  <conditionalFormatting sqref="AH44">
    <cfRule type="cellIs" dxfId="11141" priority="21763" operator="lessThan">
      <formula>0</formula>
    </cfRule>
    <cfRule type="cellIs" dxfId="11140" priority="21764" operator="greaterThan">
      <formula>0</formula>
    </cfRule>
  </conditionalFormatting>
  <conditionalFormatting sqref="AJ44">
    <cfRule type="cellIs" dxfId="11139" priority="21761" operator="lessThan">
      <formula>0</formula>
    </cfRule>
    <cfRule type="cellIs" dxfId="11138" priority="21762" operator="greaterThan">
      <formula>0</formula>
    </cfRule>
  </conditionalFormatting>
  <conditionalFormatting sqref="AL44">
    <cfRule type="cellIs" dxfId="11137" priority="21759" operator="lessThan">
      <formula>0</formula>
    </cfRule>
    <cfRule type="cellIs" dxfId="11136" priority="21760" operator="greaterThan">
      <formula>0</formula>
    </cfRule>
  </conditionalFormatting>
  <conditionalFormatting sqref="AN44">
    <cfRule type="cellIs" dxfId="11135" priority="21757" operator="lessThan">
      <formula>0</formula>
    </cfRule>
    <cfRule type="cellIs" dxfId="11134" priority="21758" operator="greaterThan">
      <formula>0</formula>
    </cfRule>
  </conditionalFormatting>
  <conditionalFormatting sqref="AP44">
    <cfRule type="cellIs" dxfId="11133" priority="21755" operator="lessThan">
      <formula>0</formula>
    </cfRule>
    <cfRule type="cellIs" dxfId="11132" priority="21756" operator="greaterThan">
      <formula>0</formula>
    </cfRule>
  </conditionalFormatting>
  <conditionalFormatting sqref="AR44">
    <cfRule type="cellIs" dxfId="11131" priority="21753" operator="lessThan">
      <formula>0</formula>
    </cfRule>
    <cfRule type="cellIs" dxfId="11130" priority="21754" operator="greaterThan">
      <formula>0</formula>
    </cfRule>
  </conditionalFormatting>
  <conditionalFormatting sqref="AT44">
    <cfRule type="cellIs" dxfId="11129" priority="21751" operator="lessThan">
      <formula>0</formula>
    </cfRule>
    <cfRule type="cellIs" dxfId="11128" priority="21752" operator="greaterThan">
      <formula>0</formula>
    </cfRule>
  </conditionalFormatting>
  <conditionalFormatting sqref="AV44">
    <cfRule type="cellIs" dxfId="11127" priority="21749" operator="lessThan">
      <formula>0</formula>
    </cfRule>
    <cfRule type="cellIs" dxfId="11126" priority="21750" operator="greaterThan">
      <formula>0</formula>
    </cfRule>
  </conditionalFormatting>
  <conditionalFormatting sqref="AX44">
    <cfRule type="cellIs" dxfId="11125" priority="21747" operator="lessThan">
      <formula>0</formula>
    </cfRule>
    <cfRule type="cellIs" dxfId="11124" priority="21748" operator="greaterThan">
      <formula>0</formula>
    </cfRule>
  </conditionalFormatting>
  <conditionalFormatting sqref="BH44">
    <cfRule type="cellIs" dxfId="11123" priority="21737" operator="lessThan">
      <formula>0</formula>
    </cfRule>
    <cfRule type="cellIs" dxfId="11122" priority="21738" operator="greaterThan">
      <formula>0</formula>
    </cfRule>
  </conditionalFormatting>
  <conditionalFormatting sqref="AZ44">
    <cfRule type="cellIs" dxfId="11121" priority="21745" operator="lessThan">
      <formula>0</formula>
    </cfRule>
    <cfRule type="cellIs" dxfId="11120" priority="21746" operator="greaterThan">
      <formula>0</formula>
    </cfRule>
  </conditionalFormatting>
  <conditionalFormatting sqref="BB44">
    <cfRule type="cellIs" dxfId="11119" priority="21743" operator="lessThan">
      <formula>0</formula>
    </cfRule>
    <cfRule type="cellIs" dxfId="11118" priority="21744" operator="greaterThan">
      <formula>0</formula>
    </cfRule>
  </conditionalFormatting>
  <conditionalFormatting sqref="BD44">
    <cfRule type="cellIs" dxfId="11117" priority="21741" operator="lessThan">
      <formula>0</formula>
    </cfRule>
    <cfRule type="cellIs" dxfId="11116" priority="21742" operator="greaterThan">
      <formula>0</formula>
    </cfRule>
  </conditionalFormatting>
  <conditionalFormatting sqref="BF44">
    <cfRule type="cellIs" dxfId="11115" priority="21739" operator="lessThan">
      <formula>0</formula>
    </cfRule>
    <cfRule type="cellIs" dxfId="11114" priority="21740" operator="greaterThan">
      <formula>0</formula>
    </cfRule>
  </conditionalFormatting>
  <conditionalFormatting sqref="BJ44">
    <cfRule type="cellIs" dxfId="11113" priority="21735" operator="lessThan">
      <formula>0</formula>
    </cfRule>
    <cfRule type="cellIs" dxfId="11112" priority="21736" operator="greaterThan">
      <formula>0</formula>
    </cfRule>
  </conditionalFormatting>
  <conditionalFormatting sqref="BL44">
    <cfRule type="cellIs" dxfId="11111" priority="21733" operator="lessThan">
      <formula>0</formula>
    </cfRule>
    <cfRule type="cellIs" dxfId="11110" priority="21734" operator="greaterThan">
      <formula>0</formula>
    </cfRule>
  </conditionalFormatting>
  <conditionalFormatting sqref="BN44">
    <cfRule type="cellIs" dxfId="11109" priority="21731" operator="lessThan">
      <formula>0</formula>
    </cfRule>
    <cfRule type="cellIs" dxfId="11108" priority="21732" operator="greaterThan">
      <formula>0</formula>
    </cfRule>
  </conditionalFormatting>
  <conditionalFormatting sqref="BP44">
    <cfRule type="cellIs" dxfId="11107" priority="21729" operator="lessThan">
      <formula>0</formula>
    </cfRule>
    <cfRule type="cellIs" dxfId="11106" priority="21730" operator="greaterThan">
      <formula>0</formula>
    </cfRule>
  </conditionalFormatting>
  <conditionalFormatting sqref="BR44">
    <cfRule type="cellIs" dxfId="11105" priority="21727" operator="lessThan">
      <formula>0</formula>
    </cfRule>
    <cfRule type="cellIs" dxfId="11104" priority="21728" operator="greaterThan">
      <formula>0</formula>
    </cfRule>
  </conditionalFormatting>
  <conditionalFormatting sqref="BT44">
    <cfRule type="cellIs" dxfId="11103" priority="21725" operator="lessThan">
      <formula>0</formula>
    </cfRule>
    <cfRule type="cellIs" dxfId="11102" priority="21726" operator="greaterThan">
      <formula>0</formula>
    </cfRule>
  </conditionalFormatting>
  <conditionalFormatting sqref="BV44">
    <cfRule type="cellIs" dxfId="11101" priority="21723" operator="lessThan">
      <formula>0</formula>
    </cfRule>
    <cfRule type="cellIs" dxfId="11100" priority="21724" operator="greaterThan">
      <formula>0</formula>
    </cfRule>
  </conditionalFormatting>
  <conditionalFormatting sqref="BX44">
    <cfRule type="cellIs" dxfId="11099" priority="21721" operator="lessThan">
      <formula>0</formula>
    </cfRule>
    <cfRule type="cellIs" dxfId="11098" priority="21722" operator="greaterThan">
      <formula>0</formula>
    </cfRule>
  </conditionalFormatting>
  <conditionalFormatting sqref="BZ44">
    <cfRule type="cellIs" dxfId="11097" priority="21719" operator="lessThan">
      <formula>0</formula>
    </cfRule>
    <cfRule type="cellIs" dxfId="11096" priority="21720" operator="greaterThan">
      <formula>0</formula>
    </cfRule>
  </conditionalFormatting>
  <conditionalFormatting sqref="CB44">
    <cfRule type="cellIs" dxfId="11095" priority="21717" operator="lessThan">
      <formula>0</formula>
    </cfRule>
    <cfRule type="cellIs" dxfId="11094" priority="21718" operator="greaterThan">
      <formula>0</formula>
    </cfRule>
  </conditionalFormatting>
  <conditionalFormatting sqref="CD44">
    <cfRule type="cellIs" dxfId="11093" priority="21715" operator="lessThan">
      <formula>0</formula>
    </cfRule>
    <cfRule type="cellIs" dxfId="11092" priority="21716" operator="greaterThan">
      <formula>0</formula>
    </cfRule>
  </conditionalFormatting>
  <conditionalFormatting sqref="CF44">
    <cfRule type="cellIs" dxfId="11091" priority="21713" operator="lessThan">
      <formula>0</formula>
    </cfRule>
    <cfRule type="cellIs" dxfId="11090" priority="21714" operator="greaterThan">
      <formula>0</formula>
    </cfRule>
  </conditionalFormatting>
  <conditionalFormatting sqref="CH44">
    <cfRule type="cellIs" dxfId="11089" priority="21711" operator="lessThan">
      <formula>0</formula>
    </cfRule>
    <cfRule type="cellIs" dxfId="11088" priority="21712" operator="greaterThan">
      <formula>0</formula>
    </cfRule>
  </conditionalFormatting>
  <conditionalFormatting sqref="CJ44">
    <cfRule type="cellIs" dxfId="11087" priority="21709" operator="lessThan">
      <formula>0</formula>
    </cfRule>
    <cfRule type="cellIs" dxfId="11086" priority="21710" operator="greaterThan">
      <formula>0</formula>
    </cfRule>
  </conditionalFormatting>
  <conditionalFormatting sqref="CL44">
    <cfRule type="cellIs" dxfId="11085" priority="21707" operator="lessThan">
      <formula>0</formula>
    </cfRule>
    <cfRule type="cellIs" dxfId="11084" priority="21708" operator="greaterThan">
      <formula>0</formula>
    </cfRule>
  </conditionalFormatting>
  <conditionalFormatting sqref="CN44">
    <cfRule type="cellIs" dxfId="11083" priority="21705" operator="lessThan">
      <formula>0</formula>
    </cfRule>
    <cfRule type="cellIs" dxfId="11082" priority="21706" operator="greaterThan">
      <formula>0</formula>
    </cfRule>
  </conditionalFormatting>
  <conditionalFormatting sqref="CP44">
    <cfRule type="cellIs" dxfId="11081" priority="21703" operator="lessThan">
      <formula>0</formula>
    </cfRule>
    <cfRule type="cellIs" dxfId="11080" priority="21704" operator="greaterThan">
      <formula>0</formula>
    </cfRule>
  </conditionalFormatting>
  <conditionalFormatting sqref="CR44">
    <cfRule type="cellIs" dxfId="11079" priority="21701" operator="lessThan">
      <formula>0</formula>
    </cfRule>
    <cfRule type="cellIs" dxfId="11078" priority="21702" operator="greaterThan">
      <formula>0</formula>
    </cfRule>
  </conditionalFormatting>
  <conditionalFormatting sqref="CT44">
    <cfRule type="cellIs" dxfId="11077" priority="21699" operator="lessThan">
      <formula>0</formula>
    </cfRule>
    <cfRule type="cellIs" dxfId="11076" priority="21700" operator="greaterThan">
      <formula>0</formula>
    </cfRule>
  </conditionalFormatting>
  <conditionalFormatting sqref="CV44">
    <cfRule type="cellIs" dxfId="11075" priority="21697" operator="lessThan">
      <formula>0</formula>
    </cfRule>
    <cfRule type="cellIs" dxfId="11074" priority="21698" operator="greaterThan">
      <formula>0</formula>
    </cfRule>
  </conditionalFormatting>
  <conditionalFormatting sqref="CX44">
    <cfRule type="cellIs" dxfId="11073" priority="21695" operator="lessThan">
      <formula>0</formula>
    </cfRule>
    <cfRule type="cellIs" dxfId="11072" priority="21696" operator="greaterThan">
      <formula>0</formula>
    </cfRule>
  </conditionalFormatting>
  <conditionalFormatting sqref="CZ44">
    <cfRule type="cellIs" dxfId="11071" priority="21693" operator="lessThan">
      <formula>0</formula>
    </cfRule>
    <cfRule type="cellIs" dxfId="11070" priority="21694" operator="greaterThan">
      <formula>0</formula>
    </cfRule>
  </conditionalFormatting>
  <conditionalFormatting sqref="DB44">
    <cfRule type="cellIs" dxfId="11069" priority="21691" operator="lessThan">
      <formula>0</formula>
    </cfRule>
    <cfRule type="cellIs" dxfId="11068" priority="21692" operator="greaterThan">
      <formula>0</formula>
    </cfRule>
  </conditionalFormatting>
  <conditionalFormatting sqref="DD44">
    <cfRule type="cellIs" dxfId="11067" priority="21689" operator="lessThan">
      <formula>0</formula>
    </cfRule>
    <cfRule type="cellIs" dxfId="11066" priority="21690" operator="greaterThan">
      <formula>0</formula>
    </cfRule>
  </conditionalFormatting>
  <conditionalFormatting sqref="DF44">
    <cfRule type="cellIs" dxfId="11065" priority="21687" operator="lessThan">
      <formula>0</formula>
    </cfRule>
    <cfRule type="cellIs" dxfId="11064" priority="21688" operator="greaterThan">
      <formula>0</formula>
    </cfRule>
  </conditionalFormatting>
  <conditionalFormatting sqref="DH44">
    <cfRule type="cellIs" dxfId="11063" priority="21685" operator="lessThan">
      <formula>0</formula>
    </cfRule>
    <cfRule type="cellIs" dxfId="11062" priority="21686" operator="greaterThan">
      <formula>0</formula>
    </cfRule>
  </conditionalFormatting>
  <conditionalFormatting sqref="DJ44">
    <cfRule type="cellIs" dxfId="11061" priority="21683" operator="lessThan">
      <formula>0</formula>
    </cfRule>
    <cfRule type="cellIs" dxfId="11060" priority="21684" operator="greaterThan">
      <formula>0</formula>
    </cfRule>
  </conditionalFormatting>
  <conditionalFormatting sqref="DL44">
    <cfRule type="cellIs" dxfId="11059" priority="21681" operator="lessThan">
      <formula>0</formula>
    </cfRule>
    <cfRule type="cellIs" dxfId="11058" priority="21682" operator="greaterThan">
      <formula>0</formula>
    </cfRule>
  </conditionalFormatting>
  <conditionalFormatting sqref="DN44">
    <cfRule type="cellIs" dxfId="11057" priority="21679" operator="lessThan">
      <formula>0</formula>
    </cfRule>
    <cfRule type="cellIs" dxfId="11056" priority="21680" operator="greaterThan">
      <formula>0</formula>
    </cfRule>
  </conditionalFormatting>
  <conditionalFormatting sqref="DP44">
    <cfRule type="cellIs" dxfId="11055" priority="21677" operator="lessThan">
      <formula>0</formula>
    </cfRule>
    <cfRule type="cellIs" dxfId="11054" priority="21678" operator="greaterThan">
      <formula>0</formula>
    </cfRule>
  </conditionalFormatting>
  <conditionalFormatting sqref="DR44">
    <cfRule type="cellIs" dxfId="11053" priority="21675" operator="lessThan">
      <formula>0</formula>
    </cfRule>
    <cfRule type="cellIs" dxfId="11052" priority="21676" operator="greaterThan">
      <formula>0</formula>
    </cfRule>
  </conditionalFormatting>
  <conditionalFormatting sqref="DT44">
    <cfRule type="cellIs" dxfId="11051" priority="21673" operator="lessThan">
      <formula>0</formula>
    </cfRule>
    <cfRule type="cellIs" dxfId="11050" priority="21674" operator="greaterThan">
      <formula>0</formula>
    </cfRule>
  </conditionalFormatting>
  <conditionalFormatting sqref="DV44">
    <cfRule type="cellIs" dxfId="11049" priority="21671" operator="lessThan">
      <formula>0</formula>
    </cfRule>
    <cfRule type="cellIs" dxfId="11048" priority="21672" operator="greaterThan">
      <formula>0</formula>
    </cfRule>
  </conditionalFormatting>
  <conditionalFormatting sqref="DX44">
    <cfRule type="cellIs" dxfId="11047" priority="21669" operator="lessThan">
      <formula>0</formula>
    </cfRule>
    <cfRule type="cellIs" dxfId="11046" priority="21670" operator="greaterThan">
      <formula>0</formula>
    </cfRule>
  </conditionalFormatting>
  <conditionalFormatting sqref="DZ44">
    <cfRule type="cellIs" dxfId="11045" priority="21667" operator="lessThan">
      <formula>0</formula>
    </cfRule>
    <cfRule type="cellIs" dxfId="11044" priority="21668" operator="greaterThan">
      <formula>0</formula>
    </cfRule>
  </conditionalFormatting>
  <conditionalFormatting sqref="EB44">
    <cfRule type="cellIs" dxfId="11043" priority="21665" operator="lessThan">
      <formula>0</formula>
    </cfRule>
    <cfRule type="cellIs" dxfId="11042" priority="21666" operator="greaterThan">
      <formula>0</formula>
    </cfRule>
  </conditionalFormatting>
  <conditionalFormatting sqref="ED44">
    <cfRule type="cellIs" dxfId="11041" priority="21663" operator="lessThan">
      <formula>0</formula>
    </cfRule>
    <cfRule type="cellIs" dxfId="11040" priority="21664" operator="greaterThan">
      <formula>0</formula>
    </cfRule>
  </conditionalFormatting>
  <conditionalFormatting sqref="EF44">
    <cfRule type="cellIs" dxfId="11039" priority="21661" operator="lessThan">
      <formula>0</formula>
    </cfRule>
    <cfRule type="cellIs" dxfId="11038" priority="21662" operator="greaterThan">
      <formula>0</formula>
    </cfRule>
  </conditionalFormatting>
  <conditionalFormatting sqref="EH44">
    <cfRule type="cellIs" dxfId="11037" priority="21659" operator="lessThan">
      <formula>0</formula>
    </cfRule>
    <cfRule type="cellIs" dxfId="11036" priority="21660" operator="greaterThan">
      <formula>0</formula>
    </cfRule>
  </conditionalFormatting>
  <conditionalFormatting sqref="EJ44">
    <cfRule type="cellIs" dxfId="11035" priority="21657" operator="lessThan">
      <formula>0</formula>
    </cfRule>
    <cfRule type="cellIs" dxfId="11034" priority="21658" operator="greaterThan">
      <formula>0</formula>
    </cfRule>
  </conditionalFormatting>
  <conditionalFormatting sqref="EL44">
    <cfRule type="cellIs" dxfId="11033" priority="21655" operator="lessThan">
      <formula>0</formula>
    </cfRule>
    <cfRule type="cellIs" dxfId="11032" priority="21656" operator="greaterThan">
      <formula>0</formula>
    </cfRule>
  </conditionalFormatting>
  <conditionalFormatting sqref="EN44">
    <cfRule type="cellIs" dxfId="11031" priority="21653" operator="lessThan">
      <formula>0</formula>
    </cfRule>
    <cfRule type="cellIs" dxfId="11030" priority="21654" operator="greaterThan">
      <formula>0</formula>
    </cfRule>
  </conditionalFormatting>
  <conditionalFormatting sqref="EP44">
    <cfRule type="cellIs" dxfId="11029" priority="21651" operator="lessThan">
      <formula>0</formula>
    </cfRule>
    <cfRule type="cellIs" dxfId="11028" priority="21652" operator="greaterThan">
      <formula>0</formula>
    </cfRule>
  </conditionalFormatting>
  <conditionalFormatting sqref="ER44">
    <cfRule type="cellIs" dxfId="11027" priority="21649" operator="lessThan">
      <formula>0</formula>
    </cfRule>
    <cfRule type="cellIs" dxfId="11026" priority="21650" operator="greaterThan">
      <formula>0</formula>
    </cfRule>
  </conditionalFormatting>
  <conditionalFormatting sqref="ET44">
    <cfRule type="cellIs" dxfId="11025" priority="21647" operator="lessThan">
      <formula>0</formula>
    </cfRule>
    <cfRule type="cellIs" dxfId="11024" priority="21648" operator="greaterThan">
      <formula>0</formula>
    </cfRule>
  </conditionalFormatting>
  <conditionalFormatting sqref="EV44">
    <cfRule type="cellIs" dxfId="11023" priority="21645" operator="lessThan">
      <formula>0</formula>
    </cfRule>
    <cfRule type="cellIs" dxfId="11022" priority="21646" operator="greaterThan">
      <formula>0</formula>
    </cfRule>
  </conditionalFormatting>
  <conditionalFormatting sqref="EX44">
    <cfRule type="cellIs" dxfId="11021" priority="21643" operator="lessThan">
      <formula>0</formula>
    </cfRule>
    <cfRule type="cellIs" dxfId="11020" priority="21644" operator="greaterThan">
      <formula>0</formula>
    </cfRule>
  </conditionalFormatting>
  <conditionalFormatting sqref="EZ44">
    <cfRule type="cellIs" dxfId="11019" priority="21641" operator="lessThan">
      <formula>0</formula>
    </cfRule>
    <cfRule type="cellIs" dxfId="11018" priority="21642" operator="greaterThan">
      <formula>0</formula>
    </cfRule>
  </conditionalFormatting>
  <conditionalFormatting sqref="H23:H24 J23:J24 L23:L24 N23:N24 P23:P24 R23:R24 T23:T24 V23:V24 X23:X24 Z23:Z24 AB23:AB24 AD23:AD24 AF23:AF24 AH23:AH24 AJ23:AJ24 AR23:AR24 AL23:AL24 AP23:AP24 AN23:AN24 AT23:AT24 BD23:BD24 AV23:AV24 AX23:AX24 AZ23:AZ24 BB23:BB24 BF23:BF24 BH23:BH24 BJ23:BJ24 BL23:BL24 BN23:BN24 BP23:BP24 BR23:BR24 BT23:BT24 BV23:BV24 BX23:BX24 BZ23:BZ24 CB23:CB24 CD23:CD24 CF23:CF24 CH23:CH24 CJ23:CJ24 CL23:CL24 CN23:CN24 CP23:CP24 CR23:CR24 CT23:CT24 CV23:CV24 DL23:DL24 CX23:CX24 CZ23:CZ24 DB23:DB24 DD23:DD24 DF23:DF24 DH23:DH24 DJ23:DJ24 DN23:DN24 DP23:DP24 DR23:DR24 DT23:DT24 DV23:DV24 DX23:DX24 DZ23:DZ24 EB23:EB24 ED23:ED24 EF23:EF24 EH23:EH24 EJ23:EJ24 EL23:EL24 EN23:EN24 EP23:EP24 ER23:ER24 ET23:ET24 EV23:EV24 EX23:EX24 EZ23:EZ24">
    <cfRule type="cellIs" dxfId="11017" priority="21489" operator="lessThan">
      <formula>0</formula>
    </cfRule>
    <cfRule type="cellIs" dxfId="11016" priority="21490" operator="greaterThan">
      <formula>0</formula>
    </cfRule>
  </conditionalFormatting>
  <conditionalFormatting sqref="H33:H34 J33:J34 L33:L34 N33:N34 P33:P34 R33:R34 T33:T34 V33:V34 X33:X34 Z33:Z34 AB33:AB34 AD33:AD34 AF33:AF34 AH33:AH34 AJ33:AJ34 AR33:AR34 AL33:AL34 AP33:AP34 AN33:AN34 AT33:AT34 BD33:BD34 AV33:AV34 AX33:AX34 AZ33:AZ34 BB33:BB34 BF33:BF34 BH33:BH34 BJ33:BJ34 BL33:BL34 BN33:BN34 BP33:BP34 BR33:BR34 BT33:BT34 BV33:BV34 BX33:BX34 BZ33:BZ34 CB33:CB34 CD33:CD34 CF33:CF34 CH33:CH34 CJ33:CJ34 CL33:CL34 CN33:CN34 CP33:CP34 CR33:CR34 CT33:CT34 CV33:CV34 DL33:DL34 CX33:CX34 CZ33:CZ34 DB33:DB34 DD33:DD34 DF33:DF34 DH33:DH34 DJ33:DJ34 DN33:DN34 DP33:DP34 DR33:DR34 DT33:DT34 DV33:DV34 DX33:DX34 DZ33:DZ34 EB33:EB34 ED33:ED34 EF33:EF34 EH33:EH34 EJ33:EJ34 EL33:EL34 EN33:EN34 EP33:EP34 ER33:ER34 ET33:ET34 EV33:EV34 EX33:EX34 EZ33:EZ34">
    <cfRule type="cellIs" dxfId="11015" priority="21479" operator="lessThan">
      <formula>0</formula>
    </cfRule>
    <cfRule type="cellIs" dxfId="11014" priority="21480" operator="greaterThan">
      <formula>0</formula>
    </cfRule>
  </conditionalFormatting>
  <conditionalFormatting sqref="H43:H44 J43:J44 L43:L44 N43:N44 P43:P44 R43:R44 T43:T44 V43:V44 X43:X44 Z43:Z44 AB43:AB44 AD43:AD44 AF43:AF44 AH43:AH44 AJ43:AJ44 AR43:AR44 AL43:AL44 AP43:AP44 AN43:AN44 AT43:AT44 BD43:BD44 AV43:AV44 AX43:AX44 AZ43:AZ44 BB43:BB44 BF43:BF44 BH43:BH44 BJ43:BJ44 BL43:BL44 BN43:BN44 BP43:BP44 BR43:BR44 BT43:BT44 BV43:BV44 BX43:BX44 BZ43:BZ44 CB43:CB44 CD43:CD44 CF43:CF44 CH43:CH44 CJ43:CJ44 CL43:CL44 CN43:CN44 CP43:CP44 CR43:CR44 CT43:CT44 CV43:CV44 DL43:DL44 CX43:CX44 CZ43:CZ44 DB43:DB44 DD43:DD44 DF43:DF44 DH43:DH44 DJ43:DJ44 DN43:DN44 DP43:DP44 DR43:DR44 DT43:DT44 DV43:DV44 DX43:DX44 DZ43:DZ44 EB43:EB44 ED43:ED44 EF43:EF44 EH43:EH44 EJ43:EJ44 EL43:EL44 EN43:EN44 EP43:EP44 ER43:ER44 ET43:ET44 EV43:EV44 EX43:EX44 EZ43:EZ44">
    <cfRule type="cellIs" dxfId="11013" priority="21474" operator="lessThan">
      <formula>0</formula>
    </cfRule>
    <cfRule type="cellIs" dxfId="11012" priority="21475" operator="greaterThan">
      <formula>0</formula>
    </cfRule>
  </conditionalFormatting>
  <conditionalFormatting sqref="EX32">
    <cfRule type="cellIs" dxfId="11011" priority="21340" operator="lessThan">
      <formula>0</formula>
    </cfRule>
    <cfRule type="cellIs" dxfId="11010" priority="21341" operator="greaterThan">
      <formula>0</formula>
    </cfRule>
  </conditionalFormatting>
  <conditionalFormatting sqref="ET28:ET29">
    <cfRule type="cellIs" dxfId="11009" priority="21460" operator="lessThan">
      <formula>0</formula>
    </cfRule>
    <cfRule type="cellIs" dxfId="11008" priority="21461" operator="greaterThan">
      <formula>0</formula>
    </cfRule>
  </conditionalFormatting>
  <conditionalFormatting sqref="EV28:EV29">
    <cfRule type="cellIs" dxfId="11007" priority="21458" operator="lessThan">
      <formula>0</formula>
    </cfRule>
    <cfRule type="cellIs" dxfId="11006" priority="21459" operator="greaterThan">
      <formula>0</formula>
    </cfRule>
  </conditionalFormatting>
  <conditionalFormatting sqref="EX28:EX29">
    <cfRule type="cellIs" dxfId="11005" priority="21456" operator="lessThan">
      <formula>0</formula>
    </cfRule>
    <cfRule type="cellIs" dxfId="11004" priority="21457" operator="greaterThan">
      <formula>0</formula>
    </cfRule>
  </conditionalFormatting>
  <conditionalFormatting sqref="BF30">
    <cfRule type="cellIs" dxfId="11003" priority="21454" operator="lessThan">
      <formula>0</formula>
    </cfRule>
    <cfRule type="cellIs" dxfId="11002" priority="21455" operator="greaterThan">
      <formula>0</formula>
    </cfRule>
  </conditionalFormatting>
  <conditionalFormatting sqref="BH30">
    <cfRule type="cellIs" dxfId="11001" priority="21452" operator="lessThan">
      <formula>0</formula>
    </cfRule>
    <cfRule type="cellIs" dxfId="11000" priority="21453" operator="greaterThan">
      <formula>0</formula>
    </cfRule>
  </conditionalFormatting>
  <conditionalFormatting sqref="BJ30">
    <cfRule type="cellIs" dxfId="10999" priority="21450" operator="lessThan">
      <formula>0</formula>
    </cfRule>
    <cfRule type="cellIs" dxfId="10998" priority="21451" operator="greaterThan">
      <formula>0</formula>
    </cfRule>
  </conditionalFormatting>
  <conditionalFormatting sqref="BL30">
    <cfRule type="cellIs" dxfId="10997" priority="21448" operator="lessThan">
      <formula>0</formula>
    </cfRule>
    <cfRule type="cellIs" dxfId="10996" priority="21449" operator="greaterThan">
      <formula>0</formula>
    </cfRule>
  </conditionalFormatting>
  <conditionalFormatting sqref="BN30">
    <cfRule type="cellIs" dxfId="10995" priority="21446" operator="lessThan">
      <formula>0</formula>
    </cfRule>
    <cfRule type="cellIs" dxfId="10994" priority="21447" operator="greaterThan">
      <formula>0</formula>
    </cfRule>
  </conditionalFormatting>
  <conditionalFormatting sqref="BP30">
    <cfRule type="cellIs" dxfId="10993" priority="21444" operator="lessThan">
      <formula>0</formula>
    </cfRule>
    <cfRule type="cellIs" dxfId="10992" priority="21445" operator="greaterThan">
      <formula>0</formula>
    </cfRule>
  </conditionalFormatting>
  <conditionalFormatting sqref="BR30">
    <cfRule type="cellIs" dxfId="10991" priority="21442" operator="lessThan">
      <formula>0</formula>
    </cfRule>
    <cfRule type="cellIs" dxfId="10990" priority="21443" operator="greaterThan">
      <formula>0</formula>
    </cfRule>
  </conditionalFormatting>
  <conditionalFormatting sqref="BT30">
    <cfRule type="cellIs" dxfId="10989" priority="21440" operator="lessThan">
      <formula>0</formula>
    </cfRule>
    <cfRule type="cellIs" dxfId="10988" priority="21441" operator="greaterThan">
      <formula>0</formula>
    </cfRule>
  </conditionalFormatting>
  <conditionalFormatting sqref="BV30">
    <cfRule type="cellIs" dxfId="10987" priority="21438" operator="lessThan">
      <formula>0</formula>
    </cfRule>
    <cfRule type="cellIs" dxfId="10986" priority="21439" operator="greaterThan">
      <formula>0</formula>
    </cfRule>
  </conditionalFormatting>
  <conditionalFormatting sqref="BX30">
    <cfRule type="cellIs" dxfId="10985" priority="21436" operator="lessThan">
      <formula>0</formula>
    </cfRule>
    <cfRule type="cellIs" dxfId="10984" priority="21437" operator="greaterThan">
      <formula>0</formula>
    </cfRule>
  </conditionalFormatting>
  <conditionalFormatting sqref="BZ30">
    <cfRule type="cellIs" dxfId="10983" priority="21434" operator="lessThan">
      <formula>0</formula>
    </cfRule>
    <cfRule type="cellIs" dxfId="10982" priority="21435" operator="greaterThan">
      <formula>0</formula>
    </cfRule>
  </conditionalFormatting>
  <conditionalFormatting sqref="CB30">
    <cfRule type="cellIs" dxfId="10981" priority="21432" operator="lessThan">
      <formula>0</formula>
    </cfRule>
    <cfRule type="cellIs" dxfId="10980" priority="21433" operator="greaterThan">
      <formula>0</formula>
    </cfRule>
  </conditionalFormatting>
  <conditionalFormatting sqref="CD30">
    <cfRule type="cellIs" dxfId="10979" priority="21430" operator="lessThan">
      <formula>0</formula>
    </cfRule>
    <cfRule type="cellIs" dxfId="10978" priority="21431" operator="greaterThan">
      <formula>0</formula>
    </cfRule>
  </conditionalFormatting>
  <conditionalFormatting sqref="CF30">
    <cfRule type="cellIs" dxfId="10977" priority="21428" operator="lessThan">
      <formula>0</formula>
    </cfRule>
    <cfRule type="cellIs" dxfId="10976" priority="21429" operator="greaterThan">
      <formula>0</formula>
    </cfRule>
  </conditionalFormatting>
  <conditionalFormatting sqref="CH30">
    <cfRule type="cellIs" dxfId="10975" priority="21426" operator="lessThan">
      <formula>0</formula>
    </cfRule>
    <cfRule type="cellIs" dxfId="10974" priority="21427" operator="greaterThan">
      <formula>0</formula>
    </cfRule>
  </conditionalFormatting>
  <conditionalFormatting sqref="CJ30">
    <cfRule type="cellIs" dxfId="10973" priority="21424" operator="lessThan">
      <formula>0</formula>
    </cfRule>
    <cfRule type="cellIs" dxfId="10972" priority="21425" operator="greaterThan">
      <formula>0</formula>
    </cfRule>
  </conditionalFormatting>
  <conditionalFormatting sqref="CL30">
    <cfRule type="cellIs" dxfId="10971" priority="21422" operator="lessThan">
      <formula>0</formula>
    </cfRule>
    <cfRule type="cellIs" dxfId="10970" priority="21423" operator="greaterThan">
      <formula>0</formula>
    </cfRule>
  </conditionalFormatting>
  <conditionalFormatting sqref="CN30">
    <cfRule type="cellIs" dxfId="10969" priority="21420" operator="lessThan">
      <formula>0</formula>
    </cfRule>
    <cfRule type="cellIs" dxfId="10968" priority="21421" operator="greaterThan">
      <formula>0</formula>
    </cfRule>
  </conditionalFormatting>
  <conditionalFormatting sqref="CP30">
    <cfRule type="cellIs" dxfId="10967" priority="21418" operator="lessThan">
      <formula>0</formula>
    </cfRule>
    <cfRule type="cellIs" dxfId="10966" priority="21419" operator="greaterThan">
      <formula>0</formula>
    </cfRule>
  </conditionalFormatting>
  <conditionalFormatting sqref="CR30">
    <cfRule type="cellIs" dxfId="10965" priority="21416" operator="lessThan">
      <formula>0</formula>
    </cfRule>
    <cfRule type="cellIs" dxfId="10964" priority="21417" operator="greaterThan">
      <formula>0</formula>
    </cfRule>
  </conditionalFormatting>
  <conditionalFormatting sqref="CT30">
    <cfRule type="cellIs" dxfId="10963" priority="21414" operator="lessThan">
      <formula>0</formula>
    </cfRule>
    <cfRule type="cellIs" dxfId="10962" priority="21415" operator="greaterThan">
      <formula>0</formula>
    </cfRule>
  </conditionalFormatting>
  <conditionalFormatting sqref="CV30">
    <cfRule type="cellIs" dxfId="10961" priority="21412" operator="lessThan">
      <formula>0</formula>
    </cfRule>
    <cfRule type="cellIs" dxfId="10960" priority="21413" operator="greaterThan">
      <formula>0</formula>
    </cfRule>
  </conditionalFormatting>
  <conditionalFormatting sqref="CX30">
    <cfRule type="cellIs" dxfId="10959" priority="21410" operator="lessThan">
      <formula>0</formula>
    </cfRule>
    <cfRule type="cellIs" dxfId="10958" priority="21411" operator="greaterThan">
      <formula>0</formula>
    </cfRule>
  </conditionalFormatting>
  <conditionalFormatting sqref="CZ30">
    <cfRule type="cellIs" dxfId="10957" priority="21408" operator="lessThan">
      <formula>0</formula>
    </cfRule>
    <cfRule type="cellIs" dxfId="10956" priority="21409" operator="greaterThan">
      <formula>0</formula>
    </cfRule>
  </conditionalFormatting>
  <conditionalFormatting sqref="DB30">
    <cfRule type="cellIs" dxfId="10955" priority="21406" operator="lessThan">
      <formula>0</formula>
    </cfRule>
    <cfRule type="cellIs" dxfId="10954" priority="21407" operator="greaterThan">
      <formula>0</formula>
    </cfRule>
  </conditionalFormatting>
  <conditionalFormatting sqref="DD30">
    <cfRule type="cellIs" dxfId="10953" priority="21404" operator="lessThan">
      <formula>0</formula>
    </cfRule>
    <cfRule type="cellIs" dxfId="10952" priority="21405" operator="greaterThan">
      <formula>0</formula>
    </cfRule>
  </conditionalFormatting>
  <conditionalFormatting sqref="DF30">
    <cfRule type="cellIs" dxfId="10951" priority="21402" operator="lessThan">
      <formula>0</formula>
    </cfRule>
    <cfRule type="cellIs" dxfId="10950" priority="21403" operator="greaterThan">
      <formula>0</formula>
    </cfRule>
  </conditionalFormatting>
  <conditionalFormatting sqref="DH30">
    <cfRule type="cellIs" dxfId="10949" priority="21400" operator="lessThan">
      <formula>0</formula>
    </cfRule>
    <cfRule type="cellIs" dxfId="10948" priority="21401" operator="greaterThan">
      <formula>0</formula>
    </cfRule>
  </conditionalFormatting>
  <conditionalFormatting sqref="DJ30">
    <cfRule type="cellIs" dxfId="10947" priority="21398" operator="lessThan">
      <formula>0</formula>
    </cfRule>
    <cfRule type="cellIs" dxfId="10946" priority="21399" operator="greaterThan">
      <formula>0</formula>
    </cfRule>
  </conditionalFormatting>
  <conditionalFormatting sqref="DL30">
    <cfRule type="cellIs" dxfId="10945" priority="21396" operator="lessThan">
      <formula>0</formula>
    </cfRule>
    <cfRule type="cellIs" dxfId="10944" priority="21397" operator="greaterThan">
      <formula>0</formula>
    </cfRule>
  </conditionalFormatting>
  <conditionalFormatting sqref="DN30">
    <cfRule type="cellIs" dxfId="10943" priority="21394" operator="lessThan">
      <formula>0</formula>
    </cfRule>
    <cfRule type="cellIs" dxfId="10942" priority="21395" operator="greaterThan">
      <formula>0</formula>
    </cfRule>
  </conditionalFormatting>
  <conditionalFormatting sqref="DP30">
    <cfRule type="cellIs" dxfId="10941" priority="21392" operator="lessThan">
      <formula>0</formula>
    </cfRule>
    <cfRule type="cellIs" dxfId="10940" priority="21393" operator="greaterThan">
      <formula>0</formula>
    </cfRule>
  </conditionalFormatting>
  <conditionalFormatting sqref="DR30">
    <cfRule type="cellIs" dxfId="10939" priority="21390" operator="lessThan">
      <formula>0</formula>
    </cfRule>
    <cfRule type="cellIs" dxfId="10938" priority="21391" operator="greaterThan">
      <formula>0</formula>
    </cfRule>
  </conditionalFormatting>
  <conditionalFormatting sqref="DT30">
    <cfRule type="cellIs" dxfId="10937" priority="21388" operator="lessThan">
      <formula>0</formula>
    </cfRule>
    <cfRule type="cellIs" dxfId="10936" priority="21389" operator="greaterThan">
      <formula>0</formula>
    </cfRule>
  </conditionalFormatting>
  <conditionalFormatting sqref="DV30">
    <cfRule type="cellIs" dxfId="10935" priority="21386" operator="lessThan">
      <formula>0</formula>
    </cfRule>
    <cfRule type="cellIs" dxfId="10934" priority="21387" operator="greaterThan">
      <formula>0</formula>
    </cfRule>
  </conditionalFormatting>
  <conditionalFormatting sqref="DX30">
    <cfRule type="cellIs" dxfId="10933" priority="21384" operator="lessThan">
      <formula>0</formula>
    </cfRule>
    <cfRule type="cellIs" dxfId="10932" priority="21385" operator="greaterThan">
      <formula>0</formula>
    </cfRule>
  </conditionalFormatting>
  <conditionalFormatting sqref="DZ30">
    <cfRule type="cellIs" dxfId="10931" priority="21382" operator="lessThan">
      <formula>0</formula>
    </cfRule>
    <cfRule type="cellIs" dxfId="10930" priority="21383" operator="greaterThan">
      <formula>0</formula>
    </cfRule>
  </conditionalFormatting>
  <conditionalFormatting sqref="EB30">
    <cfRule type="cellIs" dxfId="10929" priority="21380" operator="lessThan">
      <formula>0</formula>
    </cfRule>
    <cfRule type="cellIs" dxfId="10928" priority="21381" operator="greaterThan">
      <formula>0</formula>
    </cfRule>
  </conditionalFormatting>
  <conditionalFormatting sqref="ED30">
    <cfRule type="cellIs" dxfId="10927" priority="21378" operator="lessThan">
      <formula>0</formula>
    </cfRule>
    <cfRule type="cellIs" dxfId="10926" priority="21379" operator="greaterThan">
      <formula>0</formula>
    </cfRule>
  </conditionalFormatting>
  <conditionalFormatting sqref="EF30">
    <cfRule type="cellIs" dxfId="10925" priority="21376" operator="lessThan">
      <formula>0</formula>
    </cfRule>
    <cfRule type="cellIs" dxfId="10924" priority="21377" operator="greaterThan">
      <formula>0</formula>
    </cfRule>
  </conditionalFormatting>
  <conditionalFormatting sqref="EH30">
    <cfRule type="cellIs" dxfId="10923" priority="21374" operator="lessThan">
      <formula>0</formula>
    </cfRule>
    <cfRule type="cellIs" dxfId="10922" priority="21375" operator="greaterThan">
      <formula>0</formula>
    </cfRule>
  </conditionalFormatting>
  <conditionalFormatting sqref="EJ30">
    <cfRule type="cellIs" dxfId="10921" priority="21372" operator="lessThan">
      <formula>0</formula>
    </cfRule>
    <cfRule type="cellIs" dxfId="10920" priority="21373" operator="greaterThan">
      <formula>0</formula>
    </cfRule>
  </conditionalFormatting>
  <conditionalFormatting sqref="EL30">
    <cfRule type="cellIs" dxfId="10919" priority="21370" operator="lessThan">
      <formula>0</formula>
    </cfRule>
    <cfRule type="cellIs" dxfId="10918" priority="21371" operator="greaterThan">
      <formula>0</formula>
    </cfRule>
  </conditionalFormatting>
  <conditionalFormatting sqref="EN30">
    <cfRule type="cellIs" dxfId="10917" priority="21368" operator="lessThan">
      <formula>0</formula>
    </cfRule>
    <cfRule type="cellIs" dxfId="10916" priority="21369" operator="greaterThan">
      <formula>0</formula>
    </cfRule>
  </conditionalFormatting>
  <conditionalFormatting sqref="EP30">
    <cfRule type="cellIs" dxfId="10915" priority="21366" operator="lessThan">
      <formula>0</formula>
    </cfRule>
    <cfRule type="cellIs" dxfId="10914" priority="21367" operator="greaterThan">
      <formula>0</formula>
    </cfRule>
  </conditionalFormatting>
  <conditionalFormatting sqref="ER30">
    <cfRule type="cellIs" dxfId="10913" priority="21364" operator="lessThan">
      <formula>0</formula>
    </cfRule>
    <cfRule type="cellIs" dxfId="10912" priority="21365" operator="greaterThan">
      <formula>0</formula>
    </cfRule>
  </conditionalFormatting>
  <conditionalFormatting sqref="ET30">
    <cfRule type="cellIs" dxfId="10911" priority="21362" operator="lessThan">
      <formula>0</formula>
    </cfRule>
    <cfRule type="cellIs" dxfId="10910" priority="21363" operator="greaterThan">
      <formula>0</formula>
    </cfRule>
  </conditionalFormatting>
  <conditionalFormatting sqref="EV30">
    <cfRule type="cellIs" dxfId="10909" priority="21360" operator="lessThan">
      <formula>0</formula>
    </cfRule>
    <cfRule type="cellIs" dxfId="10908" priority="21361" operator="greaterThan">
      <formula>0</formula>
    </cfRule>
  </conditionalFormatting>
  <conditionalFormatting sqref="EX30">
    <cfRule type="cellIs" dxfId="10907" priority="21358" operator="lessThan">
      <formula>0</formula>
    </cfRule>
    <cfRule type="cellIs" dxfId="10906" priority="21359" operator="greaterThan">
      <formula>0</formula>
    </cfRule>
  </conditionalFormatting>
  <conditionalFormatting sqref="ET31">
    <cfRule type="cellIs" dxfId="10905" priority="21356" operator="lessThan">
      <formula>0</formula>
    </cfRule>
    <cfRule type="cellIs" dxfId="10904" priority="21357" operator="greaterThan">
      <formula>0</formula>
    </cfRule>
  </conditionalFormatting>
  <conditionalFormatting sqref="EV31">
    <cfRule type="cellIs" dxfId="10903" priority="21354" operator="lessThan">
      <formula>0</formula>
    </cfRule>
    <cfRule type="cellIs" dxfId="10902" priority="21355" operator="greaterThan">
      <formula>0</formula>
    </cfRule>
  </conditionalFormatting>
  <conditionalFormatting sqref="EX31">
    <cfRule type="cellIs" dxfId="10901" priority="21352" operator="lessThan">
      <formula>0</formula>
    </cfRule>
    <cfRule type="cellIs" dxfId="10900" priority="21353" operator="greaterThan">
      <formula>0</formula>
    </cfRule>
  </conditionalFormatting>
  <conditionalFormatting sqref="ET29">
    <cfRule type="cellIs" dxfId="10899" priority="21350" operator="lessThan">
      <formula>0</formula>
    </cfRule>
    <cfRule type="cellIs" dxfId="10898" priority="21351" operator="greaterThan">
      <formula>0</formula>
    </cfRule>
  </conditionalFormatting>
  <conditionalFormatting sqref="EV29">
    <cfRule type="cellIs" dxfId="10897" priority="21348" operator="lessThan">
      <formula>0</formula>
    </cfRule>
    <cfRule type="cellIs" dxfId="10896" priority="21349" operator="greaterThan">
      <formula>0</formula>
    </cfRule>
  </conditionalFormatting>
  <conditionalFormatting sqref="EX29">
    <cfRule type="cellIs" dxfId="10895" priority="21346" operator="lessThan">
      <formula>0</formula>
    </cfRule>
    <cfRule type="cellIs" dxfId="10894" priority="21347" operator="greaterThan">
      <formula>0</formula>
    </cfRule>
  </conditionalFormatting>
  <conditionalFormatting sqref="ET32">
    <cfRule type="cellIs" dxfId="10893" priority="21344" operator="lessThan">
      <formula>0</formula>
    </cfRule>
    <cfRule type="cellIs" dxfId="10892" priority="21345" operator="greaterThan">
      <formula>0</formula>
    </cfRule>
  </conditionalFormatting>
  <conditionalFormatting sqref="EV32">
    <cfRule type="cellIs" dxfId="10891" priority="21342" operator="lessThan">
      <formula>0</formula>
    </cfRule>
    <cfRule type="cellIs" dxfId="10890" priority="21343" operator="greaterThan">
      <formula>0</formula>
    </cfRule>
  </conditionalFormatting>
  <conditionalFormatting sqref="ET38:ET39">
    <cfRule type="cellIs" dxfId="10889" priority="21338" operator="lessThan">
      <formula>0</formula>
    </cfRule>
    <cfRule type="cellIs" dxfId="10888" priority="21339" operator="greaterThan">
      <formula>0</formula>
    </cfRule>
  </conditionalFormatting>
  <conditionalFormatting sqref="EV38:EV39">
    <cfRule type="cellIs" dxfId="10887" priority="21336" operator="lessThan">
      <formula>0</formula>
    </cfRule>
    <cfRule type="cellIs" dxfId="10886" priority="21337" operator="greaterThan">
      <formula>0</formula>
    </cfRule>
  </conditionalFormatting>
  <conditionalFormatting sqref="EX38:EX39">
    <cfRule type="cellIs" dxfId="10885" priority="21334" operator="lessThan">
      <formula>0</formula>
    </cfRule>
    <cfRule type="cellIs" dxfId="10884" priority="21335" operator="greaterThan">
      <formula>0</formula>
    </cfRule>
  </conditionalFormatting>
  <conditionalFormatting sqref="ET42">
    <cfRule type="cellIs" dxfId="10883" priority="21326" operator="lessThan">
      <formula>0</formula>
    </cfRule>
    <cfRule type="cellIs" dxfId="10882" priority="21327" operator="greaterThan">
      <formula>0</formula>
    </cfRule>
  </conditionalFormatting>
  <conditionalFormatting sqref="EV42">
    <cfRule type="cellIs" dxfId="10881" priority="21324" operator="lessThan">
      <formula>0</formula>
    </cfRule>
    <cfRule type="cellIs" dxfId="10880" priority="21325" operator="greaterThan">
      <formula>0</formula>
    </cfRule>
  </conditionalFormatting>
  <conditionalFormatting sqref="EX42">
    <cfRule type="cellIs" dxfId="10879" priority="21322" operator="lessThan">
      <formula>0</formula>
    </cfRule>
    <cfRule type="cellIs" dxfId="10878" priority="21323" operator="greaterThan">
      <formula>0</formula>
    </cfRule>
  </conditionalFormatting>
  <conditionalFormatting sqref="BX68">
    <cfRule type="cellIs" dxfId="10877" priority="20829" operator="lessThan">
      <formula>0</formula>
    </cfRule>
    <cfRule type="cellIs" dxfId="10876" priority="20830" operator="greaterThan">
      <formula>0</formula>
    </cfRule>
  </conditionalFormatting>
  <conditionalFormatting sqref="BZ68">
    <cfRule type="cellIs" dxfId="10875" priority="20827" operator="lessThan">
      <formula>0</formula>
    </cfRule>
    <cfRule type="cellIs" dxfId="10874" priority="20828" operator="greaterThan">
      <formula>0</formula>
    </cfRule>
  </conditionalFormatting>
  <conditionalFormatting sqref="CB68">
    <cfRule type="cellIs" dxfId="10873" priority="20825" operator="lessThan">
      <formula>0</formula>
    </cfRule>
    <cfRule type="cellIs" dxfId="10872" priority="20826" operator="greaterThan">
      <formula>0</formula>
    </cfRule>
  </conditionalFormatting>
  <conditionalFormatting sqref="CD68">
    <cfRule type="cellIs" dxfId="10871" priority="20823" operator="lessThan">
      <formula>0</formula>
    </cfRule>
    <cfRule type="cellIs" dxfId="10870" priority="20824" operator="greaterThan">
      <formula>0</formula>
    </cfRule>
  </conditionalFormatting>
  <conditionalFormatting sqref="CF68">
    <cfRule type="cellIs" dxfId="10869" priority="20821" operator="lessThan">
      <formula>0</formula>
    </cfRule>
    <cfRule type="cellIs" dxfId="10868" priority="20822" operator="greaterThan">
      <formula>0</formula>
    </cfRule>
  </conditionalFormatting>
  <conditionalFormatting sqref="CH68">
    <cfRule type="cellIs" dxfId="10867" priority="20819" operator="lessThan">
      <formula>0</formula>
    </cfRule>
    <cfRule type="cellIs" dxfId="10866" priority="20820" operator="greaterThan">
      <formula>0</formula>
    </cfRule>
  </conditionalFormatting>
  <conditionalFormatting sqref="CJ68">
    <cfRule type="cellIs" dxfId="10865" priority="20817" operator="lessThan">
      <formula>0</formula>
    </cfRule>
    <cfRule type="cellIs" dxfId="10864" priority="20818" operator="greaterThan">
      <formula>0</formula>
    </cfRule>
  </conditionalFormatting>
  <conditionalFormatting sqref="CL68">
    <cfRule type="cellIs" dxfId="10863" priority="20815" operator="lessThan">
      <formula>0</formula>
    </cfRule>
    <cfRule type="cellIs" dxfId="10862" priority="20816" operator="greaterThan">
      <formula>0</formula>
    </cfRule>
  </conditionalFormatting>
  <conditionalFormatting sqref="CN68">
    <cfRule type="cellIs" dxfId="10861" priority="20813" operator="lessThan">
      <formula>0</formula>
    </cfRule>
    <cfRule type="cellIs" dxfId="10860" priority="20814" operator="greaterThan">
      <formula>0</formula>
    </cfRule>
  </conditionalFormatting>
  <conditionalFormatting sqref="CP68">
    <cfRule type="cellIs" dxfId="10859" priority="20811" operator="lessThan">
      <formula>0</formula>
    </cfRule>
    <cfRule type="cellIs" dxfId="10858" priority="20812" operator="greaterThan">
      <formula>0</formula>
    </cfRule>
  </conditionalFormatting>
  <conditionalFormatting sqref="CR68">
    <cfRule type="cellIs" dxfId="10857" priority="20809" operator="lessThan">
      <formula>0</formula>
    </cfRule>
    <cfRule type="cellIs" dxfId="10856" priority="20810" operator="greaterThan">
      <formula>0</formula>
    </cfRule>
  </conditionalFormatting>
  <conditionalFormatting sqref="CT68">
    <cfRule type="cellIs" dxfId="10855" priority="20807" operator="lessThan">
      <formula>0</formula>
    </cfRule>
    <cfRule type="cellIs" dxfId="10854" priority="20808" operator="greaterThan">
      <formula>0</formula>
    </cfRule>
  </conditionalFormatting>
  <conditionalFormatting sqref="CV68">
    <cfRule type="cellIs" dxfId="10853" priority="20805" operator="lessThan">
      <formula>0</formula>
    </cfRule>
    <cfRule type="cellIs" dxfId="10852" priority="20806" operator="greaterThan">
      <formula>0</formula>
    </cfRule>
  </conditionalFormatting>
  <conditionalFormatting sqref="CX68">
    <cfRule type="cellIs" dxfId="10851" priority="20803" operator="lessThan">
      <formula>0</formula>
    </cfRule>
    <cfRule type="cellIs" dxfId="10850" priority="20804" operator="greaterThan">
      <formula>0</formula>
    </cfRule>
  </conditionalFormatting>
  <conditionalFormatting sqref="CZ68">
    <cfRule type="cellIs" dxfId="10849" priority="20801" operator="lessThan">
      <formula>0</formula>
    </cfRule>
    <cfRule type="cellIs" dxfId="10848" priority="20802" operator="greaterThan">
      <formula>0</formula>
    </cfRule>
  </conditionalFormatting>
  <conditionalFormatting sqref="DB68">
    <cfRule type="cellIs" dxfId="10847" priority="20799" operator="lessThan">
      <formula>0</formula>
    </cfRule>
    <cfRule type="cellIs" dxfId="10846" priority="20800" operator="greaterThan">
      <formula>0</formula>
    </cfRule>
  </conditionalFormatting>
  <conditionalFormatting sqref="DD68">
    <cfRule type="cellIs" dxfId="10845" priority="20797" operator="lessThan">
      <formula>0</formula>
    </cfRule>
    <cfRule type="cellIs" dxfId="10844" priority="20798" operator="greaterThan">
      <formula>0</formula>
    </cfRule>
  </conditionalFormatting>
  <conditionalFormatting sqref="DF68">
    <cfRule type="cellIs" dxfId="10843" priority="20795" operator="lessThan">
      <formula>0</formula>
    </cfRule>
    <cfRule type="cellIs" dxfId="10842" priority="20796" operator="greaterThan">
      <formula>0</formula>
    </cfRule>
  </conditionalFormatting>
  <conditionalFormatting sqref="DH68">
    <cfRule type="cellIs" dxfId="10841" priority="20793" operator="lessThan">
      <formula>0</formula>
    </cfRule>
    <cfRule type="cellIs" dxfId="10840" priority="20794" operator="greaterThan">
      <formula>0</formula>
    </cfRule>
  </conditionalFormatting>
  <conditionalFormatting sqref="DJ68">
    <cfRule type="cellIs" dxfId="10839" priority="20791" operator="lessThan">
      <formula>0</formula>
    </cfRule>
    <cfRule type="cellIs" dxfId="10838" priority="20792" operator="greaterThan">
      <formula>0</formula>
    </cfRule>
  </conditionalFormatting>
  <conditionalFormatting sqref="DL68">
    <cfRule type="cellIs" dxfId="10837" priority="20789" operator="lessThan">
      <formula>0</formula>
    </cfRule>
    <cfRule type="cellIs" dxfId="10836" priority="20790" operator="greaterThan">
      <formula>0</formula>
    </cfRule>
  </conditionalFormatting>
  <conditionalFormatting sqref="DN68">
    <cfRule type="cellIs" dxfId="10835" priority="20787" operator="lessThan">
      <formula>0</formula>
    </cfRule>
    <cfRule type="cellIs" dxfId="10834" priority="20788" operator="greaterThan">
      <formula>0</formula>
    </cfRule>
  </conditionalFormatting>
  <conditionalFormatting sqref="DP68">
    <cfRule type="cellIs" dxfId="10833" priority="20785" operator="lessThan">
      <formula>0</formula>
    </cfRule>
    <cfRule type="cellIs" dxfId="10832" priority="20786" operator="greaterThan">
      <formula>0</formula>
    </cfRule>
  </conditionalFormatting>
  <conditionalFormatting sqref="DR68">
    <cfRule type="cellIs" dxfId="10831" priority="20783" operator="lessThan">
      <formula>0</formula>
    </cfRule>
    <cfRule type="cellIs" dxfId="10830" priority="20784" operator="greaterThan">
      <formula>0</formula>
    </cfRule>
  </conditionalFormatting>
  <conditionalFormatting sqref="DT68">
    <cfRule type="cellIs" dxfId="10829" priority="20781" operator="lessThan">
      <formula>0</formula>
    </cfRule>
    <cfRule type="cellIs" dxfId="10828" priority="20782" operator="greaterThan">
      <formula>0</formula>
    </cfRule>
  </conditionalFormatting>
  <conditionalFormatting sqref="DV68">
    <cfRule type="cellIs" dxfId="10827" priority="20779" operator="lessThan">
      <formula>0</formula>
    </cfRule>
    <cfRule type="cellIs" dxfId="10826" priority="20780" operator="greaterThan">
      <formula>0</formula>
    </cfRule>
  </conditionalFormatting>
  <conditionalFormatting sqref="DX68">
    <cfRule type="cellIs" dxfId="10825" priority="20777" operator="lessThan">
      <formula>0</formula>
    </cfRule>
    <cfRule type="cellIs" dxfId="10824" priority="20778" operator="greaterThan">
      <formula>0</formula>
    </cfRule>
  </conditionalFormatting>
  <conditionalFormatting sqref="DZ68">
    <cfRule type="cellIs" dxfId="10823" priority="20775" operator="lessThan">
      <formula>0</formula>
    </cfRule>
    <cfRule type="cellIs" dxfId="10822" priority="20776" operator="greaterThan">
      <formula>0</formula>
    </cfRule>
  </conditionalFormatting>
  <conditionalFormatting sqref="EB68">
    <cfRule type="cellIs" dxfId="10821" priority="20773" operator="lessThan">
      <formula>0</formula>
    </cfRule>
    <cfRule type="cellIs" dxfId="10820" priority="20774" operator="greaterThan">
      <formula>0</formula>
    </cfRule>
  </conditionalFormatting>
  <conditionalFormatting sqref="ED68">
    <cfRule type="cellIs" dxfId="10819" priority="20771" operator="lessThan">
      <formula>0</formula>
    </cfRule>
    <cfRule type="cellIs" dxfId="10818" priority="20772" operator="greaterThan">
      <formula>0</formula>
    </cfRule>
  </conditionalFormatting>
  <conditionalFormatting sqref="EF68">
    <cfRule type="cellIs" dxfId="10817" priority="20769" operator="lessThan">
      <formula>0</formula>
    </cfRule>
    <cfRule type="cellIs" dxfId="10816" priority="20770" operator="greaterThan">
      <formula>0</formula>
    </cfRule>
  </conditionalFormatting>
  <conditionalFormatting sqref="EH68">
    <cfRule type="cellIs" dxfId="10815" priority="20767" operator="lessThan">
      <formula>0</formula>
    </cfRule>
    <cfRule type="cellIs" dxfId="10814" priority="20768" operator="greaterThan">
      <formula>0</formula>
    </cfRule>
  </conditionalFormatting>
  <conditionalFormatting sqref="EJ68">
    <cfRule type="cellIs" dxfId="10813" priority="20765" operator="lessThan">
      <formula>0</formula>
    </cfRule>
    <cfRule type="cellIs" dxfId="10812" priority="20766" operator="greaterThan">
      <formula>0</formula>
    </cfRule>
  </conditionalFormatting>
  <conditionalFormatting sqref="EL68">
    <cfRule type="cellIs" dxfId="10811" priority="20763" operator="lessThan">
      <formula>0</formula>
    </cfRule>
    <cfRule type="cellIs" dxfId="10810" priority="20764" operator="greaterThan">
      <formula>0</formula>
    </cfRule>
  </conditionalFormatting>
  <conditionalFormatting sqref="EN68">
    <cfRule type="cellIs" dxfId="10809" priority="20761" operator="lessThan">
      <formula>0</formula>
    </cfRule>
    <cfRule type="cellIs" dxfId="10808" priority="20762" operator="greaterThan">
      <formula>0</formula>
    </cfRule>
  </conditionalFormatting>
  <conditionalFormatting sqref="FB11 FB19 FB3 FB24:FB32 FB34:FB42 FB69:FB79">
    <cfRule type="cellIs" dxfId="10807" priority="20753" operator="lessThan">
      <formula>0</formula>
    </cfRule>
    <cfRule type="cellIs" dxfId="10806" priority="20754" operator="greaterThan">
      <formula>0</formula>
    </cfRule>
  </conditionalFormatting>
  <conditionalFormatting sqref="FB4:FB5">
    <cfRule type="cellIs" dxfId="10805" priority="20745" operator="lessThan">
      <formula>0</formula>
    </cfRule>
    <cfRule type="cellIs" dxfId="10804" priority="20746" operator="greaterThan">
      <formula>0</formula>
    </cfRule>
  </conditionalFormatting>
  <conditionalFormatting sqref="FB6 FB9:FB11">
    <cfRule type="cellIs" dxfId="10803" priority="20743" operator="lessThan">
      <formula>0</formula>
    </cfRule>
    <cfRule type="cellIs" dxfId="10802" priority="20744" operator="greaterThan">
      <formula>0</formula>
    </cfRule>
  </conditionalFormatting>
  <conditionalFormatting sqref="FB12:FB13">
    <cfRule type="cellIs" dxfId="10801" priority="20741" operator="lessThan">
      <formula>0</formula>
    </cfRule>
    <cfRule type="cellIs" dxfId="10800" priority="20742" operator="greaterThan">
      <formula>0</formula>
    </cfRule>
  </conditionalFormatting>
  <conditionalFormatting sqref="FB14:FB19">
    <cfRule type="cellIs" dxfId="10799" priority="20739" operator="lessThan">
      <formula>0</formula>
    </cfRule>
    <cfRule type="cellIs" dxfId="10798" priority="20740" operator="greaterThan">
      <formula>0</formula>
    </cfRule>
  </conditionalFormatting>
  <conditionalFormatting sqref="FB20:FB22">
    <cfRule type="cellIs" dxfId="10797" priority="20737" operator="lessThan">
      <formula>0</formula>
    </cfRule>
    <cfRule type="cellIs" dxfId="10796" priority="20738" operator="greaterThan">
      <formula>0</formula>
    </cfRule>
  </conditionalFormatting>
  <conditionalFormatting sqref="FB45:FB46">
    <cfRule type="cellIs" dxfId="10795" priority="20751" operator="lessThan">
      <formula>0</formula>
    </cfRule>
    <cfRule type="cellIs" dxfId="10794" priority="20752" operator="greaterThan">
      <formula>0</formula>
    </cfRule>
  </conditionalFormatting>
  <conditionalFormatting sqref="FB7">
    <cfRule type="cellIs" dxfId="10793" priority="20723" operator="lessThan">
      <formula>0</formula>
    </cfRule>
    <cfRule type="cellIs" dxfId="10792" priority="20724" operator="greaterThan">
      <formula>0</formula>
    </cfRule>
  </conditionalFormatting>
  <conditionalFormatting sqref="FB7">
    <cfRule type="cellIs" dxfId="10791" priority="20721" operator="lessThan">
      <formula>0</formula>
    </cfRule>
    <cfRule type="cellIs" dxfId="10790" priority="20722" operator="greaterThan">
      <formula>0</formula>
    </cfRule>
  </conditionalFormatting>
  <conditionalFormatting sqref="FB8">
    <cfRule type="cellIs" dxfId="10789" priority="20719" operator="lessThan">
      <formula>0</formula>
    </cfRule>
    <cfRule type="cellIs" dxfId="10788" priority="20720" operator="greaterThan">
      <formula>0</formula>
    </cfRule>
  </conditionalFormatting>
  <conditionalFormatting sqref="FB47">
    <cfRule type="cellIs" dxfId="10787" priority="20717" operator="lessThan">
      <formula>0</formula>
    </cfRule>
    <cfRule type="cellIs" dxfId="10786" priority="20718" operator="greaterThan">
      <formula>0</formula>
    </cfRule>
  </conditionalFormatting>
  <conditionalFormatting sqref="FB44">
    <cfRule type="cellIs" dxfId="10785" priority="20715" operator="lessThan">
      <formula>0</formula>
    </cfRule>
    <cfRule type="cellIs" dxfId="10784" priority="20716" operator="greaterThan">
      <formula>0</formula>
    </cfRule>
  </conditionalFormatting>
  <conditionalFormatting sqref="FB23:FB24">
    <cfRule type="cellIs" dxfId="10783" priority="20711" operator="lessThan">
      <formula>0</formula>
    </cfRule>
    <cfRule type="cellIs" dxfId="10782" priority="20712" operator="greaterThan">
      <formula>0</formula>
    </cfRule>
  </conditionalFormatting>
  <conditionalFormatting sqref="FB33:FB34">
    <cfRule type="cellIs" dxfId="10781" priority="20709" operator="lessThan">
      <formula>0</formula>
    </cfRule>
    <cfRule type="cellIs" dxfId="10780" priority="20710" operator="greaterThan">
      <formula>0</formula>
    </cfRule>
  </conditionalFormatting>
  <conditionalFormatting sqref="FB43:FB44">
    <cfRule type="cellIs" dxfId="10779" priority="20707" operator="lessThan">
      <formula>0</formula>
    </cfRule>
    <cfRule type="cellIs" dxfId="10778" priority="20708" operator="greaterThan">
      <formula>0</formula>
    </cfRule>
  </conditionalFormatting>
  <conditionalFormatting sqref="FD11 FD19 FD3 FD24:FD32 FD34:FD42 FD69:FD79">
    <cfRule type="cellIs" dxfId="10777" priority="20703" operator="lessThan">
      <formula>0</formula>
    </cfRule>
    <cfRule type="cellIs" dxfId="10776" priority="20704" operator="greaterThan">
      <formula>0</formula>
    </cfRule>
  </conditionalFormatting>
  <conditionalFormatting sqref="FD4:FD5">
    <cfRule type="cellIs" dxfId="10775" priority="20695" operator="lessThan">
      <formula>0</formula>
    </cfRule>
    <cfRule type="cellIs" dxfId="10774" priority="20696" operator="greaterThan">
      <formula>0</formula>
    </cfRule>
  </conditionalFormatting>
  <conditionalFormatting sqref="FD6 FD9:FD11">
    <cfRule type="cellIs" dxfId="10773" priority="20693" operator="lessThan">
      <formula>0</formula>
    </cfRule>
    <cfRule type="cellIs" dxfId="10772" priority="20694" operator="greaterThan">
      <formula>0</formula>
    </cfRule>
  </conditionalFormatting>
  <conditionalFormatting sqref="FD12:FD13">
    <cfRule type="cellIs" dxfId="10771" priority="20691" operator="lessThan">
      <formula>0</formula>
    </cfRule>
    <cfRule type="cellIs" dxfId="10770" priority="20692" operator="greaterThan">
      <formula>0</formula>
    </cfRule>
  </conditionalFormatting>
  <conditionalFormatting sqref="FD14:FD19">
    <cfRule type="cellIs" dxfId="10769" priority="20689" operator="lessThan">
      <formula>0</formula>
    </cfRule>
    <cfRule type="cellIs" dxfId="10768" priority="20690" operator="greaterThan">
      <formula>0</formula>
    </cfRule>
  </conditionalFormatting>
  <conditionalFormatting sqref="FD20:FD22">
    <cfRule type="cellIs" dxfId="10767" priority="20687" operator="lessThan">
      <formula>0</formula>
    </cfRule>
    <cfRule type="cellIs" dxfId="10766" priority="20688" operator="greaterThan">
      <formula>0</formula>
    </cfRule>
  </conditionalFormatting>
  <conditionalFormatting sqref="FD45:FD46">
    <cfRule type="cellIs" dxfId="10765" priority="20701" operator="lessThan">
      <formula>0</formula>
    </cfRule>
    <cfRule type="cellIs" dxfId="10764" priority="20702" operator="greaterThan">
      <formula>0</formula>
    </cfRule>
  </conditionalFormatting>
  <conditionalFormatting sqref="FD7">
    <cfRule type="cellIs" dxfId="10763" priority="20673" operator="lessThan">
      <formula>0</formula>
    </cfRule>
    <cfRule type="cellIs" dxfId="10762" priority="20674" operator="greaterThan">
      <formula>0</formula>
    </cfRule>
  </conditionalFormatting>
  <conditionalFormatting sqref="FD7">
    <cfRule type="cellIs" dxfId="10761" priority="20671" operator="lessThan">
      <formula>0</formula>
    </cfRule>
    <cfRule type="cellIs" dxfId="10760" priority="20672" operator="greaterThan">
      <formula>0</formula>
    </cfRule>
  </conditionalFormatting>
  <conditionalFormatting sqref="FD8">
    <cfRule type="cellIs" dxfId="10759" priority="20669" operator="lessThan">
      <formula>0</formula>
    </cfRule>
    <cfRule type="cellIs" dxfId="10758" priority="20670" operator="greaterThan">
      <formula>0</formula>
    </cfRule>
  </conditionalFormatting>
  <conditionalFormatting sqref="FD47">
    <cfRule type="cellIs" dxfId="10757" priority="20667" operator="lessThan">
      <formula>0</formula>
    </cfRule>
    <cfRule type="cellIs" dxfId="10756" priority="20668" operator="greaterThan">
      <formula>0</formula>
    </cfRule>
  </conditionalFormatting>
  <conditionalFormatting sqref="FD44">
    <cfRule type="cellIs" dxfId="10755" priority="20665" operator="lessThan">
      <formula>0</formula>
    </cfRule>
    <cfRule type="cellIs" dxfId="10754" priority="20666" operator="greaterThan">
      <formula>0</formula>
    </cfRule>
  </conditionalFormatting>
  <conditionalFormatting sqref="FD23:FD24">
    <cfRule type="cellIs" dxfId="10753" priority="20661" operator="lessThan">
      <formula>0</formula>
    </cfRule>
    <cfRule type="cellIs" dxfId="10752" priority="20662" operator="greaterThan">
      <formula>0</formula>
    </cfRule>
  </conditionalFormatting>
  <conditionalFormatting sqref="FD33:FD34">
    <cfRule type="cellIs" dxfId="10751" priority="20659" operator="lessThan">
      <formula>0</formula>
    </cfRule>
    <cfRule type="cellIs" dxfId="10750" priority="20660" operator="greaterThan">
      <formula>0</formula>
    </cfRule>
  </conditionalFormatting>
  <conditionalFormatting sqref="FD43:FD44">
    <cfRule type="cellIs" dxfId="10749" priority="20657" operator="lessThan">
      <formula>0</formula>
    </cfRule>
    <cfRule type="cellIs" dxfId="10748" priority="20658" operator="greaterThan">
      <formula>0</formula>
    </cfRule>
  </conditionalFormatting>
  <conditionalFormatting sqref="FF11 FF19 FF3 FF24:FF32 FF34:FF42 FF69:FF79">
    <cfRule type="cellIs" dxfId="10747" priority="20653" operator="lessThan">
      <formula>0</formula>
    </cfRule>
    <cfRule type="cellIs" dxfId="10746" priority="20654" operator="greaterThan">
      <formula>0</formula>
    </cfRule>
  </conditionalFormatting>
  <conditionalFormatting sqref="FF4:FF5">
    <cfRule type="cellIs" dxfId="10745" priority="20645" operator="lessThan">
      <formula>0</formula>
    </cfRule>
    <cfRule type="cellIs" dxfId="10744" priority="20646" operator="greaterThan">
      <formula>0</formula>
    </cfRule>
  </conditionalFormatting>
  <conditionalFormatting sqref="FF6 FF9:FF11">
    <cfRule type="cellIs" dxfId="10743" priority="20643" operator="lessThan">
      <formula>0</formula>
    </cfRule>
    <cfRule type="cellIs" dxfId="10742" priority="20644" operator="greaterThan">
      <formula>0</formula>
    </cfRule>
  </conditionalFormatting>
  <conditionalFormatting sqref="FF12:FF13">
    <cfRule type="cellIs" dxfId="10741" priority="20641" operator="lessThan">
      <formula>0</formula>
    </cfRule>
    <cfRule type="cellIs" dxfId="10740" priority="20642" operator="greaterThan">
      <formula>0</formula>
    </cfRule>
  </conditionalFormatting>
  <conditionalFormatting sqref="FF14:FF19">
    <cfRule type="cellIs" dxfId="10739" priority="20639" operator="lessThan">
      <formula>0</formula>
    </cfRule>
    <cfRule type="cellIs" dxfId="10738" priority="20640" operator="greaterThan">
      <formula>0</formula>
    </cfRule>
  </conditionalFormatting>
  <conditionalFormatting sqref="FF20:FF22">
    <cfRule type="cellIs" dxfId="10737" priority="20637" operator="lessThan">
      <formula>0</formula>
    </cfRule>
    <cfRule type="cellIs" dxfId="10736" priority="20638" operator="greaterThan">
      <formula>0</formula>
    </cfRule>
  </conditionalFormatting>
  <conditionalFormatting sqref="FF45:FF46">
    <cfRule type="cellIs" dxfId="10735" priority="20651" operator="lessThan">
      <formula>0</formula>
    </cfRule>
    <cfRule type="cellIs" dxfId="10734" priority="20652" operator="greaterThan">
      <formula>0</formula>
    </cfRule>
  </conditionalFormatting>
  <conditionalFormatting sqref="FF7">
    <cfRule type="cellIs" dxfId="10733" priority="20623" operator="lessThan">
      <formula>0</formula>
    </cfRule>
    <cfRule type="cellIs" dxfId="10732" priority="20624" operator="greaterThan">
      <formula>0</formula>
    </cfRule>
  </conditionalFormatting>
  <conditionalFormatting sqref="FF7">
    <cfRule type="cellIs" dxfId="10731" priority="20621" operator="lessThan">
      <formula>0</formula>
    </cfRule>
    <cfRule type="cellIs" dxfId="10730" priority="20622" operator="greaterThan">
      <formula>0</formula>
    </cfRule>
  </conditionalFormatting>
  <conditionalFormatting sqref="FF8">
    <cfRule type="cellIs" dxfId="10729" priority="20619" operator="lessThan">
      <formula>0</formula>
    </cfRule>
    <cfRule type="cellIs" dxfId="10728" priority="20620" operator="greaterThan">
      <formula>0</formula>
    </cfRule>
  </conditionalFormatting>
  <conditionalFormatting sqref="FF47">
    <cfRule type="cellIs" dxfId="10727" priority="20617" operator="lessThan">
      <formula>0</formula>
    </cfRule>
    <cfRule type="cellIs" dxfId="10726" priority="20618" operator="greaterThan">
      <formula>0</formula>
    </cfRule>
  </conditionalFormatting>
  <conditionalFormatting sqref="FF44">
    <cfRule type="cellIs" dxfId="10725" priority="20615" operator="lessThan">
      <formula>0</formula>
    </cfRule>
    <cfRule type="cellIs" dxfId="10724" priority="20616" operator="greaterThan">
      <formula>0</formula>
    </cfRule>
  </conditionalFormatting>
  <conditionalFormatting sqref="FF23:FF24">
    <cfRule type="cellIs" dxfId="10723" priority="20611" operator="lessThan">
      <formula>0</formula>
    </cfRule>
    <cfRule type="cellIs" dxfId="10722" priority="20612" operator="greaterThan">
      <formula>0</formula>
    </cfRule>
  </conditionalFormatting>
  <conditionalFormatting sqref="FF33:FF34">
    <cfRule type="cellIs" dxfId="10721" priority="20609" operator="lessThan">
      <formula>0</formula>
    </cfRule>
    <cfRule type="cellIs" dxfId="10720" priority="20610" operator="greaterThan">
      <formula>0</formula>
    </cfRule>
  </conditionalFormatting>
  <conditionalFormatting sqref="FF43:FF44">
    <cfRule type="cellIs" dxfId="10719" priority="20607" operator="lessThan">
      <formula>0</formula>
    </cfRule>
    <cfRule type="cellIs" dxfId="10718" priority="20608" operator="greaterThan">
      <formula>0</formula>
    </cfRule>
  </conditionalFormatting>
  <conditionalFormatting sqref="FH11 FH19 FH3 FH24:FH32 FH34:FH42 FH69:FH79">
    <cfRule type="cellIs" dxfId="10717" priority="20603" operator="lessThan">
      <formula>0</formula>
    </cfRule>
    <cfRule type="cellIs" dxfId="10716" priority="20604" operator="greaterThan">
      <formula>0</formula>
    </cfRule>
  </conditionalFormatting>
  <conditionalFormatting sqref="FH4:FH5">
    <cfRule type="cellIs" dxfId="10715" priority="20595" operator="lessThan">
      <formula>0</formula>
    </cfRule>
    <cfRule type="cellIs" dxfId="10714" priority="20596" operator="greaterThan">
      <formula>0</formula>
    </cfRule>
  </conditionalFormatting>
  <conditionalFormatting sqref="FH6 FH9:FH11">
    <cfRule type="cellIs" dxfId="10713" priority="20593" operator="lessThan">
      <formula>0</formula>
    </cfRule>
    <cfRule type="cellIs" dxfId="10712" priority="20594" operator="greaterThan">
      <formula>0</formula>
    </cfRule>
  </conditionalFormatting>
  <conditionalFormatting sqref="FH12:FH13">
    <cfRule type="cellIs" dxfId="10711" priority="20591" operator="lessThan">
      <formula>0</formula>
    </cfRule>
    <cfRule type="cellIs" dxfId="10710" priority="20592" operator="greaterThan">
      <formula>0</formula>
    </cfRule>
  </conditionalFormatting>
  <conditionalFormatting sqref="FH14:FH19">
    <cfRule type="cellIs" dxfId="10709" priority="20589" operator="lessThan">
      <formula>0</formula>
    </cfRule>
    <cfRule type="cellIs" dxfId="10708" priority="20590" operator="greaterThan">
      <formula>0</formula>
    </cfRule>
  </conditionalFormatting>
  <conditionalFormatting sqref="FH20:FH22">
    <cfRule type="cellIs" dxfId="10707" priority="20587" operator="lessThan">
      <formula>0</formula>
    </cfRule>
    <cfRule type="cellIs" dxfId="10706" priority="20588" operator="greaterThan">
      <formula>0</formula>
    </cfRule>
  </conditionalFormatting>
  <conditionalFormatting sqref="FH45:FH46">
    <cfRule type="cellIs" dxfId="10705" priority="20601" operator="lessThan">
      <formula>0</formula>
    </cfRule>
    <cfRule type="cellIs" dxfId="10704" priority="20602" operator="greaterThan">
      <formula>0</formula>
    </cfRule>
  </conditionalFormatting>
  <conditionalFormatting sqref="FH7">
    <cfRule type="cellIs" dxfId="10703" priority="20573" operator="lessThan">
      <formula>0</formula>
    </cfRule>
    <cfRule type="cellIs" dxfId="10702" priority="20574" operator="greaterThan">
      <formula>0</formula>
    </cfRule>
  </conditionalFormatting>
  <conditionalFormatting sqref="FH7">
    <cfRule type="cellIs" dxfId="10701" priority="20571" operator="lessThan">
      <formula>0</formula>
    </cfRule>
    <cfRule type="cellIs" dxfId="10700" priority="20572" operator="greaterThan">
      <formula>0</formula>
    </cfRule>
  </conditionalFormatting>
  <conditionalFormatting sqref="FH8">
    <cfRule type="cellIs" dxfId="10699" priority="20569" operator="lessThan">
      <formula>0</formula>
    </cfRule>
    <cfRule type="cellIs" dxfId="10698" priority="20570" operator="greaterThan">
      <formula>0</formula>
    </cfRule>
  </conditionalFormatting>
  <conditionalFormatting sqref="FH47">
    <cfRule type="cellIs" dxfId="10697" priority="20567" operator="lessThan">
      <formula>0</formula>
    </cfRule>
    <cfRule type="cellIs" dxfId="10696" priority="20568" operator="greaterThan">
      <formula>0</formula>
    </cfRule>
  </conditionalFormatting>
  <conditionalFormatting sqref="FH44">
    <cfRule type="cellIs" dxfId="10695" priority="20565" operator="lessThan">
      <formula>0</formula>
    </cfRule>
    <cfRule type="cellIs" dxfId="10694" priority="20566" operator="greaterThan">
      <formula>0</formula>
    </cfRule>
  </conditionalFormatting>
  <conditionalFormatting sqref="FH23:FH24">
    <cfRule type="cellIs" dxfId="10693" priority="20561" operator="lessThan">
      <formula>0</formula>
    </cfRule>
    <cfRule type="cellIs" dxfId="10692" priority="20562" operator="greaterThan">
      <formula>0</formula>
    </cfRule>
  </conditionalFormatting>
  <conditionalFormatting sqref="FH33:FH34">
    <cfRule type="cellIs" dxfId="10691" priority="20559" operator="lessThan">
      <formula>0</formula>
    </cfRule>
    <cfRule type="cellIs" dxfId="10690" priority="20560" operator="greaterThan">
      <formula>0</formula>
    </cfRule>
  </conditionalFormatting>
  <conditionalFormatting sqref="FH43:FH44">
    <cfRule type="cellIs" dxfId="10689" priority="20557" operator="lessThan">
      <formula>0</formula>
    </cfRule>
    <cfRule type="cellIs" dxfId="10688" priority="20558" operator="greaterThan">
      <formula>0</formula>
    </cfRule>
  </conditionalFormatting>
  <conditionalFormatting sqref="FJ11 FJ19 FJ3 FJ24:FJ32 FJ34:FJ42 FJ69:FJ79">
    <cfRule type="cellIs" dxfId="10687" priority="20553" operator="lessThan">
      <formula>0</formula>
    </cfRule>
    <cfRule type="cellIs" dxfId="10686" priority="20554" operator="greaterThan">
      <formula>0</formula>
    </cfRule>
  </conditionalFormatting>
  <conditionalFormatting sqref="FJ4:FJ5">
    <cfRule type="cellIs" dxfId="10685" priority="20545" operator="lessThan">
      <formula>0</formula>
    </cfRule>
    <cfRule type="cellIs" dxfId="10684" priority="20546" operator="greaterThan">
      <formula>0</formula>
    </cfRule>
  </conditionalFormatting>
  <conditionalFormatting sqref="FJ6 FJ9:FJ11">
    <cfRule type="cellIs" dxfId="10683" priority="20543" operator="lessThan">
      <formula>0</formula>
    </cfRule>
    <cfRule type="cellIs" dxfId="10682" priority="20544" operator="greaterThan">
      <formula>0</formula>
    </cfRule>
  </conditionalFormatting>
  <conditionalFormatting sqref="FJ12:FJ13">
    <cfRule type="cellIs" dxfId="10681" priority="20541" operator="lessThan">
      <formula>0</formula>
    </cfRule>
    <cfRule type="cellIs" dxfId="10680" priority="20542" operator="greaterThan">
      <formula>0</formula>
    </cfRule>
  </conditionalFormatting>
  <conditionalFormatting sqref="FJ14:FJ19">
    <cfRule type="cellIs" dxfId="10679" priority="20539" operator="lessThan">
      <formula>0</formula>
    </cfRule>
    <cfRule type="cellIs" dxfId="10678" priority="20540" operator="greaterThan">
      <formula>0</formula>
    </cfRule>
  </conditionalFormatting>
  <conditionalFormatting sqref="FJ20:FJ22">
    <cfRule type="cellIs" dxfId="10677" priority="20537" operator="lessThan">
      <formula>0</formula>
    </cfRule>
    <cfRule type="cellIs" dxfId="10676" priority="20538" operator="greaterThan">
      <formula>0</formula>
    </cfRule>
  </conditionalFormatting>
  <conditionalFormatting sqref="FJ45:FJ46">
    <cfRule type="cellIs" dxfId="10675" priority="20551" operator="lessThan">
      <formula>0</formula>
    </cfRule>
    <cfRule type="cellIs" dxfId="10674" priority="20552" operator="greaterThan">
      <formula>0</formula>
    </cfRule>
  </conditionalFormatting>
  <conditionalFormatting sqref="FJ7">
    <cfRule type="cellIs" dxfId="10673" priority="20523" operator="lessThan">
      <formula>0</formula>
    </cfRule>
    <cfRule type="cellIs" dxfId="10672" priority="20524" operator="greaterThan">
      <formula>0</formula>
    </cfRule>
  </conditionalFormatting>
  <conditionalFormatting sqref="FJ7">
    <cfRule type="cellIs" dxfId="10671" priority="20521" operator="lessThan">
      <formula>0</formula>
    </cfRule>
    <cfRule type="cellIs" dxfId="10670" priority="20522" operator="greaterThan">
      <formula>0</formula>
    </cfRule>
  </conditionalFormatting>
  <conditionalFormatting sqref="FJ8">
    <cfRule type="cellIs" dxfId="10669" priority="20519" operator="lessThan">
      <formula>0</formula>
    </cfRule>
    <cfRule type="cellIs" dxfId="10668" priority="20520" operator="greaterThan">
      <formula>0</formula>
    </cfRule>
  </conditionalFormatting>
  <conditionalFormatting sqref="FJ47">
    <cfRule type="cellIs" dxfId="10667" priority="20517" operator="lessThan">
      <formula>0</formula>
    </cfRule>
    <cfRule type="cellIs" dxfId="10666" priority="20518" operator="greaterThan">
      <formula>0</formula>
    </cfRule>
  </conditionalFormatting>
  <conditionalFormatting sqref="FJ44">
    <cfRule type="cellIs" dxfId="10665" priority="20515" operator="lessThan">
      <formula>0</formula>
    </cfRule>
    <cfRule type="cellIs" dxfId="10664" priority="20516" operator="greaterThan">
      <formula>0</formula>
    </cfRule>
  </conditionalFormatting>
  <conditionalFormatting sqref="FJ23:FJ24">
    <cfRule type="cellIs" dxfId="10663" priority="20511" operator="lessThan">
      <formula>0</formula>
    </cfRule>
    <cfRule type="cellIs" dxfId="10662" priority="20512" operator="greaterThan">
      <formula>0</formula>
    </cfRule>
  </conditionalFormatting>
  <conditionalFormatting sqref="FJ33:FJ34">
    <cfRule type="cellIs" dxfId="10661" priority="20509" operator="lessThan">
      <formula>0</formula>
    </cfRule>
    <cfRule type="cellIs" dxfId="10660" priority="20510" operator="greaterThan">
      <formula>0</formula>
    </cfRule>
  </conditionalFormatting>
  <conditionalFormatting sqref="FJ43:FJ44">
    <cfRule type="cellIs" dxfId="10659" priority="20507" operator="lessThan">
      <formula>0</formula>
    </cfRule>
    <cfRule type="cellIs" dxfId="10658" priority="20508" operator="greaterThan">
      <formula>0</formula>
    </cfRule>
  </conditionalFormatting>
  <conditionalFormatting sqref="FL11 FL19 FL3 FL24:FL32 FL34:FL42 FL69:FL79">
    <cfRule type="cellIs" dxfId="10657" priority="20503" operator="lessThan">
      <formula>0</formula>
    </cfRule>
    <cfRule type="cellIs" dxfId="10656" priority="20504" operator="greaterThan">
      <formula>0</formula>
    </cfRule>
  </conditionalFormatting>
  <conditionalFormatting sqref="FL4:FL5">
    <cfRule type="cellIs" dxfId="10655" priority="20495" operator="lessThan">
      <formula>0</formula>
    </cfRule>
    <cfRule type="cellIs" dxfId="10654" priority="20496" operator="greaterThan">
      <formula>0</formula>
    </cfRule>
  </conditionalFormatting>
  <conditionalFormatting sqref="FL6 FL9:FL11">
    <cfRule type="cellIs" dxfId="10653" priority="20493" operator="lessThan">
      <formula>0</formula>
    </cfRule>
    <cfRule type="cellIs" dxfId="10652" priority="20494" operator="greaterThan">
      <formula>0</formula>
    </cfRule>
  </conditionalFormatting>
  <conditionalFormatting sqref="FL12:FL13">
    <cfRule type="cellIs" dxfId="10651" priority="20491" operator="lessThan">
      <formula>0</formula>
    </cfRule>
    <cfRule type="cellIs" dxfId="10650" priority="20492" operator="greaterThan">
      <formula>0</formula>
    </cfRule>
  </conditionalFormatting>
  <conditionalFormatting sqref="FL14:FL19">
    <cfRule type="cellIs" dxfId="10649" priority="20489" operator="lessThan">
      <formula>0</formula>
    </cfRule>
    <cfRule type="cellIs" dxfId="10648" priority="20490" operator="greaterThan">
      <formula>0</formula>
    </cfRule>
  </conditionalFormatting>
  <conditionalFormatting sqref="FL20:FL22">
    <cfRule type="cellIs" dxfId="10647" priority="20487" operator="lessThan">
      <formula>0</formula>
    </cfRule>
    <cfRule type="cellIs" dxfId="10646" priority="20488" operator="greaterThan">
      <formula>0</formula>
    </cfRule>
  </conditionalFormatting>
  <conditionalFormatting sqref="FL45:FL46">
    <cfRule type="cellIs" dxfId="10645" priority="20501" operator="lessThan">
      <formula>0</formula>
    </cfRule>
    <cfRule type="cellIs" dxfId="10644" priority="20502" operator="greaterThan">
      <formula>0</formula>
    </cfRule>
  </conditionalFormatting>
  <conditionalFormatting sqref="FL7">
    <cfRule type="cellIs" dxfId="10643" priority="20473" operator="lessThan">
      <formula>0</formula>
    </cfRule>
    <cfRule type="cellIs" dxfId="10642" priority="20474" operator="greaterThan">
      <formula>0</formula>
    </cfRule>
  </conditionalFormatting>
  <conditionalFormatting sqref="FL7">
    <cfRule type="cellIs" dxfId="10641" priority="20471" operator="lessThan">
      <formula>0</formula>
    </cfRule>
    <cfRule type="cellIs" dxfId="10640" priority="20472" operator="greaterThan">
      <formula>0</formula>
    </cfRule>
  </conditionalFormatting>
  <conditionalFormatting sqref="FL8">
    <cfRule type="cellIs" dxfId="10639" priority="20469" operator="lessThan">
      <formula>0</formula>
    </cfRule>
    <cfRule type="cellIs" dxfId="10638" priority="20470" operator="greaterThan">
      <formula>0</formula>
    </cfRule>
  </conditionalFormatting>
  <conditionalFormatting sqref="FL47">
    <cfRule type="cellIs" dxfId="10637" priority="20467" operator="lessThan">
      <formula>0</formula>
    </cfRule>
    <cfRule type="cellIs" dxfId="10636" priority="20468" operator="greaterThan">
      <formula>0</formula>
    </cfRule>
  </conditionalFormatting>
  <conditionalFormatting sqref="FL44">
    <cfRule type="cellIs" dxfId="10635" priority="20465" operator="lessThan">
      <formula>0</formula>
    </cfRule>
    <cfRule type="cellIs" dxfId="10634" priority="20466" operator="greaterThan">
      <formula>0</formula>
    </cfRule>
  </conditionalFormatting>
  <conditionalFormatting sqref="FL23:FL24">
    <cfRule type="cellIs" dxfId="10633" priority="20461" operator="lessThan">
      <formula>0</formula>
    </cfRule>
    <cfRule type="cellIs" dxfId="10632" priority="20462" operator="greaterThan">
      <formula>0</formula>
    </cfRule>
  </conditionalFormatting>
  <conditionalFormatting sqref="FL33:FL34">
    <cfRule type="cellIs" dxfId="10631" priority="20459" operator="lessThan">
      <formula>0</formula>
    </cfRule>
    <cfRule type="cellIs" dxfId="10630" priority="20460" operator="greaterThan">
      <formula>0</formula>
    </cfRule>
  </conditionalFormatting>
  <conditionalFormatting sqref="FL43:FL44">
    <cfRule type="cellIs" dxfId="10629" priority="20457" operator="lessThan">
      <formula>0</formula>
    </cfRule>
    <cfRule type="cellIs" dxfId="10628" priority="20458" operator="greaterThan">
      <formula>0</formula>
    </cfRule>
  </conditionalFormatting>
  <conditionalFormatting sqref="FN11 FN19 FN3 FN24:FN32 FN34:FN42 FN69:FN79">
    <cfRule type="cellIs" dxfId="10627" priority="20453" operator="lessThan">
      <formula>0</formula>
    </cfRule>
    <cfRule type="cellIs" dxfId="10626" priority="20454" operator="greaterThan">
      <formula>0</formula>
    </cfRule>
  </conditionalFormatting>
  <conditionalFormatting sqref="FN4:FN5">
    <cfRule type="cellIs" dxfId="10625" priority="20445" operator="lessThan">
      <formula>0</formula>
    </cfRule>
    <cfRule type="cellIs" dxfId="10624" priority="20446" operator="greaterThan">
      <formula>0</formula>
    </cfRule>
  </conditionalFormatting>
  <conditionalFormatting sqref="FN6 FN9:FN11">
    <cfRule type="cellIs" dxfId="10623" priority="20443" operator="lessThan">
      <formula>0</formula>
    </cfRule>
    <cfRule type="cellIs" dxfId="10622" priority="20444" operator="greaterThan">
      <formula>0</formula>
    </cfRule>
  </conditionalFormatting>
  <conditionalFormatting sqref="FN12:FN13">
    <cfRule type="cellIs" dxfId="10621" priority="20441" operator="lessThan">
      <formula>0</formula>
    </cfRule>
    <cfRule type="cellIs" dxfId="10620" priority="20442" operator="greaterThan">
      <formula>0</formula>
    </cfRule>
  </conditionalFormatting>
  <conditionalFormatting sqref="FN14:FN19">
    <cfRule type="cellIs" dxfId="10619" priority="20439" operator="lessThan">
      <formula>0</formula>
    </cfRule>
    <cfRule type="cellIs" dxfId="10618" priority="20440" operator="greaterThan">
      <formula>0</formula>
    </cfRule>
  </conditionalFormatting>
  <conditionalFormatting sqref="FN20:FN22">
    <cfRule type="cellIs" dxfId="10617" priority="20437" operator="lessThan">
      <formula>0</formula>
    </cfRule>
    <cfRule type="cellIs" dxfId="10616" priority="20438" operator="greaterThan">
      <formula>0</formula>
    </cfRule>
  </conditionalFormatting>
  <conditionalFormatting sqref="FN45:FN46">
    <cfRule type="cellIs" dxfId="10615" priority="20451" operator="lessThan">
      <formula>0</formula>
    </cfRule>
    <cfRule type="cellIs" dxfId="10614" priority="20452" operator="greaterThan">
      <formula>0</formula>
    </cfRule>
  </conditionalFormatting>
  <conditionalFormatting sqref="FN7">
    <cfRule type="cellIs" dxfId="10613" priority="20423" operator="lessThan">
      <formula>0</formula>
    </cfRule>
    <cfRule type="cellIs" dxfId="10612" priority="20424" operator="greaterThan">
      <formula>0</formula>
    </cfRule>
  </conditionalFormatting>
  <conditionalFormatting sqref="FN7">
    <cfRule type="cellIs" dxfId="10611" priority="20421" operator="lessThan">
      <formula>0</formula>
    </cfRule>
    <cfRule type="cellIs" dxfId="10610" priority="20422" operator="greaterThan">
      <formula>0</formula>
    </cfRule>
  </conditionalFormatting>
  <conditionalFormatting sqref="FN8">
    <cfRule type="cellIs" dxfId="10609" priority="20419" operator="lessThan">
      <formula>0</formula>
    </cfRule>
    <cfRule type="cellIs" dxfId="10608" priority="20420" operator="greaterThan">
      <formula>0</formula>
    </cfRule>
  </conditionalFormatting>
  <conditionalFormatting sqref="FN47">
    <cfRule type="cellIs" dxfId="10607" priority="20417" operator="lessThan">
      <formula>0</formula>
    </cfRule>
    <cfRule type="cellIs" dxfId="10606" priority="20418" operator="greaterThan">
      <formula>0</formula>
    </cfRule>
  </conditionalFormatting>
  <conditionalFormatting sqref="FN44">
    <cfRule type="cellIs" dxfId="10605" priority="20415" operator="lessThan">
      <formula>0</formula>
    </cfRule>
    <cfRule type="cellIs" dxfId="10604" priority="20416" operator="greaterThan">
      <formula>0</formula>
    </cfRule>
  </conditionalFormatting>
  <conditionalFormatting sqref="FN23:FN24">
    <cfRule type="cellIs" dxfId="10603" priority="20411" operator="lessThan">
      <formula>0</formula>
    </cfRule>
    <cfRule type="cellIs" dxfId="10602" priority="20412" operator="greaterThan">
      <formula>0</formula>
    </cfRule>
  </conditionalFormatting>
  <conditionalFormatting sqref="FN33:FN34">
    <cfRule type="cellIs" dxfId="10601" priority="20409" operator="lessThan">
      <formula>0</formula>
    </cfRule>
    <cfRule type="cellIs" dxfId="10600" priority="20410" operator="greaterThan">
      <formula>0</formula>
    </cfRule>
  </conditionalFormatting>
  <conditionalFormatting sqref="FN43:FN44">
    <cfRule type="cellIs" dxfId="10599" priority="20407" operator="lessThan">
      <formula>0</formula>
    </cfRule>
    <cfRule type="cellIs" dxfId="10598" priority="20408" operator="greaterThan">
      <formula>0</formula>
    </cfRule>
  </conditionalFormatting>
  <conditionalFormatting sqref="FP11 FP19 FP3 FP24:FP32 FP34:FP42 FP69:FP79">
    <cfRule type="cellIs" dxfId="10597" priority="20403" operator="lessThan">
      <formula>0</formula>
    </cfRule>
    <cfRule type="cellIs" dxfId="10596" priority="20404" operator="greaterThan">
      <formula>0</formula>
    </cfRule>
  </conditionalFormatting>
  <conditionalFormatting sqref="FP4:FP5">
    <cfRule type="cellIs" dxfId="10595" priority="20395" operator="lessThan">
      <formula>0</formula>
    </cfRule>
    <cfRule type="cellIs" dxfId="10594" priority="20396" operator="greaterThan">
      <formula>0</formula>
    </cfRule>
  </conditionalFormatting>
  <conditionalFormatting sqref="FP6 FP9:FP11">
    <cfRule type="cellIs" dxfId="10593" priority="20393" operator="lessThan">
      <formula>0</formula>
    </cfRule>
    <cfRule type="cellIs" dxfId="10592" priority="20394" operator="greaterThan">
      <formula>0</formula>
    </cfRule>
  </conditionalFormatting>
  <conditionalFormatting sqref="FP12:FP13">
    <cfRule type="cellIs" dxfId="10591" priority="20391" operator="lessThan">
      <formula>0</formula>
    </cfRule>
    <cfRule type="cellIs" dxfId="10590" priority="20392" operator="greaterThan">
      <formula>0</formula>
    </cfRule>
  </conditionalFormatting>
  <conditionalFormatting sqref="FP14:FP19">
    <cfRule type="cellIs" dxfId="10589" priority="20389" operator="lessThan">
      <formula>0</formula>
    </cfRule>
    <cfRule type="cellIs" dxfId="10588" priority="20390" operator="greaterThan">
      <formula>0</formula>
    </cfRule>
  </conditionalFormatting>
  <conditionalFormatting sqref="FP20:FP22">
    <cfRule type="cellIs" dxfId="10587" priority="20387" operator="lessThan">
      <formula>0</formula>
    </cfRule>
    <cfRule type="cellIs" dxfId="10586" priority="20388" operator="greaterThan">
      <formula>0</formula>
    </cfRule>
  </conditionalFormatting>
  <conditionalFormatting sqref="FP45:FP46">
    <cfRule type="cellIs" dxfId="10585" priority="20401" operator="lessThan">
      <formula>0</formula>
    </cfRule>
    <cfRule type="cellIs" dxfId="10584" priority="20402" operator="greaterThan">
      <formula>0</formula>
    </cfRule>
  </conditionalFormatting>
  <conditionalFormatting sqref="FP7">
    <cfRule type="cellIs" dxfId="10583" priority="20373" operator="lessThan">
      <formula>0</formula>
    </cfRule>
    <cfRule type="cellIs" dxfId="10582" priority="20374" operator="greaterThan">
      <formula>0</formula>
    </cfRule>
  </conditionalFormatting>
  <conditionalFormatting sqref="FP7">
    <cfRule type="cellIs" dxfId="10581" priority="20371" operator="lessThan">
      <formula>0</formula>
    </cfRule>
    <cfRule type="cellIs" dxfId="10580" priority="20372" operator="greaterThan">
      <formula>0</formula>
    </cfRule>
  </conditionalFormatting>
  <conditionalFormatting sqref="FP8">
    <cfRule type="cellIs" dxfId="10579" priority="20369" operator="lessThan">
      <formula>0</formula>
    </cfRule>
    <cfRule type="cellIs" dxfId="10578" priority="20370" operator="greaterThan">
      <formula>0</formula>
    </cfRule>
  </conditionalFormatting>
  <conditionalFormatting sqref="FP47">
    <cfRule type="cellIs" dxfId="10577" priority="20367" operator="lessThan">
      <formula>0</formula>
    </cfRule>
    <cfRule type="cellIs" dxfId="10576" priority="20368" operator="greaterThan">
      <formula>0</formula>
    </cfRule>
  </conditionalFormatting>
  <conditionalFormatting sqref="FP44">
    <cfRule type="cellIs" dxfId="10575" priority="20365" operator="lessThan">
      <formula>0</formula>
    </cfRule>
    <cfRule type="cellIs" dxfId="10574" priority="20366" operator="greaterThan">
      <formula>0</formula>
    </cfRule>
  </conditionalFormatting>
  <conditionalFormatting sqref="FP23:FP24">
    <cfRule type="cellIs" dxfId="10573" priority="20361" operator="lessThan">
      <formula>0</formula>
    </cfRule>
    <cfRule type="cellIs" dxfId="10572" priority="20362" operator="greaterThan">
      <formula>0</formula>
    </cfRule>
  </conditionalFormatting>
  <conditionalFormatting sqref="FP33:FP34">
    <cfRule type="cellIs" dxfId="10571" priority="20359" operator="lessThan">
      <formula>0</formula>
    </cfRule>
    <cfRule type="cellIs" dxfId="10570" priority="20360" operator="greaterThan">
      <formula>0</formula>
    </cfRule>
  </conditionalFormatting>
  <conditionalFormatting sqref="FP43:FP44">
    <cfRule type="cellIs" dxfId="10569" priority="20357" operator="lessThan">
      <formula>0</formula>
    </cfRule>
    <cfRule type="cellIs" dxfId="10568" priority="20358" operator="greaterThan">
      <formula>0</formula>
    </cfRule>
  </conditionalFormatting>
  <conditionalFormatting sqref="FR11 FR19 FR3 FR24:FR32 FR34:FR42 FR69:FR79">
    <cfRule type="cellIs" dxfId="10567" priority="20353" operator="lessThan">
      <formula>0</formula>
    </cfRule>
    <cfRule type="cellIs" dxfId="10566" priority="20354" operator="greaterThan">
      <formula>0</formula>
    </cfRule>
  </conditionalFormatting>
  <conditionalFormatting sqref="FR4:FR5">
    <cfRule type="cellIs" dxfId="10565" priority="20345" operator="lessThan">
      <formula>0</formula>
    </cfRule>
    <cfRule type="cellIs" dxfId="10564" priority="20346" operator="greaterThan">
      <formula>0</formula>
    </cfRule>
  </conditionalFormatting>
  <conditionalFormatting sqref="FR6 FR9:FR11">
    <cfRule type="cellIs" dxfId="10563" priority="20343" operator="lessThan">
      <formula>0</formula>
    </cfRule>
    <cfRule type="cellIs" dxfId="10562" priority="20344" operator="greaterThan">
      <formula>0</formula>
    </cfRule>
  </conditionalFormatting>
  <conditionalFormatting sqref="FR12:FR13">
    <cfRule type="cellIs" dxfId="10561" priority="20341" operator="lessThan">
      <formula>0</formula>
    </cfRule>
    <cfRule type="cellIs" dxfId="10560" priority="20342" operator="greaterThan">
      <formula>0</formula>
    </cfRule>
  </conditionalFormatting>
  <conditionalFormatting sqref="FR14:FR19">
    <cfRule type="cellIs" dxfId="10559" priority="20339" operator="lessThan">
      <formula>0</formula>
    </cfRule>
    <cfRule type="cellIs" dxfId="10558" priority="20340" operator="greaterThan">
      <formula>0</formula>
    </cfRule>
  </conditionalFormatting>
  <conditionalFormatting sqref="FR20:FR22">
    <cfRule type="cellIs" dxfId="10557" priority="20337" operator="lessThan">
      <formula>0</formula>
    </cfRule>
    <cfRule type="cellIs" dxfId="10556" priority="20338" operator="greaterThan">
      <formula>0</formula>
    </cfRule>
  </conditionalFormatting>
  <conditionalFormatting sqref="FR45:FR46">
    <cfRule type="cellIs" dxfId="10555" priority="20351" operator="lessThan">
      <formula>0</formula>
    </cfRule>
    <cfRule type="cellIs" dxfId="10554" priority="20352" operator="greaterThan">
      <formula>0</formula>
    </cfRule>
  </conditionalFormatting>
  <conditionalFormatting sqref="FR7">
    <cfRule type="cellIs" dxfId="10553" priority="20323" operator="lessThan">
      <formula>0</formula>
    </cfRule>
    <cfRule type="cellIs" dxfId="10552" priority="20324" operator="greaterThan">
      <formula>0</formula>
    </cfRule>
  </conditionalFormatting>
  <conditionalFormatting sqref="FR7">
    <cfRule type="cellIs" dxfId="10551" priority="20321" operator="lessThan">
      <formula>0</formula>
    </cfRule>
    <cfRule type="cellIs" dxfId="10550" priority="20322" operator="greaterThan">
      <formula>0</formula>
    </cfRule>
  </conditionalFormatting>
  <conditionalFormatting sqref="FR8">
    <cfRule type="cellIs" dxfId="10549" priority="20319" operator="lessThan">
      <formula>0</formula>
    </cfRule>
    <cfRule type="cellIs" dxfId="10548" priority="20320" operator="greaterThan">
      <formula>0</formula>
    </cfRule>
  </conditionalFormatting>
  <conditionalFormatting sqref="FR47">
    <cfRule type="cellIs" dxfId="10547" priority="20317" operator="lessThan">
      <formula>0</formula>
    </cfRule>
    <cfRule type="cellIs" dxfId="10546" priority="20318" operator="greaterThan">
      <formula>0</formula>
    </cfRule>
  </conditionalFormatting>
  <conditionalFormatting sqref="FR44">
    <cfRule type="cellIs" dxfId="10545" priority="20315" operator="lessThan">
      <formula>0</formula>
    </cfRule>
    <cfRule type="cellIs" dxfId="10544" priority="20316" operator="greaterThan">
      <formula>0</formula>
    </cfRule>
  </conditionalFormatting>
  <conditionalFormatting sqref="FR23:FR24">
    <cfRule type="cellIs" dxfId="10543" priority="20311" operator="lessThan">
      <formula>0</formula>
    </cfRule>
    <cfRule type="cellIs" dxfId="10542" priority="20312" operator="greaterThan">
      <formula>0</formula>
    </cfRule>
  </conditionalFormatting>
  <conditionalFormatting sqref="FR33:FR34">
    <cfRule type="cellIs" dxfId="10541" priority="20309" operator="lessThan">
      <formula>0</formula>
    </cfRule>
    <cfRule type="cellIs" dxfId="10540" priority="20310" operator="greaterThan">
      <formula>0</formula>
    </cfRule>
  </conditionalFormatting>
  <conditionalFormatting sqref="FR43:FR44">
    <cfRule type="cellIs" dxfId="10539" priority="20307" operator="lessThan">
      <formula>0</formula>
    </cfRule>
    <cfRule type="cellIs" dxfId="10538" priority="20308" operator="greaterThan">
      <formula>0</formula>
    </cfRule>
  </conditionalFormatting>
  <conditionalFormatting sqref="FT11 FT19 FT3 FT24:FT32 FT34:FT42 FT69:FT79">
    <cfRule type="cellIs" dxfId="10537" priority="20303" operator="lessThan">
      <formula>0</formula>
    </cfRule>
    <cfRule type="cellIs" dxfId="10536" priority="20304" operator="greaterThan">
      <formula>0</formula>
    </cfRule>
  </conditionalFormatting>
  <conditionalFormatting sqref="FT4:FT5">
    <cfRule type="cellIs" dxfId="10535" priority="20295" operator="lessThan">
      <formula>0</formula>
    </cfRule>
    <cfRule type="cellIs" dxfId="10534" priority="20296" operator="greaterThan">
      <formula>0</formula>
    </cfRule>
  </conditionalFormatting>
  <conditionalFormatting sqref="FT6 FT9:FT11">
    <cfRule type="cellIs" dxfId="10533" priority="20293" operator="lessThan">
      <formula>0</formula>
    </cfRule>
    <cfRule type="cellIs" dxfId="10532" priority="20294" operator="greaterThan">
      <formula>0</formula>
    </cfRule>
  </conditionalFormatting>
  <conditionalFormatting sqref="FT12:FT13">
    <cfRule type="cellIs" dxfId="10531" priority="20291" operator="lessThan">
      <formula>0</formula>
    </cfRule>
    <cfRule type="cellIs" dxfId="10530" priority="20292" operator="greaterThan">
      <formula>0</formula>
    </cfRule>
  </conditionalFormatting>
  <conditionalFormatting sqref="FT14:FT19">
    <cfRule type="cellIs" dxfId="10529" priority="20289" operator="lessThan">
      <formula>0</formula>
    </cfRule>
    <cfRule type="cellIs" dxfId="10528" priority="20290" operator="greaterThan">
      <formula>0</formula>
    </cfRule>
  </conditionalFormatting>
  <conditionalFormatting sqref="FT20:FT22">
    <cfRule type="cellIs" dxfId="10527" priority="20287" operator="lessThan">
      <formula>0</formula>
    </cfRule>
    <cfRule type="cellIs" dxfId="10526" priority="20288" operator="greaterThan">
      <formula>0</formula>
    </cfRule>
  </conditionalFormatting>
  <conditionalFormatting sqref="FT45:FT46">
    <cfRule type="cellIs" dxfId="10525" priority="20301" operator="lessThan">
      <formula>0</formula>
    </cfRule>
    <cfRule type="cellIs" dxfId="10524" priority="20302" operator="greaterThan">
      <formula>0</formula>
    </cfRule>
  </conditionalFormatting>
  <conditionalFormatting sqref="FT7">
    <cfRule type="cellIs" dxfId="10523" priority="20273" operator="lessThan">
      <formula>0</formula>
    </cfRule>
    <cfRule type="cellIs" dxfId="10522" priority="20274" operator="greaterThan">
      <formula>0</formula>
    </cfRule>
  </conditionalFormatting>
  <conditionalFormatting sqref="FT7">
    <cfRule type="cellIs" dxfId="10521" priority="20271" operator="lessThan">
      <formula>0</formula>
    </cfRule>
    <cfRule type="cellIs" dxfId="10520" priority="20272" operator="greaterThan">
      <formula>0</formula>
    </cfRule>
  </conditionalFormatting>
  <conditionalFormatting sqref="FT8">
    <cfRule type="cellIs" dxfId="10519" priority="20269" operator="lessThan">
      <formula>0</formula>
    </cfRule>
    <cfRule type="cellIs" dxfId="10518" priority="20270" operator="greaterThan">
      <formula>0</formula>
    </cfRule>
  </conditionalFormatting>
  <conditionalFormatting sqref="FT47">
    <cfRule type="cellIs" dxfId="10517" priority="20267" operator="lessThan">
      <formula>0</formula>
    </cfRule>
    <cfRule type="cellIs" dxfId="10516" priority="20268" operator="greaterThan">
      <formula>0</formula>
    </cfRule>
  </conditionalFormatting>
  <conditionalFormatting sqref="FT44">
    <cfRule type="cellIs" dxfId="10515" priority="20265" operator="lessThan">
      <formula>0</formula>
    </cfRule>
    <cfRule type="cellIs" dxfId="10514" priority="20266" operator="greaterThan">
      <formula>0</formula>
    </cfRule>
  </conditionalFormatting>
  <conditionalFormatting sqref="FT23:FT24">
    <cfRule type="cellIs" dxfId="10513" priority="20261" operator="lessThan">
      <formula>0</formula>
    </cfRule>
    <cfRule type="cellIs" dxfId="10512" priority="20262" operator="greaterThan">
      <formula>0</formula>
    </cfRule>
  </conditionalFormatting>
  <conditionalFormatting sqref="FT33:FT34">
    <cfRule type="cellIs" dxfId="10511" priority="20259" operator="lessThan">
      <formula>0</formula>
    </cfRule>
    <cfRule type="cellIs" dxfId="10510" priority="20260" operator="greaterThan">
      <formula>0</formula>
    </cfRule>
  </conditionalFormatting>
  <conditionalFormatting sqref="FT43:FT44">
    <cfRule type="cellIs" dxfId="10509" priority="20257" operator="lessThan">
      <formula>0</formula>
    </cfRule>
    <cfRule type="cellIs" dxfId="10508" priority="20258" operator="greaterThan">
      <formula>0</formula>
    </cfRule>
  </conditionalFormatting>
  <conditionalFormatting sqref="FV11 FV19 FV3 FV24:FV32 FV34:FV42 FV69:FV79">
    <cfRule type="cellIs" dxfId="10507" priority="20253" operator="lessThan">
      <formula>0</formula>
    </cfRule>
    <cfRule type="cellIs" dxfId="10506" priority="20254" operator="greaterThan">
      <formula>0</formula>
    </cfRule>
  </conditionalFormatting>
  <conditionalFormatting sqref="FV4:FV5">
    <cfRule type="cellIs" dxfId="10505" priority="20245" operator="lessThan">
      <formula>0</formula>
    </cfRule>
    <cfRule type="cellIs" dxfId="10504" priority="20246" operator="greaterThan">
      <formula>0</formula>
    </cfRule>
  </conditionalFormatting>
  <conditionalFormatting sqref="FV6 FV9:FV11">
    <cfRule type="cellIs" dxfId="10503" priority="20243" operator="lessThan">
      <formula>0</formula>
    </cfRule>
    <cfRule type="cellIs" dxfId="10502" priority="20244" operator="greaterThan">
      <formula>0</formula>
    </cfRule>
  </conditionalFormatting>
  <conditionalFormatting sqref="FV12:FV13">
    <cfRule type="cellIs" dxfId="10501" priority="20241" operator="lessThan">
      <formula>0</formula>
    </cfRule>
    <cfRule type="cellIs" dxfId="10500" priority="20242" operator="greaterThan">
      <formula>0</formula>
    </cfRule>
  </conditionalFormatting>
  <conditionalFormatting sqref="FV14:FV19">
    <cfRule type="cellIs" dxfId="10499" priority="20239" operator="lessThan">
      <formula>0</formula>
    </cfRule>
    <cfRule type="cellIs" dxfId="10498" priority="20240" operator="greaterThan">
      <formula>0</formula>
    </cfRule>
  </conditionalFormatting>
  <conditionalFormatting sqref="FV20:FV22">
    <cfRule type="cellIs" dxfId="10497" priority="20237" operator="lessThan">
      <formula>0</formula>
    </cfRule>
    <cfRule type="cellIs" dxfId="10496" priority="20238" operator="greaterThan">
      <formula>0</formula>
    </cfRule>
  </conditionalFormatting>
  <conditionalFormatting sqref="FV45:FV46">
    <cfRule type="cellIs" dxfId="10495" priority="20251" operator="lessThan">
      <formula>0</formula>
    </cfRule>
    <cfRule type="cellIs" dxfId="10494" priority="20252" operator="greaterThan">
      <formula>0</formula>
    </cfRule>
  </conditionalFormatting>
  <conditionalFormatting sqref="FV7">
    <cfRule type="cellIs" dxfId="10493" priority="20223" operator="lessThan">
      <formula>0</formula>
    </cfRule>
    <cfRule type="cellIs" dxfId="10492" priority="20224" operator="greaterThan">
      <formula>0</formula>
    </cfRule>
  </conditionalFormatting>
  <conditionalFormatting sqref="FV7">
    <cfRule type="cellIs" dxfId="10491" priority="20221" operator="lessThan">
      <formula>0</formula>
    </cfRule>
    <cfRule type="cellIs" dxfId="10490" priority="20222" operator="greaterThan">
      <formula>0</formula>
    </cfRule>
  </conditionalFormatting>
  <conditionalFormatting sqref="FV8">
    <cfRule type="cellIs" dxfId="10489" priority="20219" operator="lessThan">
      <formula>0</formula>
    </cfRule>
    <cfRule type="cellIs" dxfId="10488" priority="20220" operator="greaterThan">
      <formula>0</formula>
    </cfRule>
  </conditionalFormatting>
  <conditionalFormatting sqref="FV47">
    <cfRule type="cellIs" dxfId="10487" priority="20217" operator="lessThan">
      <formula>0</formula>
    </cfRule>
    <cfRule type="cellIs" dxfId="10486" priority="20218" operator="greaterThan">
      <formula>0</formula>
    </cfRule>
  </conditionalFormatting>
  <conditionalFormatting sqref="FV44">
    <cfRule type="cellIs" dxfId="10485" priority="20215" operator="lessThan">
      <formula>0</formula>
    </cfRule>
    <cfRule type="cellIs" dxfId="10484" priority="20216" operator="greaterThan">
      <formula>0</formula>
    </cfRule>
  </conditionalFormatting>
  <conditionalFormatting sqref="FV23:FV24">
    <cfRule type="cellIs" dxfId="10483" priority="20211" operator="lessThan">
      <formula>0</formula>
    </cfRule>
    <cfRule type="cellIs" dxfId="10482" priority="20212" operator="greaterThan">
      <formula>0</formula>
    </cfRule>
  </conditionalFormatting>
  <conditionalFormatting sqref="FV33:FV34">
    <cfRule type="cellIs" dxfId="10481" priority="20209" operator="lessThan">
      <formula>0</formula>
    </cfRule>
    <cfRule type="cellIs" dxfId="10480" priority="20210" operator="greaterThan">
      <formula>0</formula>
    </cfRule>
  </conditionalFormatting>
  <conditionalFormatting sqref="FV43:FV44">
    <cfRule type="cellIs" dxfId="10479" priority="20207" operator="lessThan">
      <formula>0</formula>
    </cfRule>
    <cfRule type="cellIs" dxfId="10478" priority="20208" operator="greaterThan">
      <formula>0</formula>
    </cfRule>
  </conditionalFormatting>
  <conditionalFormatting sqref="FX11 FX19 FX3 FX24:FX32 FX34:FX42 FX69:FX79">
    <cfRule type="cellIs" dxfId="10477" priority="20203" operator="lessThan">
      <formula>0</formula>
    </cfRule>
    <cfRule type="cellIs" dxfId="10476" priority="20204" operator="greaterThan">
      <formula>0</formula>
    </cfRule>
  </conditionalFormatting>
  <conditionalFormatting sqref="FX4:FX5">
    <cfRule type="cellIs" dxfId="10475" priority="20195" operator="lessThan">
      <formula>0</formula>
    </cfRule>
    <cfRule type="cellIs" dxfId="10474" priority="20196" operator="greaterThan">
      <formula>0</formula>
    </cfRule>
  </conditionalFormatting>
  <conditionalFormatting sqref="FX6 FX9:FX11">
    <cfRule type="cellIs" dxfId="10473" priority="20193" operator="lessThan">
      <formula>0</formula>
    </cfRule>
    <cfRule type="cellIs" dxfId="10472" priority="20194" operator="greaterThan">
      <formula>0</formula>
    </cfRule>
  </conditionalFormatting>
  <conditionalFormatting sqref="FX12:FX13">
    <cfRule type="cellIs" dxfId="10471" priority="20191" operator="lessThan">
      <formula>0</formula>
    </cfRule>
    <cfRule type="cellIs" dxfId="10470" priority="20192" operator="greaterThan">
      <formula>0</formula>
    </cfRule>
  </conditionalFormatting>
  <conditionalFormatting sqref="FX14:FX19">
    <cfRule type="cellIs" dxfId="10469" priority="20189" operator="lessThan">
      <formula>0</formula>
    </cfRule>
    <cfRule type="cellIs" dxfId="10468" priority="20190" operator="greaterThan">
      <formula>0</formula>
    </cfRule>
  </conditionalFormatting>
  <conditionalFormatting sqref="FX20:FX22">
    <cfRule type="cellIs" dxfId="10467" priority="20187" operator="lessThan">
      <formula>0</formula>
    </cfRule>
    <cfRule type="cellIs" dxfId="10466" priority="20188" operator="greaterThan">
      <formula>0</formula>
    </cfRule>
  </conditionalFormatting>
  <conditionalFormatting sqref="FX45:FX46">
    <cfRule type="cellIs" dxfId="10465" priority="20201" operator="lessThan">
      <formula>0</formula>
    </cfRule>
    <cfRule type="cellIs" dxfId="10464" priority="20202" operator="greaterThan">
      <formula>0</formula>
    </cfRule>
  </conditionalFormatting>
  <conditionalFormatting sqref="FX7">
    <cfRule type="cellIs" dxfId="10463" priority="20173" operator="lessThan">
      <formula>0</formula>
    </cfRule>
    <cfRule type="cellIs" dxfId="10462" priority="20174" operator="greaterThan">
      <formula>0</formula>
    </cfRule>
  </conditionalFormatting>
  <conditionalFormatting sqref="FX7">
    <cfRule type="cellIs" dxfId="10461" priority="20171" operator="lessThan">
      <formula>0</formula>
    </cfRule>
    <cfRule type="cellIs" dxfId="10460" priority="20172" operator="greaterThan">
      <formula>0</formula>
    </cfRule>
  </conditionalFormatting>
  <conditionalFormatting sqref="FX8">
    <cfRule type="cellIs" dxfId="10459" priority="20169" operator="lessThan">
      <formula>0</formula>
    </cfRule>
    <cfRule type="cellIs" dxfId="10458" priority="20170" operator="greaterThan">
      <formula>0</formula>
    </cfRule>
  </conditionalFormatting>
  <conditionalFormatting sqref="FX47">
    <cfRule type="cellIs" dxfId="10457" priority="20167" operator="lessThan">
      <formula>0</formula>
    </cfRule>
    <cfRule type="cellIs" dxfId="10456" priority="20168" operator="greaterThan">
      <formula>0</formula>
    </cfRule>
  </conditionalFormatting>
  <conditionalFormatting sqref="FX44">
    <cfRule type="cellIs" dxfId="10455" priority="20165" operator="lessThan">
      <formula>0</formula>
    </cfRule>
    <cfRule type="cellIs" dxfId="10454" priority="20166" operator="greaterThan">
      <formula>0</formula>
    </cfRule>
  </conditionalFormatting>
  <conditionalFormatting sqref="FX23:FX24">
    <cfRule type="cellIs" dxfId="10453" priority="20161" operator="lessThan">
      <formula>0</formula>
    </cfRule>
    <cfRule type="cellIs" dxfId="10452" priority="20162" operator="greaterThan">
      <formula>0</formula>
    </cfRule>
  </conditionalFormatting>
  <conditionalFormatting sqref="FX33:FX34">
    <cfRule type="cellIs" dxfId="10451" priority="20159" operator="lessThan">
      <formula>0</formula>
    </cfRule>
    <cfRule type="cellIs" dxfId="10450" priority="20160" operator="greaterThan">
      <formula>0</formula>
    </cfRule>
  </conditionalFormatting>
  <conditionalFormatting sqref="FX43:FX44">
    <cfRule type="cellIs" dxfId="10449" priority="20157" operator="lessThan">
      <formula>0</formula>
    </cfRule>
    <cfRule type="cellIs" dxfId="10448" priority="20158" operator="greaterThan">
      <formula>0</formula>
    </cfRule>
  </conditionalFormatting>
  <conditionalFormatting sqref="FZ11 FZ19 FZ3 FZ24:FZ32 FZ34:FZ42 FZ69:FZ79">
    <cfRule type="cellIs" dxfId="10447" priority="20153" operator="lessThan">
      <formula>0</formula>
    </cfRule>
    <cfRule type="cellIs" dxfId="10446" priority="20154" operator="greaterThan">
      <formula>0</formula>
    </cfRule>
  </conditionalFormatting>
  <conditionalFormatting sqref="FZ4:FZ5">
    <cfRule type="cellIs" dxfId="10445" priority="20145" operator="lessThan">
      <formula>0</formula>
    </cfRule>
    <cfRule type="cellIs" dxfId="10444" priority="20146" operator="greaterThan">
      <formula>0</formula>
    </cfRule>
  </conditionalFormatting>
  <conditionalFormatting sqref="FZ6 FZ9:FZ11">
    <cfRule type="cellIs" dxfId="10443" priority="20143" operator="lessThan">
      <formula>0</formula>
    </cfRule>
    <cfRule type="cellIs" dxfId="10442" priority="20144" operator="greaterThan">
      <formula>0</formula>
    </cfRule>
  </conditionalFormatting>
  <conditionalFormatting sqref="FZ12:FZ13">
    <cfRule type="cellIs" dxfId="10441" priority="20141" operator="lessThan">
      <formula>0</formula>
    </cfRule>
    <cfRule type="cellIs" dxfId="10440" priority="20142" operator="greaterThan">
      <formula>0</formula>
    </cfRule>
  </conditionalFormatting>
  <conditionalFormatting sqref="FZ14:FZ19">
    <cfRule type="cellIs" dxfId="10439" priority="20139" operator="lessThan">
      <formula>0</formula>
    </cfRule>
    <cfRule type="cellIs" dxfId="10438" priority="20140" operator="greaterThan">
      <formula>0</formula>
    </cfRule>
  </conditionalFormatting>
  <conditionalFormatting sqref="FZ20:FZ22">
    <cfRule type="cellIs" dxfId="10437" priority="20137" operator="lessThan">
      <formula>0</formula>
    </cfRule>
    <cfRule type="cellIs" dxfId="10436" priority="20138" operator="greaterThan">
      <formula>0</formula>
    </cfRule>
  </conditionalFormatting>
  <conditionalFormatting sqref="FZ45:FZ46">
    <cfRule type="cellIs" dxfId="10435" priority="20151" operator="lessThan">
      <formula>0</formula>
    </cfRule>
    <cfRule type="cellIs" dxfId="10434" priority="20152" operator="greaterThan">
      <formula>0</formula>
    </cfRule>
  </conditionalFormatting>
  <conditionalFormatting sqref="FZ7">
    <cfRule type="cellIs" dxfId="10433" priority="20123" operator="lessThan">
      <formula>0</formula>
    </cfRule>
    <cfRule type="cellIs" dxfId="10432" priority="20124" operator="greaterThan">
      <formula>0</formula>
    </cfRule>
  </conditionalFormatting>
  <conditionalFormatting sqref="FZ7">
    <cfRule type="cellIs" dxfId="10431" priority="20121" operator="lessThan">
      <formula>0</formula>
    </cfRule>
    <cfRule type="cellIs" dxfId="10430" priority="20122" operator="greaterThan">
      <formula>0</formula>
    </cfRule>
  </conditionalFormatting>
  <conditionalFormatting sqref="FZ8">
    <cfRule type="cellIs" dxfId="10429" priority="20119" operator="lessThan">
      <formula>0</formula>
    </cfRule>
    <cfRule type="cellIs" dxfId="10428" priority="20120" operator="greaterThan">
      <formula>0</formula>
    </cfRule>
  </conditionalFormatting>
  <conditionalFormatting sqref="FZ47">
    <cfRule type="cellIs" dxfId="10427" priority="20117" operator="lessThan">
      <formula>0</formula>
    </cfRule>
    <cfRule type="cellIs" dxfId="10426" priority="20118" operator="greaterThan">
      <formula>0</formula>
    </cfRule>
  </conditionalFormatting>
  <conditionalFormatting sqref="FZ44">
    <cfRule type="cellIs" dxfId="10425" priority="20115" operator="lessThan">
      <formula>0</formula>
    </cfRule>
    <cfRule type="cellIs" dxfId="10424" priority="20116" operator="greaterThan">
      <formula>0</formula>
    </cfRule>
  </conditionalFormatting>
  <conditionalFormatting sqref="FZ23:FZ24">
    <cfRule type="cellIs" dxfId="10423" priority="20111" operator="lessThan">
      <formula>0</formula>
    </cfRule>
    <cfRule type="cellIs" dxfId="10422" priority="20112" operator="greaterThan">
      <formula>0</formula>
    </cfRule>
  </conditionalFormatting>
  <conditionalFormatting sqref="FZ33:FZ34">
    <cfRule type="cellIs" dxfId="10421" priority="20109" operator="lessThan">
      <formula>0</formula>
    </cfRule>
    <cfRule type="cellIs" dxfId="10420" priority="20110" operator="greaterThan">
      <formula>0</formula>
    </cfRule>
  </conditionalFormatting>
  <conditionalFormatting sqref="FZ43:FZ44">
    <cfRule type="cellIs" dxfId="10419" priority="20107" operator="lessThan">
      <formula>0</formula>
    </cfRule>
    <cfRule type="cellIs" dxfId="10418" priority="20108" operator="greaterThan">
      <formula>0</formula>
    </cfRule>
  </conditionalFormatting>
  <conditionalFormatting sqref="GB11 GB19 GB3 GB24:GB32 GB34:GB42 GB69:GB79">
    <cfRule type="cellIs" dxfId="10417" priority="20103" operator="lessThan">
      <formula>0</formula>
    </cfRule>
    <cfRule type="cellIs" dxfId="10416" priority="20104" operator="greaterThan">
      <formula>0</formula>
    </cfRule>
  </conditionalFormatting>
  <conditionalFormatting sqref="GB4:GB5">
    <cfRule type="cellIs" dxfId="10415" priority="20095" operator="lessThan">
      <formula>0</formula>
    </cfRule>
    <cfRule type="cellIs" dxfId="10414" priority="20096" operator="greaterThan">
      <formula>0</formula>
    </cfRule>
  </conditionalFormatting>
  <conditionalFormatting sqref="GB6 GB9:GB11">
    <cfRule type="cellIs" dxfId="10413" priority="20093" operator="lessThan">
      <formula>0</formula>
    </cfRule>
    <cfRule type="cellIs" dxfId="10412" priority="20094" operator="greaterThan">
      <formula>0</formula>
    </cfRule>
  </conditionalFormatting>
  <conditionalFormatting sqref="GB12:GB13">
    <cfRule type="cellIs" dxfId="10411" priority="20091" operator="lessThan">
      <formula>0</formula>
    </cfRule>
    <cfRule type="cellIs" dxfId="10410" priority="20092" operator="greaterThan">
      <formula>0</formula>
    </cfRule>
  </conditionalFormatting>
  <conditionalFormatting sqref="GB14:GB19">
    <cfRule type="cellIs" dxfId="10409" priority="20089" operator="lessThan">
      <formula>0</formula>
    </cfRule>
    <cfRule type="cellIs" dxfId="10408" priority="20090" operator="greaterThan">
      <formula>0</formula>
    </cfRule>
  </conditionalFormatting>
  <conditionalFormatting sqref="GB20:GB22">
    <cfRule type="cellIs" dxfId="10407" priority="20087" operator="lessThan">
      <formula>0</formula>
    </cfRule>
    <cfRule type="cellIs" dxfId="10406" priority="20088" operator="greaterThan">
      <formula>0</formula>
    </cfRule>
  </conditionalFormatting>
  <conditionalFormatting sqref="GB45:GB46">
    <cfRule type="cellIs" dxfId="10405" priority="20101" operator="lessThan">
      <formula>0</formula>
    </cfRule>
    <cfRule type="cellIs" dxfId="10404" priority="20102" operator="greaterThan">
      <formula>0</formula>
    </cfRule>
  </conditionalFormatting>
  <conditionalFormatting sqref="GB7">
    <cfRule type="cellIs" dxfId="10403" priority="20073" operator="lessThan">
      <formula>0</formula>
    </cfRule>
    <cfRule type="cellIs" dxfId="10402" priority="20074" operator="greaterThan">
      <formula>0</formula>
    </cfRule>
  </conditionalFormatting>
  <conditionalFormatting sqref="GB7">
    <cfRule type="cellIs" dxfId="10401" priority="20071" operator="lessThan">
      <formula>0</formula>
    </cfRule>
    <cfRule type="cellIs" dxfId="10400" priority="20072" operator="greaterThan">
      <formula>0</formula>
    </cfRule>
  </conditionalFormatting>
  <conditionalFormatting sqref="GB8">
    <cfRule type="cellIs" dxfId="10399" priority="20069" operator="lessThan">
      <formula>0</formula>
    </cfRule>
    <cfRule type="cellIs" dxfId="10398" priority="20070" operator="greaterThan">
      <formula>0</formula>
    </cfRule>
  </conditionalFormatting>
  <conditionalFormatting sqref="GB47">
    <cfRule type="cellIs" dxfId="10397" priority="20067" operator="lessThan">
      <formula>0</formula>
    </cfRule>
    <cfRule type="cellIs" dxfId="10396" priority="20068" operator="greaterThan">
      <formula>0</formula>
    </cfRule>
  </conditionalFormatting>
  <conditionalFormatting sqref="GB44">
    <cfRule type="cellIs" dxfId="10395" priority="20065" operator="lessThan">
      <formula>0</formula>
    </cfRule>
    <cfRule type="cellIs" dxfId="10394" priority="20066" operator="greaterThan">
      <formula>0</formula>
    </cfRule>
  </conditionalFormatting>
  <conditionalFormatting sqref="GB23:GB24">
    <cfRule type="cellIs" dxfId="10393" priority="20061" operator="lessThan">
      <formula>0</formula>
    </cfRule>
    <cfRule type="cellIs" dxfId="10392" priority="20062" operator="greaterThan">
      <formula>0</formula>
    </cfRule>
  </conditionalFormatting>
  <conditionalFormatting sqref="GB33:GB34">
    <cfRule type="cellIs" dxfId="10391" priority="20059" operator="lessThan">
      <formula>0</formula>
    </cfRule>
    <cfRule type="cellIs" dxfId="10390" priority="20060" operator="greaterThan">
      <formula>0</formula>
    </cfRule>
  </conditionalFormatting>
  <conditionalFormatting sqref="GB43:GB44">
    <cfRule type="cellIs" dxfId="10389" priority="20057" operator="lessThan">
      <formula>0</formula>
    </cfRule>
    <cfRule type="cellIs" dxfId="10388" priority="20058" operator="greaterThan">
      <formula>0</formula>
    </cfRule>
  </conditionalFormatting>
  <conditionalFormatting sqref="GD11 GD19 GD3 GD24:GD32 GD34:GD42 GD69:GD79">
    <cfRule type="cellIs" dxfId="10387" priority="20053" operator="lessThan">
      <formula>0</formula>
    </cfRule>
    <cfRule type="cellIs" dxfId="10386" priority="20054" operator="greaterThan">
      <formula>0</formula>
    </cfRule>
  </conditionalFormatting>
  <conditionalFormatting sqref="GD4:GD5">
    <cfRule type="cellIs" dxfId="10385" priority="20045" operator="lessThan">
      <formula>0</formula>
    </cfRule>
    <cfRule type="cellIs" dxfId="10384" priority="20046" operator="greaterThan">
      <formula>0</formula>
    </cfRule>
  </conditionalFormatting>
  <conditionalFormatting sqref="GD6 GD9:GD11">
    <cfRule type="cellIs" dxfId="10383" priority="20043" operator="lessThan">
      <formula>0</formula>
    </cfRule>
    <cfRule type="cellIs" dxfId="10382" priority="20044" operator="greaterThan">
      <formula>0</formula>
    </cfRule>
  </conditionalFormatting>
  <conditionalFormatting sqref="GD12:GD13">
    <cfRule type="cellIs" dxfId="10381" priority="20041" operator="lessThan">
      <formula>0</formula>
    </cfRule>
    <cfRule type="cellIs" dxfId="10380" priority="20042" operator="greaterThan">
      <formula>0</formula>
    </cfRule>
  </conditionalFormatting>
  <conditionalFormatting sqref="GD14:GD19">
    <cfRule type="cellIs" dxfId="10379" priority="20039" operator="lessThan">
      <formula>0</formula>
    </cfRule>
    <cfRule type="cellIs" dxfId="10378" priority="20040" operator="greaterThan">
      <formula>0</formula>
    </cfRule>
  </conditionalFormatting>
  <conditionalFormatting sqref="GD20:GD22">
    <cfRule type="cellIs" dxfId="10377" priority="20037" operator="lessThan">
      <formula>0</formula>
    </cfRule>
    <cfRule type="cellIs" dxfId="10376" priority="20038" operator="greaterThan">
      <formula>0</formula>
    </cfRule>
  </conditionalFormatting>
  <conditionalFormatting sqref="GD45:GD46">
    <cfRule type="cellIs" dxfId="10375" priority="20051" operator="lessThan">
      <formula>0</formula>
    </cfRule>
    <cfRule type="cellIs" dxfId="10374" priority="20052" operator="greaterThan">
      <formula>0</formula>
    </cfRule>
  </conditionalFormatting>
  <conditionalFormatting sqref="GD7">
    <cfRule type="cellIs" dxfId="10373" priority="20023" operator="lessThan">
      <formula>0</formula>
    </cfRule>
    <cfRule type="cellIs" dxfId="10372" priority="20024" operator="greaterThan">
      <formula>0</formula>
    </cfRule>
  </conditionalFormatting>
  <conditionalFormatting sqref="GD7">
    <cfRule type="cellIs" dxfId="10371" priority="20021" operator="lessThan">
      <formula>0</formula>
    </cfRule>
    <cfRule type="cellIs" dxfId="10370" priority="20022" operator="greaterThan">
      <formula>0</formula>
    </cfRule>
  </conditionalFormatting>
  <conditionalFormatting sqref="GD8">
    <cfRule type="cellIs" dxfId="10369" priority="20019" operator="lessThan">
      <formula>0</formula>
    </cfRule>
    <cfRule type="cellIs" dxfId="10368" priority="20020" operator="greaterThan">
      <formula>0</formula>
    </cfRule>
  </conditionalFormatting>
  <conditionalFormatting sqref="GD47">
    <cfRule type="cellIs" dxfId="10367" priority="20017" operator="lessThan">
      <formula>0</formula>
    </cfRule>
    <cfRule type="cellIs" dxfId="10366" priority="20018" operator="greaterThan">
      <formula>0</formula>
    </cfRule>
  </conditionalFormatting>
  <conditionalFormatting sqref="GD44">
    <cfRule type="cellIs" dxfId="10365" priority="20015" operator="lessThan">
      <formula>0</formula>
    </cfRule>
    <cfRule type="cellIs" dxfId="10364" priority="20016" operator="greaterThan">
      <formula>0</formula>
    </cfRule>
  </conditionalFormatting>
  <conditionalFormatting sqref="GD23:GD24">
    <cfRule type="cellIs" dxfId="10363" priority="20011" operator="lessThan">
      <formula>0</formula>
    </cfRule>
    <cfRule type="cellIs" dxfId="10362" priority="20012" operator="greaterThan">
      <formula>0</formula>
    </cfRule>
  </conditionalFormatting>
  <conditionalFormatting sqref="GD33:GD34">
    <cfRule type="cellIs" dxfId="10361" priority="20009" operator="lessThan">
      <formula>0</formula>
    </cfRule>
    <cfRule type="cellIs" dxfId="10360" priority="20010" operator="greaterThan">
      <formula>0</formula>
    </cfRule>
  </conditionalFormatting>
  <conditionalFormatting sqref="GD43:GD44">
    <cfRule type="cellIs" dxfId="10359" priority="20007" operator="lessThan">
      <formula>0</formula>
    </cfRule>
    <cfRule type="cellIs" dxfId="10358" priority="20008" operator="greaterThan">
      <formula>0</formula>
    </cfRule>
  </conditionalFormatting>
  <conditionalFormatting sqref="GF11 GF19 GF3 GF24:GF32 GF34:GF42 GF69:GF79">
    <cfRule type="cellIs" dxfId="10357" priority="19953" operator="lessThan">
      <formula>0</formula>
    </cfRule>
    <cfRule type="cellIs" dxfId="10356" priority="19954" operator="greaterThan">
      <formula>0</formula>
    </cfRule>
  </conditionalFormatting>
  <conditionalFormatting sqref="GF4:GF5">
    <cfRule type="cellIs" dxfId="10355" priority="19945" operator="lessThan">
      <formula>0</formula>
    </cfRule>
    <cfRule type="cellIs" dxfId="10354" priority="19946" operator="greaterThan">
      <formula>0</formula>
    </cfRule>
  </conditionalFormatting>
  <conditionalFormatting sqref="GF6 GF9:GF11">
    <cfRule type="cellIs" dxfId="10353" priority="19943" operator="lessThan">
      <formula>0</formula>
    </cfRule>
    <cfRule type="cellIs" dxfId="10352" priority="19944" operator="greaterThan">
      <formula>0</formula>
    </cfRule>
  </conditionalFormatting>
  <conditionalFormatting sqref="GF12:GF13">
    <cfRule type="cellIs" dxfId="10351" priority="19941" operator="lessThan">
      <formula>0</formula>
    </cfRule>
    <cfRule type="cellIs" dxfId="10350" priority="19942" operator="greaterThan">
      <formula>0</formula>
    </cfRule>
  </conditionalFormatting>
  <conditionalFormatting sqref="GF14:GF19">
    <cfRule type="cellIs" dxfId="10349" priority="19939" operator="lessThan">
      <formula>0</formula>
    </cfRule>
    <cfRule type="cellIs" dxfId="10348" priority="19940" operator="greaterThan">
      <formula>0</formula>
    </cfRule>
  </conditionalFormatting>
  <conditionalFormatting sqref="GF20:GF22">
    <cfRule type="cellIs" dxfId="10347" priority="19937" operator="lessThan">
      <formula>0</formula>
    </cfRule>
    <cfRule type="cellIs" dxfId="10346" priority="19938" operator="greaterThan">
      <formula>0</formula>
    </cfRule>
  </conditionalFormatting>
  <conditionalFormatting sqref="GF45:GF46">
    <cfRule type="cellIs" dxfId="10345" priority="19951" operator="lessThan">
      <formula>0</formula>
    </cfRule>
    <cfRule type="cellIs" dxfId="10344" priority="19952" operator="greaterThan">
      <formula>0</formula>
    </cfRule>
  </conditionalFormatting>
  <conditionalFormatting sqref="GF7">
    <cfRule type="cellIs" dxfId="10343" priority="19923" operator="lessThan">
      <formula>0</formula>
    </cfRule>
    <cfRule type="cellIs" dxfId="10342" priority="19924" operator="greaterThan">
      <formula>0</formula>
    </cfRule>
  </conditionalFormatting>
  <conditionalFormatting sqref="GF7">
    <cfRule type="cellIs" dxfId="10341" priority="19921" operator="lessThan">
      <formula>0</formula>
    </cfRule>
    <cfRule type="cellIs" dxfId="10340" priority="19922" operator="greaterThan">
      <formula>0</formula>
    </cfRule>
  </conditionalFormatting>
  <conditionalFormatting sqref="GF8">
    <cfRule type="cellIs" dxfId="10339" priority="19919" operator="lessThan">
      <formula>0</formula>
    </cfRule>
    <cfRule type="cellIs" dxfId="10338" priority="19920" operator="greaterThan">
      <formula>0</formula>
    </cfRule>
  </conditionalFormatting>
  <conditionalFormatting sqref="GF47">
    <cfRule type="cellIs" dxfId="10337" priority="19917" operator="lessThan">
      <formula>0</formula>
    </cfRule>
    <cfRule type="cellIs" dxfId="10336" priority="19918" operator="greaterThan">
      <formula>0</formula>
    </cfRule>
  </conditionalFormatting>
  <conditionalFormatting sqref="GF44">
    <cfRule type="cellIs" dxfId="10335" priority="19915" operator="lessThan">
      <formula>0</formula>
    </cfRule>
    <cfRule type="cellIs" dxfId="10334" priority="19916" operator="greaterThan">
      <formula>0</formula>
    </cfRule>
  </conditionalFormatting>
  <conditionalFormatting sqref="GF23:GF24">
    <cfRule type="cellIs" dxfId="10333" priority="19911" operator="lessThan">
      <formula>0</formula>
    </cfRule>
    <cfRule type="cellIs" dxfId="10332" priority="19912" operator="greaterThan">
      <formula>0</formula>
    </cfRule>
  </conditionalFormatting>
  <conditionalFormatting sqref="GF33:GF34">
    <cfRule type="cellIs" dxfId="10331" priority="19909" operator="lessThan">
      <formula>0</formula>
    </cfRule>
    <cfRule type="cellIs" dxfId="10330" priority="19910" operator="greaterThan">
      <formula>0</formula>
    </cfRule>
  </conditionalFormatting>
  <conditionalFormatting sqref="GF43:GF44">
    <cfRule type="cellIs" dxfId="10329" priority="19907" operator="lessThan">
      <formula>0</formula>
    </cfRule>
    <cfRule type="cellIs" dxfId="10328" priority="19908" operator="greaterThan">
      <formula>0</formula>
    </cfRule>
  </conditionalFormatting>
  <conditionalFormatting sqref="GH11 GH19 GH3 GH24:GH32 GH34:GH42 GH69:GH79">
    <cfRule type="cellIs" dxfId="10327" priority="19903" operator="lessThan">
      <formula>0</formula>
    </cfRule>
    <cfRule type="cellIs" dxfId="10326" priority="19904" operator="greaterThan">
      <formula>0</formula>
    </cfRule>
  </conditionalFormatting>
  <conditionalFormatting sqref="GH4:GH5">
    <cfRule type="cellIs" dxfId="10325" priority="19895" operator="lessThan">
      <formula>0</formula>
    </cfRule>
    <cfRule type="cellIs" dxfId="10324" priority="19896" operator="greaterThan">
      <formula>0</formula>
    </cfRule>
  </conditionalFormatting>
  <conditionalFormatting sqref="GH6 GH9:GH11">
    <cfRule type="cellIs" dxfId="10323" priority="19893" operator="lessThan">
      <formula>0</formula>
    </cfRule>
    <cfRule type="cellIs" dxfId="10322" priority="19894" operator="greaterThan">
      <formula>0</formula>
    </cfRule>
  </conditionalFormatting>
  <conditionalFormatting sqref="GH12:GH13">
    <cfRule type="cellIs" dxfId="10321" priority="19891" operator="lessThan">
      <formula>0</formula>
    </cfRule>
    <cfRule type="cellIs" dxfId="10320" priority="19892" operator="greaterThan">
      <formula>0</formula>
    </cfRule>
  </conditionalFormatting>
  <conditionalFormatting sqref="GH14:GH19">
    <cfRule type="cellIs" dxfId="10319" priority="19889" operator="lessThan">
      <formula>0</formula>
    </cfRule>
    <cfRule type="cellIs" dxfId="10318" priority="19890" operator="greaterThan">
      <formula>0</formula>
    </cfRule>
  </conditionalFormatting>
  <conditionalFormatting sqref="GH20:GH22">
    <cfRule type="cellIs" dxfId="10317" priority="19887" operator="lessThan">
      <formula>0</formula>
    </cfRule>
    <cfRule type="cellIs" dxfId="10316" priority="19888" operator="greaterThan">
      <formula>0</formula>
    </cfRule>
  </conditionalFormatting>
  <conditionalFormatting sqref="GH45:GH46">
    <cfRule type="cellIs" dxfId="10315" priority="19901" operator="lessThan">
      <formula>0</formula>
    </cfRule>
    <cfRule type="cellIs" dxfId="10314" priority="19902" operator="greaterThan">
      <formula>0</formula>
    </cfRule>
  </conditionalFormatting>
  <conditionalFormatting sqref="GH7">
    <cfRule type="cellIs" dxfId="10313" priority="19873" operator="lessThan">
      <formula>0</formula>
    </cfRule>
    <cfRule type="cellIs" dxfId="10312" priority="19874" operator="greaterThan">
      <formula>0</formula>
    </cfRule>
  </conditionalFormatting>
  <conditionalFormatting sqref="GH7">
    <cfRule type="cellIs" dxfId="10311" priority="19871" operator="lessThan">
      <formula>0</formula>
    </cfRule>
    <cfRule type="cellIs" dxfId="10310" priority="19872" operator="greaterThan">
      <formula>0</formula>
    </cfRule>
  </conditionalFormatting>
  <conditionalFormatting sqref="GH8">
    <cfRule type="cellIs" dxfId="10309" priority="19869" operator="lessThan">
      <formula>0</formula>
    </cfRule>
    <cfRule type="cellIs" dxfId="10308" priority="19870" operator="greaterThan">
      <formula>0</formula>
    </cfRule>
  </conditionalFormatting>
  <conditionalFormatting sqref="GH47">
    <cfRule type="cellIs" dxfId="10307" priority="19867" operator="lessThan">
      <formula>0</formula>
    </cfRule>
    <cfRule type="cellIs" dxfId="10306" priority="19868" operator="greaterThan">
      <formula>0</formula>
    </cfRule>
  </conditionalFormatting>
  <conditionalFormatting sqref="GH44">
    <cfRule type="cellIs" dxfId="10305" priority="19865" operator="lessThan">
      <formula>0</formula>
    </cfRule>
    <cfRule type="cellIs" dxfId="10304" priority="19866" operator="greaterThan">
      <formula>0</formula>
    </cfRule>
  </conditionalFormatting>
  <conditionalFormatting sqref="GH23:GH24">
    <cfRule type="cellIs" dxfId="10303" priority="19861" operator="lessThan">
      <formula>0</formula>
    </cfRule>
    <cfRule type="cellIs" dxfId="10302" priority="19862" operator="greaterThan">
      <formula>0</formula>
    </cfRule>
  </conditionalFormatting>
  <conditionalFormatting sqref="GH33:GH34">
    <cfRule type="cellIs" dxfId="10301" priority="19859" operator="lessThan">
      <formula>0</formula>
    </cfRule>
    <cfRule type="cellIs" dxfId="10300" priority="19860" operator="greaterThan">
      <formula>0</formula>
    </cfRule>
  </conditionalFormatting>
  <conditionalFormatting sqref="GH43:GH44">
    <cfRule type="cellIs" dxfId="10299" priority="19857" operator="lessThan">
      <formula>0</formula>
    </cfRule>
    <cfRule type="cellIs" dxfId="10298" priority="19858" operator="greaterThan">
      <formula>0</formula>
    </cfRule>
  </conditionalFormatting>
  <conditionalFormatting sqref="GJ11 GJ19 GJ3 GJ24:GJ32 GJ34:GJ42 GJ69:GJ79">
    <cfRule type="cellIs" dxfId="10297" priority="19853" operator="lessThan">
      <formula>0</formula>
    </cfRule>
    <cfRule type="cellIs" dxfId="10296" priority="19854" operator="greaterThan">
      <formula>0</formula>
    </cfRule>
  </conditionalFormatting>
  <conditionalFormatting sqref="GJ4:GJ5">
    <cfRule type="cellIs" dxfId="10295" priority="19845" operator="lessThan">
      <formula>0</formula>
    </cfRule>
    <cfRule type="cellIs" dxfId="10294" priority="19846" operator="greaterThan">
      <formula>0</formula>
    </cfRule>
  </conditionalFormatting>
  <conditionalFormatting sqref="GJ6 GJ9:GJ11">
    <cfRule type="cellIs" dxfId="10293" priority="19843" operator="lessThan">
      <formula>0</formula>
    </cfRule>
    <cfRule type="cellIs" dxfId="10292" priority="19844" operator="greaterThan">
      <formula>0</formula>
    </cfRule>
  </conditionalFormatting>
  <conditionalFormatting sqref="GJ12:GJ13">
    <cfRule type="cellIs" dxfId="10291" priority="19841" operator="lessThan">
      <formula>0</formula>
    </cfRule>
    <cfRule type="cellIs" dxfId="10290" priority="19842" operator="greaterThan">
      <formula>0</formula>
    </cfRule>
  </conditionalFormatting>
  <conditionalFormatting sqref="GJ14:GJ19">
    <cfRule type="cellIs" dxfId="10289" priority="19839" operator="lessThan">
      <formula>0</formula>
    </cfRule>
    <cfRule type="cellIs" dxfId="10288" priority="19840" operator="greaterThan">
      <formula>0</formula>
    </cfRule>
  </conditionalFormatting>
  <conditionalFormatting sqref="GJ20:GJ22">
    <cfRule type="cellIs" dxfId="10287" priority="19837" operator="lessThan">
      <formula>0</formula>
    </cfRule>
    <cfRule type="cellIs" dxfId="10286" priority="19838" operator="greaterThan">
      <formula>0</formula>
    </cfRule>
  </conditionalFormatting>
  <conditionalFormatting sqref="GJ45:GJ46">
    <cfRule type="cellIs" dxfId="10285" priority="19851" operator="lessThan">
      <formula>0</formula>
    </cfRule>
    <cfRule type="cellIs" dxfId="10284" priority="19852" operator="greaterThan">
      <formula>0</formula>
    </cfRule>
  </conditionalFormatting>
  <conditionalFormatting sqref="GJ7">
    <cfRule type="cellIs" dxfId="10283" priority="19823" operator="lessThan">
      <formula>0</formula>
    </cfRule>
    <cfRule type="cellIs" dxfId="10282" priority="19824" operator="greaterThan">
      <formula>0</formula>
    </cfRule>
  </conditionalFormatting>
  <conditionalFormatting sqref="GJ7">
    <cfRule type="cellIs" dxfId="10281" priority="19821" operator="lessThan">
      <formula>0</formula>
    </cfRule>
    <cfRule type="cellIs" dxfId="10280" priority="19822" operator="greaterThan">
      <formula>0</formula>
    </cfRule>
  </conditionalFormatting>
  <conditionalFormatting sqref="GJ8">
    <cfRule type="cellIs" dxfId="10279" priority="19819" operator="lessThan">
      <formula>0</formula>
    </cfRule>
    <cfRule type="cellIs" dxfId="10278" priority="19820" operator="greaterThan">
      <formula>0</formula>
    </cfRule>
  </conditionalFormatting>
  <conditionalFormatting sqref="GJ47">
    <cfRule type="cellIs" dxfId="10277" priority="19817" operator="lessThan">
      <formula>0</formula>
    </cfRule>
    <cfRule type="cellIs" dxfId="10276" priority="19818" operator="greaterThan">
      <formula>0</formula>
    </cfRule>
  </conditionalFormatting>
  <conditionalFormatting sqref="GJ44">
    <cfRule type="cellIs" dxfId="10275" priority="19815" operator="lessThan">
      <formula>0</formula>
    </cfRule>
    <cfRule type="cellIs" dxfId="10274" priority="19816" operator="greaterThan">
      <formula>0</formula>
    </cfRule>
  </conditionalFormatting>
  <conditionalFormatting sqref="GJ23:GJ24">
    <cfRule type="cellIs" dxfId="10273" priority="19811" operator="lessThan">
      <formula>0</formula>
    </cfRule>
    <cfRule type="cellIs" dxfId="10272" priority="19812" operator="greaterThan">
      <formula>0</formula>
    </cfRule>
  </conditionalFormatting>
  <conditionalFormatting sqref="GJ33:GJ34">
    <cfRule type="cellIs" dxfId="10271" priority="19809" operator="lessThan">
      <formula>0</formula>
    </cfRule>
    <cfRule type="cellIs" dxfId="10270" priority="19810" operator="greaterThan">
      <formula>0</formula>
    </cfRule>
  </conditionalFormatting>
  <conditionalFormatting sqref="GJ43:GJ44">
    <cfRule type="cellIs" dxfId="10269" priority="19807" operator="lessThan">
      <formula>0</formula>
    </cfRule>
    <cfRule type="cellIs" dxfId="10268" priority="19808" operator="greaterThan">
      <formula>0</formula>
    </cfRule>
  </conditionalFormatting>
  <conditionalFormatting sqref="GL11 GL19 GL3 GL24:GL32 GL34:GL42 GL69:GL79">
    <cfRule type="cellIs" dxfId="10267" priority="19803" operator="lessThan">
      <formula>0</formula>
    </cfRule>
    <cfRule type="cellIs" dxfId="10266" priority="19804" operator="greaterThan">
      <formula>0</formula>
    </cfRule>
  </conditionalFormatting>
  <conditionalFormatting sqref="GL4:GL5">
    <cfRule type="cellIs" dxfId="10265" priority="19795" operator="lessThan">
      <formula>0</formula>
    </cfRule>
    <cfRule type="cellIs" dxfId="10264" priority="19796" operator="greaterThan">
      <formula>0</formula>
    </cfRule>
  </conditionalFormatting>
  <conditionalFormatting sqref="GL6 GL9:GL11">
    <cfRule type="cellIs" dxfId="10263" priority="19793" operator="lessThan">
      <formula>0</formula>
    </cfRule>
    <cfRule type="cellIs" dxfId="10262" priority="19794" operator="greaterThan">
      <formula>0</formula>
    </cfRule>
  </conditionalFormatting>
  <conditionalFormatting sqref="GL12:GL13">
    <cfRule type="cellIs" dxfId="10261" priority="19791" operator="lessThan">
      <formula>0</formula>
    </cfRule>
    <cfRule type="cellIs" dxfId="10260" priority="19792" operator="greaterThan">
      <formula>0</formula>
    </cfRule>
  </conditionalFormatting>
  <conditionalFormatting sqref="GL14:GL19">
    <cfRule type="cellIs" dxfId="10259" priority="19789" operator="lessThan">
      <formula>0</formula>
    </cfRule>
    <cfRule type="cellIs" dxfId="10258" priority="19790" operator="greaterThan">
      <formula>0</formula>
    </cfRule>
  </conditionalFormatting>
  <conditionalFormatting sqref="GL20:GL22">
    <cfRule type="cellIs" dxfId="10257" priority="19787" operator="lessThan">
      <formula>0</formula>
    </cfRule>
    <cfRule type="cellIs" dxfId="10256" priority="19788" operator="greaterThan">
      <formula>0</formula>
    </cfRule>
  </conditionalFormatting>
  <conditionalFormatting sqref="GL45:GL46">
    <cfRule type="cellIs" dxfId="10255" priority="19801" operator="lessThan">
      <formula>0</formula>
    </cfRule>
    <cfRule type="cellIs" dxfId="10254" priority="19802" operator="greaterThan">
      <formula>0</formula>
    </cfRule>
  </conditionalFormatting>
  <conditionalFormatting sqref="GL7">
    <cfRule type="cellIs" dxfId="10253" priority="19773" operator="lessThan">
      <formula>0</formula>
    </cfRule>
    <cfRule type="cellIs" dxfId="10252" priority="19774" operator="greaterThan">
      <formula>0</formula>
    </cfRule>
  </conditionalFormatting>
  <conditionalFormatting sqref="GL7">
    <cfRule type="cellIs" dxfId="10251" priority="19771" operator="lessThan">
      <formula>0</formula>
    </cfRule>
    <cfRule type="cellIs" dxfId="10250" priority="19772" operator="greaterThan">
      <formula>0</formula>
    </cfRule>
  </conditionalFormatting>
  <conditionalFormatting sqref="GL8">
    <cfRule type="cellIs" dxfId="10249" priority="19769" operator="lessThan">
      <formula>0</formula>
    </cfRule>
    <cfRule type="cellIs" dxfId="10248" priority="19770" operator="greaterThan">
      <formula>0</formula>
    </cfRule>
  </conditionalFormatting>
  <conditionalFormatting sqref="GL47">
    <cfRule type="cellIs" dxfId="10247" priority="19767" operator="lessThan">
      <formula>0</formula>
    </cfRule>
    <cfRule type="cellIs" dxfId="10246" priority="19768" operator="greaterThan">
      <formula>0</formula>
    </cfRule>
  </conditionalFormatting>
  <conditionalFormatting sqref="GL44">
    <cfRule type="cellIs" dxfId="10245" priority="19765" operator="lessThan">
      <formula>0</formula>
    </cfRule>
    <cfRule type="cellIs" dxfId="10244" priority="19766" operator="greaterThan">
      <formula>0</formula>
    </cfRule>
  </conditionalFormatting>
  <conditionalFormatting sqref="GL23:GL24">
    <cfRule type="cellIs" dxfId="10243" priority="19761" operator="lessThan">
      <formula>0</formula>
    </cfRule>
    <cfRule type="cellIs" dxfId="10242" priority="19762" operator="greaterThan">
      <formula>0</formula>
    </cfRule>
  </conditionalFormatting>
  <conditionalFormatting sqref="GL33:GL34">
    <cfRule type="cellIs" dxfId="10241" priority="19759" operator="lessThan">
      <formula>0</formula>
    </cfRule>
    <cfRule type="cellIs" dxfId="10240" priority="19760" operator="greaterThan">
      <formula>0</formula>
    </cfRule>
  </conditionalFormatting>
  <conditionalFormatting sqref="GL43:GL44">
    <cfRule type="cellIs" dxfId="10239" priority="19757" operator="lessThan">
      <formula>0</formula>
    </cfRule>
    <cfRule type="cellIs" dxfId="10238" priority="19758" operator="greaterThan">
      <formula>0</formula>
    </cfRule>
  </conditionalFormatting>
  <conditionalFormatting sqref="GN11 GN19 GN3 GN24:GN32 GN34:GN42 GN69:GN79">
    <cfRule type="cellIs" dxfId="10237" priority="19748" operator="lessThan">
      <formula>0</formula>
    </cfRule>
    <cfRule type="cellIs" dxfId="10236" priority="19749" operator="greaterThan">
      <formula>0</formula>
    </cfRule>
  </conditionalFormatting>
  <conditionalFormatting sqref="GN4:GN5">
    <cfRule type="cellIs" dxfId="10235" priority="19740" operator="lessThan">
      <formula>0</formula>
    </cfRule>
    <cfRule type="cellIs" dxfId="10234" priority="19741" operator="greaterThan">
      <formula>0</formula>
    </cfRule>
  </conditionalFormatting>
  <conditionalFormatting sqref="GN6 GN9:GN11">
    <cfRule type="cellIs" dxfId="10233" priority="19738" operator="lessThan">
      <formula>0</formula>
    </cfRule>
    <cfRule type="cellIs" dxfId="10232" priority="19739" operator="greaterThan">
      <formula>0</formula>
    </cfRule>
  </conditionalFormatting>
  <conditionalFormatting sqref="GN12:GN13">
    <cfRule type="cellIs" dxfId="10231" priority="19736" operator="lessThan">
      <formula>0</formula>
    </cfRule>
    <cfRule type="cellIs" dxfId="10230" priority="19737" operator="greaterThan">
      <formula>0</formula>
    </cfRule>
  </conditionalFormatting>
  <conditionalFormatting sqref="GN14:GN19">
    <cfRule type="cellIs" dxfId="10229" priority="19734" operator="lessThan">
      <formula>0</formula>
    </cfRule>
    <cfRule type="cellIs" dxfId="10228" priority="19735" operator="greaterThan">
      <formula>0</formula>
    </cfRule>
  </conditionalFormatting>
  <conditionalFormatting sqref="GN20:GN22">
    <cfRule type="cellIs" dxfId="10227" priority="19732" operator="lessThan">
      <formula>0</formula>
    </cfRule>
    <cfRule type="cellIs" dxfId="10226" priority="19733" operator="greaterThan">
      <formula>0</formula>
    </cfRule>
  </conditionalFormatting>
  <conditionalFormatting sqref="GN45:GN46">
    <cfRule type="cellIs" dxfId="10225" priority="19746" operator="lessThan">
      <formula>0</formula>
    </cfRule>
    <cfRule type="cellIs" dxfId="10224" priority="19747" operator="greaterThan">
      <formula>0</formula>
    </cfRule>
  </conditionalFormatting>
  <conditionalFormatting sqref="GN7">
    <cfRule type="cellIs" dxfId="10223" priority="19718" operator="lessThan">
      <formula>0</formula>
    </cfRule>
    <cfRule type="cellIs" dxfId="10222" priority="19719" operator="greaterThan">
      <formula>0</formula>
    </cfRule>
  </conditionalFormatting>
  <conditionalFormatting sqref="GN7">
    <cfRule type="cellIs" dxfId="10221" priority="19716" operator="lessThan">
      <formula>0</formula>
    </cfRule>
    <cfRule type="cellIs" dxfId="10220" priority="19717" operator="greaterThan">
      <formula>0</formula>
    </cfRule>
  </conditionalFormatting>
  <conditionalFormatting sqref="GN8">
    <cfRule type="cellIs" dxfId="10219" priority="19714" operator="lessThan">
      <formula>0</formula>
    </cfRule>
    <cfRule type="cellIs" dxfId="10218" priority="19715" operator="greaterThan">
      <formula>0</formula>
    </cfRule>
  </conditionalFormatting>
  <conditionalFormatting sqref="GN47">
    <cfRule type="cellIs" dxfId="10217" priority="19712" operator="lessThan">
      <formula>0</formula>
    </cfRule>
    <cfRule type="cellIs" dxfId="10216" priority="19713" operator="greaterThan">
      <formula>0</formula>
    </cfRule>
  </conditionalFormatting>
  <conditionalFormatting sqref="GN44">
    <cfRule type="cellIs" dxfId="10215" priority="19710" operator="lessThan">
      <formula>0</formula>
    </cfRule>
    <cfRule type="cellIs" dxfId="10214" priority="19711" operator="greaterThan">
      <formula>0</formula>
    </cfRule>
  </conditionalFormatting>
  <conditionalFormatting sqref="GN23:GN24">
    <cfRule type="cellIs" dxfId="10213" priority="19706" operator="lessThan">
      <formula>0</formula>
    </cfRule>
    <cfRule type="cellIs" dxfId="10212" priority="19707" operator="greaterThan">
      <formula>0</formula>
    </cfRule>
  </conditionalFormatting>
  <conditionalFormatting sqref="GN33:GN34">
    <cfRule type="cellIs" dxfId="10211" priority="19704" operator="lessThan">
      <formula>0</formula>
    </cfRule>
    <cfRule type="cellIs" dxfId="10210" priority="19705" operator="greaterThan">
      <formula>0</formula>
    </cfRule>
  </conditionalFormatting>
  <conditionalFormatting sqref="GN43:GN44">
    <cfRule type="cellIs" dxfId="10209" priority="19702" operator="lessThan">
      <formula>0</formula>
    </cfRule>
    <cfRule type="cellIs" dxfId="10208" priority="19703" operator="greaterThan">
      <formula>0</formula>
    </cfRule>
  </conditionalFormatting>
  <conditionalFormatting sqref="GP11 GP19 GP3 GP24:GP32 GP34:GP42 GP69:GP79">
    <cfRule type="cellIs" dxfId="10207" priority="19693" operator="lessThan">
      <formula>0</formula>
    </cfRule>
    <cfRule type="cellIs" dxfId="10206" priority="19694" operator="greaterThan">
      <formula>0</formula>
    </cfRule>
  </conditionalFormatting>
  <conditionalFormatting sqref="GP4:GP5">
    <cfRule type="cellIs" dxfId="10205" priority="19685" operator="lessThan">
      <formula>0</formula>
    </cfRule>
    <cfRule type="cellIs" dxfId="10204" priority="19686" operator="greaterThan">
      <formula>0</formula>
    </cfRule>
  </conditionalFormatting>
  <conditionalFormatting sqref="GP6 GP9:GP11">
    <cfRule type="cellIs" dxfId="10203" priority="19683" operator="lessThan">
      <formula>0</formula>
    </cfRule>
    <cfRule type="cellIs" dxfId="10202" priority="19684" operator="greaterThan">
      <formula>0</formula>
    </cfRule>
  </conditionalFormatting>
  <conditionalFormatting sqref="GP12:GP13">
    <cfRule type="cellIs" dxfId="10201" priority="19681" operator="lessThan">
      <formula>0</formula>
    </cfRule>
    <cfRule type="cellIs" dxfId="10200" priority="19682" operator="greaterThan">
      <formula>0</formula>
    </cfRule>
  </conditionalFormatting>
  <conditionalFormatting sqref="GP14:GP19">
    <cfRule type="cellIs" dxfId="10199" priority="19679" operator="lessThan">
      <formula>0</formula>
    </cfRule>
    <cfRule type="cellIs" dxfId="10198" priority="19680" operator="greaterThan">
      <formula>0</formula>
    </cfRule>
  </conditionalFormatting>
  <conditionalFormatting sqref="GP20:GP22">
    <cfRule type="cellIs" dxfId="10197" priority="19677" operator="lessThan">
      <formula>0</formula>
    </cfRule>
    <cfRule type="cellIs" dxfId="10196" priority="19678" operator="greaterThan">
      <formula>0</formula>
    </cfRule>
  </conditionalFormatting>
  <conditionalFormatting sqref="GP45:GP46">
    <cfRule type="cellIs" dxfId="10195" priority="19691" operator="lessThan">
      <formula>0</formula>
    </cfRule>
    <cfRule type="cellIs" dxfId="10194" priority="19692" operator="greaterThan">
      <formula>0</formula>
    </cfRule>
  </conditionalFormatting>
  <conditionalFormatting sqref="GP7">
    <cfRule type="cellIs" dxfId="10193" priority="19663" operator="lessThan">
      <formula>0</formula>
    </cfRule>
    <cfRule type="cellIs" dxfId="10192" priority="19664" operator="greaterThan">
      <formula>0</formula>
    </cfRule>
  </conditionalFormatting>
  <conditionalFormatting sqref="GP7">
    <cfRule type="cellIs" dxfId="10191" priority="19661" operator="lessThan">
      <formula>0</formula>
    </cfRule>
    <cfRule type="cellIs" dxfId="10190" priority="19662" operator="greaterThan">
      <formula>0</formula>
    </cfRule>
  </conditionalFormatting>
  <conditionalFormatting sqref="GP8">
    <cfRule type="cellIs" dxfId="10189" priority="19659" operator="lessThan">
      <formula>0</formula>
    </cfRule>
    <cfRule type="cellIs" dxfId="10188" priority="19660" operator="greaterThan">
      <formula>0</formula>
    </cfRule>
  </conditionalFormatting>
  <conditionalFormatting sqref="GP47">
    <cfRule type="cellIs" dxfId="10187" priority="19657" operator="lessThan">
      <formula>0</formula>
    </cfRule>
    <cfRule type="cellIs" dxfId="10186" priority="19658" operator="greaterThan">
      <formula>0</formula>
    </cfRule>
  </conditionalFormatting>
  <conditionalFormatting sqref="GP44">
    <cfRule type="cellIs" dxfId="10185" priority="19655" operator="lessThan">
      <formula>0</formula>
    </cfRule>
    <cfRule type="cellIs" dxfId="10184" priority="19656" operator="greaterThan">
      <formula>0</formula>
    </cfRule>
  </conditionalFormatting>
  <conditionalFormatting sqref="GP23:GP24">
    <cfRule type="cellIs" dxfId="10183" priority="19651" operator="lessThan">
      <formula>0</formula>
    </cfRule>
    <cfRule type="cellIs" dxfId="10182" priority="19652" operator="greaterThan">
      <formula>0</formula>
    </cfRule>
  </conditionalFormatting>
  <conditionalFormatting sqref="GP33:GP34">
    <cfRule type="cellIs" dxfId="10181" priority="19649" operator="lessThan">
      <formula>0</formula>
    </cfRule>
    <cfRule type="cellIs" dxfId="10180" priority="19650" operator="greaterThan">
      <formula>0</formula>
    </cfRule>
  </conditionalFormatting>
  <conditionalFormatting sqref="GP43:GP44">
    <cfRule type="cellIs" dxfId="10179" priority="19647" operator="lessThan">
      <formula>0</formula>
    </cfRule>
    <cfRule type="cellIs" dxfId="10178" priority="19648" operator="greaterThan">
      <formula>0</formula>
    </cfRule>
  </conditionalFormatting>
  <conditionalFormatting sqref="GR11 GR19 GR3 GR24:GR32 GR34:GR42 GR69:GR79">
    <cfRule type="cellIs" dxfId="10177" priority="19638" operator="lessThan">
      <formula>0</formula>
    </cfRule>
    <cfRule type="cellIs" dxfId="10176" priority="19639" operator="greaterThan">
      <formula>0</formula>
    </cfRule>
  </conditionalFormatting>
  <conditionalFormatting sqref="GR4:GR5">
    <cfRule type="cellIs" dxfId="10175" priority="19630" operator="lessThan">
      <formula>0</formula>
    </cfRule>
    <cfRule type="cellIs" dxfId="10174" priority="19631" operator="greaterThan">
      <formula>0</formula>
    </cfRule>
  </conditionalFormatting>
  <conditionalFormatting sqref="GR6 GR9:GR11">
    <cfRule type="cellIs" dxfId="10173" priority="19628" operator="lessThan">
      <formula>0</formula>
    </cfRule>
    <cfRule type="cellIs" dxfId="10172" priority="19629" operator="greaterThan">
      <formula>0</formula>
    </cfRule>
  </conditionalFormatting>
  <conditionalFormatting sqref="GR12:GR13">
    <cfRule type="cellIs" dxfId="10171" priority="19626" operator="lessThan">
      <formula>0</formula>
    </cfRule>
    <cfRule type="cellIs" dxfId="10170" priority="19627" operator="greaterThan">
      <formula>0</formula>
    </cfRule>
  </conditionalFormatting>
  <conditionalFormatting sqref="GR14:GR19">
    <cfRule type="cellIs" dxfId="10169" priority="19624" operator="lessThan">
      <formula>0</formula>
    </cfRule>
    <cfRule type="cellIs" dxfId="10168" priority="19625" operator="greaterThan">
      <formula>0</formula>
    </cfRule>
  </conditionalFormatting>
  <conditionalFormatting sqref="GR20:GR22">
    <cfRule type="cellIs" dxfId="10167" priority="19622" operator="lessThan">
      <formula>0</formula>
    </cfRule>
    <cfRule type="cellIs" dxfId="10166" priority="19623" operator="greaterThan">
      <formula>0</formula>
    </cfRule>
  </conditionalFormatting>
  <conditionalFormatting sqref="GR45:GR46">
    <cfRule type="cellIs" dxfId="10165" priority="19636" operator="lessThan">
      <formula>0</formula>
    </cfRule>
    <cfRule type="cellIs" dxfId="10164" priority="19637" operator="greaterThan">
      <formula>0</formula>
    </cfRule>
  </conditionalFormatting>
  <conditionalFormatting sqref="GR7">
    <cfRule type="cellIs" dxfId="10163" priority="19608" operator="lessThan">
      <formula>0</formula>
    </cfRule>
    <cfRule type="cellIs" dxfId="10162" priority="19609" operator="greaterThan">
      <formula>0</formula>
    </cfRule>
  </conditionalFormatting>
  <conditionalFormatting sqref="GR7">
    <cfRule type="cellIs" dxfId="10161" priority="19606" operator="lessThan">
      <formula>0</formula>
    </cfRule>
    <cfRule type="cellIs" dxfId="10160" priority="19607" operator="greaterThan">
      <formula>0</formula>
    </cfRule>
  </conditionalFormatting>
  <conditionalFormatting sqref="GR8">
    <cfRule type="cellIs" dxfId="10159" priority="19604" operator="lessThan">
      <formula>0</formula>
    </cfRule>
    <cfRule type="cellIs" dxfId="10158" priority="19605" operator="greaterThan">
      <formula>0</formula>
    </cfRule>
  </conditionalFormatting>
  <conditionalFormatting sqref="GR47">
    <cfRule type="cellIs" dxfId="10157" priority="19602" operator="lessThan">
      <formula>0</formula>
    </cfRule>
    <cfRule type="cellIs" dxfId="10156" priority="19603" operator="greaterThan">
      <formula>0</formula>
    </cfRule>
  </conditionalFormatting>
  <conditionalFormatting sqref="GR44">
    <cfRule type="cellIs" dxfId="10155" priority="19600" operator="lessThan">
      <formula>0</formula>
    </cfRule>
    <cfRule type="cellIs" dxfId="10154" priority="19601" operator="greaterThan">
      <formula>0</formula>
    </cfRule>
  </conditionalFormatting>
  <conditionalFormatting sqref="GR23:GR24">
    <cfRule type="cellIs" dxfId="10153" priority="19596" operator="lessThan">
      <formula>0</formula>
    </cfRule>
    <cfRule type="cellIs" dxfId="10152" priority="19597" operator="greaterThan">
      <formula>0</formula>
    </cfRule>
  </conditionalFormatting>
  <conditionalFormatting sqref="GR33:GR34">
    <cfRule type="cellIs" dxfId="10151" priority="19594" operator="lessThan">
      <formula>0</formula>
    </cfRule>
    <cfRule type="cellIs" dxfId="10150" priority="19595" operator="greaterThan">
      <formula>0</formula>
    </cfRule>
  </conditionalFormatting>
  <conditionalFormatting sqref="GR43:GR44">
    <cfRule type="cellIs" dxfId="10149" priority="19592" operator="lessThan">
      <formula>0</formula>
    </cfRule>
    <cfRule type="cellIs" dxfId="10148" priority="19593" operator="greaterThan">
      <formula>0</formula>
    </cfRule>
  </conditionalFormatting>
  <conditionalFormatting sqref="GT11 GT19 GT3 GT24:GT32 GT34:GT42 GT69:GT79">
    <cfRule type="cellIs" dxfId="10147" priority="19583" operator="lessThan">
      <formula>0</formula>
    </cfRule>
    <cfRule type="cellIs" dxfId="10146" priority="19584" operator="greaterThan">
      <formula>0</formula>
    </cfRule>
  </conditionalFormatting>
  <conditionalFormatting sqref="GT4:GT5">
    <cfRule type="cellIs" dxfId="10145" priority="19575" operator="lessThan">
      <formula>0</formula>
    </cfRule>
    <cfRule type="cellIs" dxfId="10144" priority="19576" operator="greaterThan">
      <formula>0</formula>
    </cfRule>
  </conditionalFormatting>
  <conditionalFormatting sqref="GT6 GT9:GT11">
    <cfRule type="cellIs" dxfId="10143" priority="19573" operator="lessThan">
      <formula>0</formula>
    </cfRule>
    <cfRule type="cellIs" dxfId="10142" priority="19574" operator="greaterThan">
      <formula>0</formula>
    </cfRule>
  </conditionalFormatting>
  <conditionalFormatting sqref="GT12:GT13">
    <cfRule type="cellIs" dxfId="10141" priority="19571" operator="lessThan">
      <formula>0</formula>
    </cfRule>
    <cfRule type="cellIs" dxfId="10140" priority="19572" operator="greaterThan">
      <formula>0</formula>
    </cfRule>
  </conditionalFormatting>
  <conditionalFormatting sqref="GT14:GT19">
    <cfRule type="cellIs" dxfId="10139" priority="19569" operator="lessThan">
      <formula>0</formula>
    </cfRule>
    <cfRule type="cellIs" dxfId="10138" priority="19570" operator="greaterThan">
      <formula>0</formula>
    </cfRule>
  </conditionalFormatting>
  <conditionalFormatting sqref="GT20:GT22">
    <cfRule type="cellIs" dxfId="10137" priority="19567" operator="lessThan">
      <formula>0</formula>
    </cfRule>
    <cfRule type="cellIs" dxfId="10136" priority="19568" operator="greaterThan">
      <formula>0</formula>
    </cfRule>
  </conditionalFormatting>
  <conditionalFormatting sqref="GT45:GT46">
    <cfRule type="cellIs" dxfId="10135" priority="19581" operator="lessThan">
      <formula>0</formula>
    </cfRule>
    <cfRule type="cellIs" dxfId="10134" priority="19582" operator="greaterThan">
      <formula>0</formula>
    </cfRule>
  </conditionalFormatting>
  <conditionalFormatting sqref="GT7">
    <cfRule type="cellIs" dxfId="10133" priority="19553" operator="lessThan">
      <formula>0</formula>
    </cfRule>
    <cfRule type="cellIs" dxfId="10132" priority="19554" operator="greaterThan">
      <formula>0</formula>
    </cfRule>
  </conditionalFormatting>
  <conditionalFormatting sqref="GT7">
    <cfRule type="cellIs" dxfId="10131" priority="19551" operator="lessThan">
      <formula>0</formula>
    </cfRule>
    <cfRule type="cellIs" dxfId="10130" priority="19552" operator="greaterThan">
      <formula>0</formula>
    </cfRule>
  </conditionalFormatting>
  <conditionalFormatting sqref="GT8">
    <cfRule type="cellIs" dxfId="10129" priority="19549" operator="lessThan">
      <formula>0</formula>
    </cfRule>
    <cfRule type="cellIs" dxfId="10128" priority="19550" operator="greaterThan">
      <formula>0</formula>
    </cfRule>
  </conditionalFormatting>
  <conditionalFormatting sqref="GT47">
    <cfRule type="cellIs" dxfId="10127" priority="19547" operator="lessThan">
      <formula>0</formula>
    </cfRule>
    <cfRule type="cellIs" dxfId="10126" priority="19548" operator="greaterThan">
      <formula>0</formula>
    </cfRule>
  </conditionalFormatting>
  <conditionalFormatting sqref="GT44">
    <cfRule type="cellIs" dxfId="10125" priority="19545" operator="lessThan">
      <formula>0</formula>
    </cfRule>
    <cfRule type="cellIs" dxfId="10124" priority="19546" operator="greaterThan">
      <formula>0</formula>
    </cfRule>
  </conditionalFormatting>
  <conditionalFormatting sqref="GT23:GT24">
    <cfRule type="cellIs" dxfId="10123" priority="19541" operator="lessThan">
      <formula>0</formula>
    </cfRule>
    <cfRule type="cellIs" dxfId="10122" priority="19542" operator="greaterThan">
      <formula>0</formula>
    </cfRule>
  </conditionalFormatting>
  <conditionalFormatting sqref="GT33:GT34">
    <cfRule type="cellIs" dxfId="10121" priority="19539" operator="lessThan">
      <formula>0</formula>
    </cfRule>
    <cfRule type="cellIs" dxfId="10120" priority="19540" operator="greaterThan">
      <formula>0</formula>
    </cfRule>
  </conditionalFormatting>
  <conditionalFormatting sqref="GT43:GT44">
    <cfRule type="cellIs" dxfId="10119" priority="19537" operator="lessThan">
      <formula>0</formula>
    </cfRule>
    <cfRule type="cellIs" dxfId="10118" priority="19538" operator="greaterThan">
      <formula>0</formula>
    </cfRule>
  </conditionalFormatting>
  <conditionalFormatting sqref="FD98">
    <cfRule type="cellIs" dxfId="10117" priority="19521" operator="lessThan">
      <formula>0</formula>
    </cfRule>
    <cfRule type="cellIs" dxfId="10116" priority="19522" operator="greaterThan">
      <formula>0</formula>
    </cfRule>
  </conditionalFormatting>
  <conditionalFormatting sqref="GJ98">
    <cfRule type="cellIs" dxfId="10115" priority="19489" operator="lessThan">
      <formula>0</formula>
    </cfRule>
    <cfRule type="cellIs" dxfId="10114" priority="19490" operator="greaterThan">
      <formula>0</formula>
    </cfRule>
  </conditionalFormatting>
  <conditionalFormatting sqref="HB45:HB46">
    <cfRule type="cellIs" dxfId="10113" priority="19242" operator="lessThan">
      <formula>0</formula>
    </cfRule>
    <cfRule type="cellIs" dxfId="10112" priority="19243" operator="greaterThan">
      <formula>0</formula>
    </cfRule>
  </conditionalFormatting>
  <conditionalFormatting sqref="GV45:GV46">
    <cfRule type="cellIs" dxfId="10111" priority="19473" operator="lessThan">
      <formula>0</formula>
    </cfRule>
    <cfRule type="cellIs" dxfId="10110" priority="19474" operator="greaterThan">
      <formula>0</formula>
    </cfRule>
  </conditionalFormatting>
  <conditionalFormatting sqref="GV6 GV9:GV11">
    <cfRule type="cellIs" dxfId="10109" priority="19465" operator="lessThan">
      <formula>0</formula>
    </cfRule>
    <cfRule type="cellIs" dxfId="10108" priority="19466" operator="greaterThan">
      <formula>0</formula>
    </cfRule>
  </conditionalFormatting>
  <conditionalFormatting sqref="GV14:GV19">
    <cfRule type="cellIs" dxfId="10107" priority="19461" operator="lessThan">
      <formula>0</formula>
    </cfRule>
    <cfRule type="cellIs" dxfId="10106" priority="19462" operator="greaterThan">
      <formula>0</formula>
    </cfRule>
  </conditionalFormatting>
  <conditionalFormatting sqref="GJ99">
    <cfRule type="cellIs" dxfId="10105" priority="19487" operator="lessThan">
      <formula>0</formula>
    </cfRule>
    <cfRule type="cellIs" dxfId="10104" priority="19488" operator="greaterThan">
      <formula>0</formula>
    </cfRule>
  </conditionalFormatting>
  <conditionalFormatting sqref="GV7">
    <cfRule type="cellIs" dxfId="10103" priority="19445" operator="lessThan">
      <formula>0</formula>
    </cfRule>
    <cfRule type="cellIs" dxfId="10102" priority="19446" operator="greaterThan">
      <formula>0</formula>
    </cfRule>
  </conditionalFormatting>
  <conditionalFormatting sqref="GV8">
    <cfRule type="cellIs" dxfId="10101" priority="19441" operator="lessThan">
      <formula>0</formula>
    </cfRule>
    <cfRule type="cellIs" dxfId="10100" priority="19442" operator="greaterThan">
      <formula>0</formula>
    </cfRule>
  </conditionalFormatting>
  <conditionalFormatting sqref="GV44">
    <cfRule type="cellIs" dxfId="10099" priority="19437" operator="lessThan">
      <formula>0</formula>
    </cfRule>
    <cfRule type="cellIs" dxfId="10098" priority="19438" operator="greaterThan">
      <formula>0</formula>
    </cfRule>
  </conditionalFormatting>
  <conditionalFormatting sqref="GV11 GV19 GV3 GV24:GV32 GV34:GV42 GV69:GV79">
    <cfRule type="cellIs" dxfId="10097" priority="19475" operator="lessThan">
      <formula>0</formula>
    </cfRule>
    <cfRule type="cellIs" dxfId="10096" priority="19476" operator="greaterThan">
      <formula>0</formula>
    </cfRule>
  </conditionalFormatting>
  <conditionalFormatting sqref="GV4:GV5">
    <cfRule type="cellIs" dxfId="10095" priority="19467" operator="lessThan">
      <formula>0</formula>
    </cfRule>
    <cfRule type="cellIs" dxfId="10094" priority="19468" operator="greaterThan">
      <formula>0</formula>
    </cfRule>
  </conditionalFormatting>
  <conditionalFormatting sqref="HB14:HB19">
    <cfRule type="cellIs" dxfId="10093" priority="19230" operator="lessThan">
      <formula>0</formula>
    </cfRule>
    <cfRule type="cellIs" dxfId="10092" priority="19231" operator="greaterThan">
      <formula>0</formula>
    </cfRule>
  </conditionalFormatting>
  <conditionalFormatting sqref="GV12:GV13">
    <cfRule type="cellIs" dxfId="10091" priority="19463" operator="lessThan">
      <formula>0</formula>
    </cfRule>
    <cfRule type="cellIs" dxfId="10090" priority="19464" operator="greaterThan">
      <formula>0</formula>
    </cfRule>
  </conditionalFormatting>
  <conditionalFormatting sqref="GV20:GV22">
    <cfRule type="cellIs" dxfId="10089" priority="19459" operator="lessThan">
      <formula>0</formula>
    </cfRule>
    <cfRule type="cellIs" dxfId="10088" priority="19460" operator="greaterThan">
      <formula>0</formula>
    </cfRule>
  </conditionalFormatting>
  <conditionalFormatting sqref="HB6 HB9:HB11">
    <cfRule type="cellIs" dxfId="10087" priority="19234" operator="lessThan">
      <formula>0</formula>
    </cfRule>
    <cfRule type="cellIs" dxfId="10086" priority="19235" operator="greaterThan">
      <formula>0</formula>
    </cfRule>
  </conditionalFormatting>
  <conditionalFormatting sqref="HB7">
    <cfRule type="cellIs" dxfId="10085" priority="19214" operator="lessThan">
      <formula>0</formula>
    </cfRule>
    <cfRule type="cellIs" dxfId="10084" priority="19215" operator="greaterThan">
      <formula>0</formula>
    </cfRule>
  </conditionalFormatting>
  <conditionalFormatting sqref="HB8">
    <cfRule type="cellIs" dxfId="10083" priority="19210" operator="lessThan">
      <formula>0</formula>
    </cfRule>
    <cfRule type="cellIs" dxfId="10082" priority="19211" operator="greaterThan">
      <formula>0</formula>
    </cfRule>
  </conditionalFormatting>
  <conditionalFormatting sqref="GV7">
    <cfRule type="cellIs" dxfId="10081" priority="19443" operator="lessThan">
      <formula>0</formula>
    </cfRule>
    <cfRule type="cellIs" dxfId="10080" priority="19444" operator="greaterThan">
      <formula>0</formula>
    </cfRule>
  </conditionalFormatting>
  <conditionalFormatting sqref="HB44">
    <cfRule type="cellIs" dxfId="10079" priority="19206" operator="lessThan">
      <formula>0</formula>
    </cfRule>
    <cfRule type="cellIs" dxfId="10078" priority="19207" operator="greaterThan">
      <formula>0</formula>
    </cfRule>
  </conditionalFormatting>
  <conditionalFormatting sqref="GV47">
    <cfRule type="cellIs" dxfId="10077" priority="19439" operator="lessThan">
      <formula>0</formula>
    </cfRule>
    <cfRule type="cellIs" dxfId="10076" priority="19440" operator="greaterThan">
      <formula>0</formula>
    </cfRule>
  </conditionalFormatting>
  <conditionalFormatting sqref="HB23:HB24">
    <cfRule type="cellIs" dxfId="10075" priority="19202" operator="lessThan">
      <formula>0</formula>
    </cfRule>
    <cfRule type="cellIs" dxfId="10074" priority="19203" operator="greaterThan">
      <formula>0</formula>
    </cfRule>
  </conditionalFormatting>
  <conditionalFormatting sqref="GV23:GV24">
    <cfRule type="cellIs" dxfId="10073" priority="19433" operator="lessThan">
      <formula>0</formula>
    </cfRule>
    <cfRule type="cellIs" dxfId="10072" priority="19434" operator="greaterThan">
      <formula>0</formula>
    </cfRule>
  </conditionalFormatting>
  <conditionalFormatting sqref="GV33:GV34">
    <cfRule type="cellIs" dxfId="10071" priority="19431" operator="lessThan">
      <formula>0</formula>
    </cfRule>
    <cfRule type="cellIs" dxfId="10070" priority="19432" operator="greaterThan">
      <formula>0</formula>
    </cfRule>
  </conditionalFormatting>
  <conditionalFormatting sqref="GV43:GV44">
    <cfRule type="cellIs" dxfId="10069" priority="19429" operator="lessThan">
      <formula>0</formula>
    </cfRule>
    <cfRule type="cellIs" dxfId="10068" priority="19430" operator="greaterThan">
      <formula>0</formula>
    </cfRule>
  </conditionalFormatting>
  <conditionalFormatting sqref="GX7">
    <cfRule type="cellIs" dxfId="10067" priority="19383" operator="lessThan">
      <formula>0</formula>
    </cfRule>
    <cfRule type="cellIs" dxfId="10066" priority="19384" operator="greaterThan">
      <formula>0</formula>
    </cfRule>
  </conditionalFormatting>
  <conditionalFormatting sqref="GX6 GX9:GX11">
    <cfRule type="cellIs" dxfId="10065" priority="19403" operator="lessThan">
      <formula>0</formula>
    </cfRule>
    <cfRule type="cellIs" dxfId="10064" priority="19404" operator="greaterThan">
      <formula>0</formula>
    </cfRule>
  </conditionalFormatting>
  <conditionalFormatting sqref="GX11 GX19 GX3 GX24:GX32 GX34:GX42 GX69:GX79">
    <cfRule type="cellIs" dxfId="10063" priority="19413" operator="lessThan">
      <formula>0</formula>
    </cfRule>
    <cfRule type="cellIs" dxfId="10062" priority="19414" operator="greaterThan">
      <formula>0</formula>
    </cfRule>
  </conditionalFormatting>
  <conditionalFormatting sqref="GX4:GX5">
    <cfRule type="cellIs" dxfId="10061" priority="19405" operator="lessThan">
      <formula>0</formula>
    </cfRule>
    <cfRule type="cellIs" dxfId="10060" priority="19406" operator="greaterThan">
      <formula>0</formula>
    </cfRule>
  </conditionalFormatting>
  <conditionalFormatting sqref="GX12:GX13">
    <cfRule type="cellIs" dxfId="10059" priority="19401" operator="lessThan">
      <formula>0</formula>
    </cfRule>
    <cfRule type="cellIs" dxfId="10058" priority="19402" operator="greaterThan">
      <formula>0</formula>
    </cfRule>
  </conditionalFormatting>
  <conditionalFormatting sqref="GX14:GX19">
    <cfRule type="cellIs" dxfId="10057" priority="19399" operator="lessThan">
      <formula>0</formula>
    </cfRule>
    <cfRule type="cellIs" dxfId="10056" priority="19400" operator="greaterThan">
      <formula>0</formula>
    </cfRule>
  </conditionalFormatting>
  <conditionalFormatting sqref="GX20:GX22">
    <cfRule type="cellIs" dxfId="10055" priority="19397" operator="lessThan">
      <formula>0</formula>
    </cfRule>
    <cfRule type="cellIs" dxfId="10054" priority="19398" operator="greaterThan">
      <formula>0</formula>
    </cfRule>
  </conditionalFormatting>
  <conditionalFormatting sqref="GX45:GX46">
    <cfRule type="cellIs" dxfId="10053" priority="19411" operator="lessThan">
      <formula>0</formula>
    </cfRule>
    <cfRule type="cellIs" dxfId="10052" priority="19412" operator="greaterThan">
      <formula>0</formula>
    </cfRule>
  </conditionalFormatting>
  <conditionalFormatting sqref="GX7">
    <cfRule type="cellIs" dxfId="10051" priority="19381" operator="lessThan">
      <formula>0</formula>
    </cfRule>
    <cfRule type="cellIs" dxfId="10050" priority="19382" operator="greaterThan">
      <formula>0</formula>
    </cfRule>
  </conditionalFormatting>
  <conditionalFormatting sqref="GX8">
    <cfRule type="cellIs" dxfId="10049" priority="19379" operator="lessThan">
      <formula>0</formula>
    </cfRule>
    <cfRule type="cellIs" dxfId="10048" priority="19380" operator="greaterThan">
      <formula>0</formula>
    </cfRule>
  </conditionalFormatting>
  <conditionalFormatting sqref="GX47">
    <cfRule type="cellIs" dxfId="10047" priority="19377" operator="lessThan">
      <formula>0</formula>
    </cfRule>
    <cfRule type="cellIs" dxfId="10046" priority="19378" operator="greaterThan">
      <formula>0</formula>
    </cfRule>
  </conditionalFormatting>
  <conditionalFormatting sqref="GX44">
    <cfRule type="cellIs" dxfId="10045" priority="19375" operator="lessThan">
      <formula>0</formula>
    </cfRule>
    <cfRule type="cellIs" dxfId="10044" priority="19376" operator="greaterThan">
      <formula>0</formula>
    </cfRule>
  </conditionalFormatting>
  <conditionalFormatting sqref="GX23:GX24">
    <cfRule type="cellIs" dxfId="10043" priority="19371" operator="lessThan">
      <formula>0</formula>
    </cfRule>
    <cfRule type="cellIs" dxfId="10042" priority="19372" operator="greaterThan">
      <formula>0</formula>
    </cfRule>
  </conditionalFormatting>
  <conditionalFormatting sqref="GX33:GX34">
    <cfRule type="cellIs" dxfId="10041" priority="19369" operator="lessThan">
      <formula>0</formula>
    </cfRule>
    <cfRule type="cellIs" dxfId="10040" priority="19370" operator="greaterThan">
      <formula>0</formula>
    </cfRule>
  </conditionalFormatting>
  <conditionalFormatting sqref="GX43:GX44">
    <cfRule type="cellIs" dxfId="10039" priority="19367" operator="lessThan">
      <formula>0</formula>
    </cfRule>
    <cfRule type="cellIs" dxfId="10038" priority="19368" operator="greaterThan">
      <formula>0</formula>
    </cfRule>
  </conditionalFormatting>
  <conditionalFormatting sqref="GZ6 GZ9:GZ11">
    <cfRule type="cellIs" dxfId="10037" priority="19297" operator="lessThan">
      <formula>0</formula>
    </cfRule>
    <cfRule type="cellIs" dxfId="10036" priority="19298" operator="greaterThan">
      <formula>0</formula>
    </cfRule>
  </conditionalFormatting>
  <conditionalFormatting sqref="GZ11 GZ19 GZ3 GZ24:GZ32 GZ34:GZ42 GZ69:GZ79">
    <cfRule type="cellIs" dxfId="10035" priority="19307" operator="lessThan">
      <formula>0</formula>
    </cfRule>
    <cfRule type="cellIs" dxfId="10034" priority="19308" operator="greaterThan">
      <formula>0</formula>
    </cfRule>
  </conditionalFormatting>
  <conditionalFormatting sqref="GZ4:GZ5">
    <cfRule type="cellIs" dxfId="10033" priority="19299" operator="lessThan">
      <formula>0</formula>
    </cfRule>
    <cfRule type="cellIs" dxfId="10032" priority="19300" operator="greaterThan">
      <formula>0</formula>
    </cfRule>
  </conditionalFormatting>
  <conditionalFormatting sqref="GZ12:GZ13">
    <cfRule type="cellIs" dxfId="10031" priority="19295" operator="lessThan">
      <formula>0</formula>
    </cfRule>
    <cfRule type="cellIs" dxfId="10030" priority="19296" operator="greaterThan">
      <formula>0</formula>
    </cfRule>
  </conditionalFormatting>
  <conditionalFormatting sqref="GZ14:GZ19">
    <cfRule type="cellIs" dxfId="10029" priority="19293" operator="lessThan">
      <formula>0</formula>
    </cfRule>
    <cfRule type="cellIs" dxfId="10028" priority="19294" operator="greaterThan">
      <formula>0</formula>
    </cfRule>
  </conditionalFormatting>
  <conditionalFormatting sqref="GZ20:GZ22">
    <cfRule type="cellIs" dxfId="10027" priority="19291" operator="lessThan">
      <formula>0</formula>
    </cfRule>
    <cfRule type="cellIs" dxfId="10026" priority="19292" operator="greaterThan">
      <formula>0</formula>
    </cfRule>
  </conditionalFormatting>
  <conditionalFormatting sqref="GZ45:GZ46">
    <cfRule type="cellIs" dxfId="10025" priority="19305" operator="lessThan">
      <formula>0</formula>
    </cfRule>
    <cfRule type="cellIs" dxfId="10024" priority="19306" operator="greaterThan">
      <formula>0</formula>
    </cfRule>
  </conditionalFormatting>
  <conditionalFormatting sqref="GZ7">
    <cfRule type="cellIs" dxfId="10023" priority="19277" operator="lessThan">
      <formula>0</formula>
    </cfRule>
    <cfRule type="cellIs" dxfId="10022" priority="19278" operator="greaterThan">
      <formula>0</formula>
    </cfRule>
  </conditionalFormatting>
  <conditionalFormatting sqref="GZ7">
    <cfRule type="cellIs" dxfId="10021" priority="19275" operator="lessThan">
      <formula>0</formula>
    </cfRule>
    <cfRule type="cellIs" dxfId="10020" priority="19276" operator="greaterThan">
      <formula>0</formula>
    </cfRule>
  </conditionalFormatting>
  <conditionalFormatting sqref="GZ8">
    <cfRule type="cellIs" dxfId="10019" priority="19273" operator="lessThan">
      <formula>0</formula>
    </cfRule>
    <cfRule type="cellIs" dxfId="10018" priority="19274" operator="greaterThan">
      <formula>0</formula>
    </cfRule>
  </conditionalFormatting>
  <conditionalFormatting sqref="GZ47">
    <cfRule type="cellIs" dxfId="10017" priority="19271" operator="lessThan">
      <formula>0</formula>
    </cfRule>
    <cfRule type="cellIs" dxfId="10016" priority="19272" operator="greaterThan">
      <formula>0</formula>
    </cfRule>
  </conditionalFormatting>
  <conditionalFormatting sqref="GZ44">
    <cfRule type="cellIs" dxfId="10015" priority="19269" operator="lessThan">
      <formula>0</formula>
    </cfRule>
    <cfRule type="cellIs" dxfId="10014" priority="19270" operator="greaterThan">
      <formula>0</formula>
    </cfRule>
  </conditionalFormatting>
  <conditionalFormatting sqref="GZ23:GZ24">
    <cfRule type="cellIs" dxfId="10013" priority="19265" operator="lessThan">
      <formula>0</formula>
    </cfRule>
    <cfRule type="cellIs" dxfId="10012" priority="19266" operator="greaterThan">
      <formula>0</formula>
    </cfRule>
  </conditionalFormatting>
  <conditionalFormatting sqref="GZ33:GZ34">
    <cfRule type="cellIs" dxfId="10011" priority="19263" operator="lessThan">
      <formula>0</formula>
    </cfRule>
    <cfRule type="cellIs" dxfId="10010" priority="19264" operator="greaterThan">
      <formula>0</formula>
    </cfRule>
  </conditionalFormatting>
  <conditionalFormatting sqref="GZ43:GZ44">
    <cfRule type="cellIs" dxfId="10009" priority="19261" operator="lessThan">
      <formula>0</formula>
    </cfRule>
    <cfRule type="cellIs" dxfId="10008" priority="19262" operator="greaterThan">
      <formula>0</formula>
    </cfRule>
  </conditionalFormatting>
  <conditionalFormatting sqref="HB43:HB44">
    <cfRule type="cellIs" dxfId="10007" priority="19198" operator="lessThan">
      <formula>0</formula>
    </cfRule>
    <cfRule type="cellIs" dxfId="10006" priority="19199" operator="greaterThan">
      <formula>0</formula>
    </cfRule>
  </conditionalFormatting>
  <conditionalFormatting sqref="HB11 HB19 HB3 HB24:HB32 HB34:HB42 HB69:HB79">
    <cfRule type="cellIs" dxfId="10005" priority="19244" operator="lessThan">
      <formula>0</formula>
    </cfRule>
    <cfRule type="cellIs" dxfId="10004" priority="19245" operator="greaterThan">
      <formula>0</formula>
    </cfRule>
  </conditionalFormatting>
  <conditionalFormatting sqref="HB4:HB5">
    <cfRule type="cellIs" dxfId="10003" priority="19236" operator="lessThan">
      <formula>0</formula>
    </cfRule>
    <cfRule type="cellIs" dxfId="10002" priority="19237" operator="greaterThan">
      <formula>0</formula>
    </cfRule>
  </conditionalFormatting>
  <conditionalFormatting sqref="HB12:HB13">
    <cfRule type="cellIs" dxfId="10001" priority="19232" operator="lessThan">
      <formula>0</formula>
    </cfRule>
    <cfRule type="cellIs" dxfId="10000" priority="19233" operator="greaterThan">
      <formula>0</formula>
    </cfRule>
  </conditionalFormatting>
  <conditionalFormatting sqref="HB20:HB22">
    <cfRule type="cellIs" dxfId="9999" priority="19228" operator="lessThan">
      <formula>0</formula>
    </cfRule>
    <cfRule type="cellIs" dxfId="9998" priority="19229" operator="greaterThan">
      <formula>0</formula>
    </cfRule>
  </conditionalFormatting>
  <conditionalFormatting sqref="HB7">
    <cfRule type="cellIs" dxfId="9997" priority="19212" operator="lessThan">
      <formula>0</formula>
    </cfRule>
    <cfRule type="cellIs" dxfId="9996" priority="19213" operator="greaterThan">
      <formula>0</formula>
    </cfRule>
  </conditionalFormatting>
  <conditionalFormatting sqref="HB47">
    <cfRule type="cellIs" dxfId="9995" priority="19208" operator="lessThan">
      <formula>0</formula>
    </cfRule>
    <cfRule type="cellIs" dxfId="9994" priority="19209" operator="greaterThan">
      <formula>0</formula>
    </cfRule>
  </conditionalFormatting>
  <conditionalFormatting sqref="HB33:HB34">
    <cfRule type="cellIs" dxfId="9993" priority="19200" operator="lessThan">
      <formula>0</formula>
    </cfRule>
    <cfRule type="cellIs" dxfId="9992" priority="19201" operator="greaterThan">
      <formula>0</formula>
    </cfRule>
  </conditionalFormatting>
  <conditionalFormatting sqref="HD7">
    <cfRule type="cellIs" dxfId="9991" priority="19097" operator="lessThan">
      <formula>0</formula>
    </cfRule>
    <cfRule type="cellIs" dxfId="9990" priority="19098" operator="greaterThan">
      <formula>0</formula>
    </cfRule>
  </conditionalFormatting>
  <conditionalFormatting sqref="FD101">
    <cfRule type="cellIs" dxfId="9989" priority="19192" operator="lessThan">
      <formula>0</formula>
    </cfRule>
    <cfRule type="cellIs" dxfId="9988" priority="19193" operator="greaterThan">
      <formula>0</formula>
    </cfRule>
  </conditionalFormatting>
  <conditionalFormatting sqref="HF11 HF19 HF3 HF24:HF32 HF34:HF42 HF69:HF79">
    <cfRule type="cellIs" dxfId="9987" priority="18997" operator="lessThan">
      <formula>0</formula>
    </cfRule>
    <cfRule type="cellIs" dxfId="9986" priority="18998" operator="greaterThan">
      <formula>0</formula>
    </cfRule>
  </conditionalFormatting>
  <conditionalFormatting sqref="HF4:HF5">
    <cfRule type="cellIs" dxfId="9985" priority="18989" operator="lessThan">
      <formula>0</formula>
    </cfRule>
    <cfRule type="cellIs" dxfId="9984" priority="18990" operator="greaterThan">
      <formula>0</formula>
    </cfRule>
  </conditionalFormatting>
  <conditionalFormatting sqref="HF12:HF13">
    <cfRule type="cellIs" dxfId="9983" priority="18985" operator="lessThan">
      <formula>0</formula>
    </cfRule>
    <cfRule type="cellIs" dxfId="9982" priority="18986" operator="greaterThan">
      <formula>0</formula>
    </cfRule>
  </conditionalFormatting>
  <conditionalFormatting sqref="HF20:HF22">
    <cfRule type="cellIs" dxfId="9981" priority="18981" operator="lessThan">
      <formula>0</formula>
    </cfRule>
    <cfRule type="cellIs" dxfId="9980" priority="18982" operator="greaterThan">
      <formula>0</formula>
    </cfRule>
  </conditionalFormatting>
  <conditionalFormatting sqref="HF7">
    <cfRule type="cellIs" dxfId="9979" priority="18965" operator="lessThan">
      <formula>0</formula>
    </cfRule>
    <cfRule type="cellIs" dxfId="9978" priority="18966" operator="greaterThan">
      <formula>0</formula>
    </cfRule>
  </conditionalFormatting>
  <conditionalFormatting sqref="HF47">
    <cfRule type="cellIs" dxfId="9977" priority="18961" operator="lessThan">
      <formula>0</formula>
    </cfRule>
    <cfRule type="cellIs" dxfId="9976" priority="18962" operator="greaterThan">
      <formula>0</formula>
    </cfRule>
  </conditionalFormatting>
  <conditionalFormatting sqref="HF33:HF34">
    <cfRule type="cellIs" dxfId="9975" priority="18953" operator="lessThan">
      <formula>0</formula>
    </cfRule>
    <cfRule type="cellIs" dxfId="9974" priority="18954" operator="greaterThan">
      <formula>0</formula>
    </cfRule>
  </conditionalFormatting>
  <conditionalFormatting sqref="HD45:HD46">
    <cfRule type="cellIs" dxfId="9973" priority="19125" operator="lessThan">
      <formula>0</formula>
    </cfRule>
    <cfRule type="cellIs" dxfId="9972" priority="19126" operator="greaterThan">
      <formula>0</formula>
    </cfRule>
  </conditionalFormatting>
  <conditionalFormatting sqref="GH101">
    <cfRule type="cellIs" dxfId="9971" priority="19162" operator="lessThan">
      <formula>0</formula>
    </cfRule>
    <cfRule type="cellIs" dxfId="9970" priority="19163" operator="greaterThan">
      <formula>0</formula>
    </cfRule>
  </conditionalFormatting>
  <conditionalFormatting sqref="GJ101">
    <cfRule type="cellIs" dxfId="9969" priority="19160" operator="lessThan">
      <formula>0</formula>
    </cfRule>
    <cfRule type="cellIs" dxfId="9968" priority="19161" operator="greaterThan">
      <formula>0</formula>
    </cfRule>
  </conditionalFormatting>
  <conditionalFormatting sqref="GJ102">
    <cfRule type="cellIs" dxfId="9967" priority="19158" operator="lessThan">
      <formula>0</formula>
    </cfRule>
    <cfRule type="cellIs" dxfId="9966" priority="19159" operator="greaterThan">
      <formula>0</formula>
    </cfRule>
  </conditionalFormatting>
  <conditionalFormatting sqref="GL101">
    <cfRule type="cellIs" dxfId="9965" priority="19156" operator="lessThan">
      <formula>0</formula>
    </cfRule>
    <cfRule type="cellIs" dxfId="9964" priority="19157" operator="greaterThan">
      <formula>0</formula>
    </cfRule>
  </conditionalFormatting>
  <conditionalFormatting sqref="HD14:HD19">
    <cfRule type="cellIs" dxfId="9963" priority="19113" operator="lessThan">
      <formula>0</formula>
    </cfRule>
    <cfRule type="cellIs" dxfId="9962" priority="19114" operator="greaterThan">
      <formula>0</formula>
    </cfRule>
  </conditionalFormatting>
  <conditionalFormatting sqref="HD8">
    <cfRule type="cellIs" dxfId="9961" priority="19093" operator="lessThan">
      <formula>0</formula>
    </cfRule>
    <cfRule type="cellIs" dxfId="9960" priority="19094" operator="greaterThan">
      <formula>0</formula>
    </cfRule>
  </conditionalFormatting>
  <conditionalFormatting sqref="HD44">
    <cfRule type="cellIs" dxfId="9959" priority="19089" operator="lessThan">
      <formula>0</formula>
    </cfRule>
    <cfRule type="cellIs" dxfId="9958" priority="19090" operator="greaterThan">
      <formula>0</formula>
    </cfRule>
  </conditionalFormatting>
  <conditionalFormatting sqref="HD23:HD24">
    <cfRule type="cellIs" dxfId="9957" priority="19085" operator="lessThan">
      <formula>0</formula>
    </cfRule>
    <cfRule type="cellIs" dxfId="9956" priority="19086" operator="greaterThan">
      <formula>0</formula>
    </cfRule>
  </conditionalFormatting>
  <conditionalFormatting sqref="HD43:HD44">
    <cfRule type="cellIs" dxfId="9955" priority="19081" operator="lessThan">
      <formula>0</formula>
    </cfRule>
    <cfRule type="cellIs" dxfId="9954" priority="19082" operator="greaterThan">
      <formula>0</formula>
    </cfRule>
  </conditionalFormatting>
  <conditionalFormatting sqref="HD6 HD9:HD11">
    <cfRule type="cellIs" dxfId="9953" priority="19117" operator="lessThan">
      <formula>0</formula>
    </cfRule>
    <cfRule type="cellIs" dxfId="9952" priority="19118" operator="greaterThan">
      <formula>0</formula>
    </cfRule>
  </conditionalFormatting>
  <conditionalFormatting sqref="HD11 HD19 HD3 HD24:HD32 HD34:HD42 HD69:HD79">
    <cfRule type="cellIs" dxfId="9951" priority="19127" operator="lessThan">
      <formula>0</formula>
    </cfRule>
    <cfRule type="cellIs" dxfId="9950" priority="19128" operator="greaterThan">
      <formula>0</formula>
    </cfRule>
  </conditionalFormatting>
  <conditionalFormatting sqref="HD4:HD5">
    <cfRule type="cellIs" dxfId="9949" priority="19119" operator="lessThan">
      <formula>0</formula>
    </cfRule>
    <cfRule type="cellIs" dxfId="9948" priority="19120" operator="greaterThan">
      <formula>0</formula>
    </cfRule>
  </conditionalFormatting>
  <conditionalFormatting sqref="HD12:HD13">
    <cfRule type="cellIs" dxfId="9947" priority="19115" operator="lessThan">
      <formula>0</formula>
    </cfRule>
    <cfRule type="cellIs" dxfId="9946" priority="19116" operator="greaterThan">
      <formula>0</formula>
    </cfRule>
  </conditionalFormatting>
  <conditionalFormatting sqref="HD20:HD22">
    <cfRule type="cellIs" dxfId="9945" priority="19111" operator="lessThan">
      <formula>0</formula>
    </cfRule>
    <cfRule type="cellIs" dxfId="9944" priority="19112" operator="greaterThan">
      <formula>0</formula>
    </cfRule>
  </conditionalFormatting>
  <conditionalFormatting sqref="HD7">
    <cfRule type="cellIs" dxfId="9943" priority="19095" operator="lessThan">
      <formula>0</formula>
    </cfRule>
    <cfRule type="cellIs" dxfId="9942" priority="19096" operator="greaterThan">
      <formula>0</formula>
    </cfRule>
  </conditionalFormatting>
  <conditionalFormatting sqref="HD47">
    <cfRule type="cellIs" dxfId="9941" priority="19091" operator="lessThan">
      <formula>0</formula>
    </cfRule>
    <cfRule type="cellIs" dxfId="9940" priority="19092" operator="greaterThan">
      <formula>0</formula>
    </cfRule>
  </conditionalFormatting>
  <conditionalFormatting sqref="HD33:HD34">
    <cfRule type="cellIs" dxfId="9939" priority="19083" operator="lessThan">
      <formula>0</formula>
    </cfRule>
    <cfRule type="cellIs" dxfId="9938" priority="19084" operator="greaterThan">
      <formula>0</formula>
    </cfRule>
  </conditionalFormatting>
  <conditionalFormatting sqref="FR101">
    <cfRule type="cellIs" dxfId="9937" priority="18792" operator="lessThan">
      <formula>0</formula>
    </cfRule>
    <cfRule type="cellIs" dxfId="9936" priority="18793" operator="greaterThan">
      <formula>0</formula>
    </cfRule>
  </conditionalFormatting>
  <conditionalFormatting sqref="FT98">
    <cfRule type="cellIs" dxfId="9935" priority="18842" operator="lessThan">
      <formula>0</formula>
    </cfRule>
    <cfRule type="cellIs" dxfId="9934" priority="18843" operator="greaterThan">
      <formula>0</formula>
    </cfRule>
  </conditionalFormatting>
  <conditionalFormatting sqref="HF43:HF44">
    <cfRule type="cellIs" dxfId="9933" priority="18951" operator="lessThan">
      <formula>0</formula>
    </cfRule>
    <cfRule type="cellIs" dxfId="9932" priority="18952" operator="greaterThan">
      <formula>0</formula>
    </cfRule>
  </conditionalFormatting>
  <conditionalFormatting sqref="HF6 HF9:HF11">
    <cfRule type="cellIs" dxfId="9931" priority="18987" operator="lessThan">
      <formula>0</formula>
    </cfRule>
    <cfRule type="cellIs" dxfId="9930" priority="18988" operator="greaterThan">
      <formula>0</formula>
    </cfRule>
  </conditionalFormatting>
  <conditionalFormatting sqref="HF14:HF19">
    <cfRule type="cellIs" dxfId="9929" priority="18983" operator="lessThan">
      <formula>0</formula>
    </cfRule>
    <cfRule type="cellIs" dxfId="9928" priority="18984" operator="greaterThan">
      <formula>0</formula>
    </cfRule>
  </conditionalFormatting>
  <conditionalFormatting sqref="HF45:HF46">
    <cfRule type="cellIs" dxfId="9927" priority="18995" operator="lessThan">
      <formula>0</formula>
    </cfRule>
    <cfRule type="cellIs" dxfId="9926" priority="18996" operator="greaterThan">
      <formula>0</formula>
    </cfRule>
  </conditionalFormatting>
  <conditionalFormatting sqref="HF7">
    <cfRule type="cellIs" dxfId="9925" priority="18967" operator="lessThan">
      <formula>0</formula>
    </cfRule>
    <cfRule type="cellIs" dxfId="9924" priority="18968" operator="greaterThan">
      <formula>0</formula>
    </cfRule>
  </conditionalFormatting>
  <conditionalFormatting sqref="HF8">
    <cfRule type="cellIs" dxfId="9923" priority="18963" operator="lessThan">
      <formula>0</formula>
    </cfRule>
    <cfRule type="cellIs" dxfId="9922" priority="18964" operator="greaterThan">
      <formula>0</formula>
    </cfRule>
  </conditionalFormatting>
  <conditionalFormatting sqref="HF44">
    <cfRule type="cellIs" dxfId="9921" priority="18959" operator="lessThan">
      <formula>0</formula>
    </cfRule>
    <cfRule type="cellIs" dxfId="9920" priority="18960" operator="greaterThan">
      <formula>0</formula>
    </cfRule>
  </conditionalFormatting>
  <conditionalFormatting sqref="HF23:HF24">
    <cfRule type="cellIs" dxfId="9919" priority="18955" operator="lessThan">
      <formula>0</formula>
    </cfRule>
    <cfRule type="cellIs" dxfId="9918" priority="18956" operator="greaterThan">
      <formula>0</formula>
    </cfRule>
  </conditionalFormatting>
  <conditionalFormatting sqref="FN98">
    <cfRule type="cellIs" dxfId="9917" priority="18836" operator="lessThan">
      <formula>0</formula>
    </cfRule>
    <cfRule type="cellIs" dxfId="9916" priority="18837" operator="greaterThan">
      <formula>0</formula>
    </cfRule>
  </conditionalFormatting>
  <conditionalFormatting sqref="HH43:HH44">
    <cfRule type="cellIs" dxfId="9915" priority="18886" operator="lessThan">
      <formula>0</formula>
    </cfRule>
    <cfRule type="cellIs" dxfId="9914" priority="18887" operator="greaterThan">
      <formula>0</formula>
    </cfRule>
  </conditionalFormatting>
  <conditionalFormatting sqref="HH6 HH9:HH11">
    <cfRule type="cellIs" dxfId="9913" priority="18922" operator="lessThan">
      <formula>0</formula>
    </cfRule>
    <cfRule type="cellIs" dxfId="9912" priority="18923" operator="greaterThan">
      <formula>0</formula>
    </cfRule>
  </conditionalFormatting>
  <conditionalFormatting sqref="HH11 HH19 HH3 HH24:HH32 HH34:HH42 HH69:HH79">
    <cfRule type="cellIs" dxfId="9911" priority="18932" operator="lessThan">
      <formula>0</formula>
    </cfRule>
    <cfRule type="cellIs" dxfId="9910" priority="18933" operator="greaterThan">
      <formula>0</formula>
    </cfRule>
  </conditionalFormatting>
  <conditionalFormatting sqref="HH4:HH5">
    <cfRule type="cellIs" dxfId="9909" priority="18924" operator="lessThan">
      <formula>0</formula>
    </cfRule>
    <cfRule type="cellIs" dxfId="9908" priority="18925" operator="greaterThan">
      <formula>0</formula>
    </cfRule>
  </conditionalFormatting>
  <conditionalFormatting sqref="HH12:HH13">
    <cfRule type="cellIs" dxfId="9907" priority="18920" operator="lessThan">
      <formula>0</formula>
    </cfRule>
    <cfRule type="cellIs" dxfId="9906" priority="18921" operator="greaterThan">
      <formula>0</formula>
    </cfRule>
  </conditionalFormatting>
  <conditionalFormatting sqref="HH14:HH19">
    <cfRule type="cellIs" dxfId="9905" priority="18918" operator="lessThan">
      <formula>0</formula>
    </cfRule>
    <cfRule type="cellIs" dxfId="9904" priority="18919" operator="greaterThan">
      <formula>0</formula>
    </cfRule>
  </conditionalFormatting>
  <conditionalFormatting sqref="HH20:HH22">
    <cfRule type="cellIs" dxfId="9903" priority="18916" operator="lessThan">
      <formula>0</formula>
    </cfRule>
    <cfRule type="cellIs" dxfId="9902" priority="18917" operator="greaterThan">
      <formula>0</formula>
    </cfRule>
  </conditionalFormatting>
  <conditionalFormatting sqref="HH45:HH46">
    <cfRule type="cellIs" dxfId="9901" priority="18930" operator="lessThan">
      <formula>0</formula>
    </cfRule>
    <cfRule type="cellIs" dxfId="9900" priority="18931" operator="greaterThan">
      <formula>0</formula>
    </cfRule>
  </conditionalFormatting>
  <conditionalFormatting sqref="HH7">
    <cfRule type="cellIs" dxfId="9899" priority="18902" operator="lessThan">
      <formula>0</formula>
    </cfRule>
    <cfRule type="cellIs" dxfId="9898" priority="18903" operator="greaterThan">
      <formula>0</formula>
    </cfRule>
  </conditionalFormatting>
  <conditionalFormatting sqref="HH7">
    <cfRule type="cellIs" dxfId="9897" priority="18900" operator="lessThan">
      <formula>0</formula>
    </cfRule>
    <cfRule type="cellIs" dxfId="9896" priority="18901" operator="greaterThan">
      <formula>0</formula>
    </cfRule>
  </conditionalFormatting>
  <conditionalFormatting sqref="HH8">
    <cfRule type="cellIs" dxfId="9895" priority="18898" operator="lessThan">
      <formula>0</formula>
    </cfRule>
    <cfRule type="cellIs" dxfId="9894" priority="18899" operator="greaterThan">
      <formula>0</formula>
    </cfRule>
  </conditionalFormatting>
  <conditionalFormatting sqref="HH47">
    <cfRule type="cellIs" dxfId="9893" priority="18896" operator="lessThan">
      <formula>0</formula>
    </cfRule>
    <cfRule type="cellIs" dxfId="9892" priority="18897" operator="greaterThan">
      <formula>0</formula>
    </cfRule>
  </conditionalFormatting>
  <conditionalFormatting sqref="HH44">
    <cfRule type="cellIs" dxfId="9891" priority="18894" operator="lessThan">
      <formula>0</formula>
    </cfRule>
    <cfRule type="cellIs" dxfId="9890" priority="18895" operator="greaterThan">
      <formula>0</formula>
    </cfRule>
  </conditionalFormatting>
  <conditionalFormatting sqref="HH23:HH24">
    <cfRule type="cellIs" dxfId="9889" priority="18890" operator="lessThan">
      <formula>0</formula>
    </cfRule>
    <cfRule type="cellIs" dxfId="9888" priority="18891" operator="greaterThan">
      <formula>0</formula>
    </cfRule>
  </conditionalFormatting>
  <conditionalFormatting sqref="HH33:HH34">
    <cfRule type="cellIs" dxfId="9887" priority="18888" operator="lessThan">
      <formula>0</formula>
    </cfRule>
    <cfRule type="cellIs" dxfId="9886" priority="18889" operator="greaterThan">
      <formula>0</formula>
    </cfRule>
  </conditionalFormatting>
  <conditionalFormatting sqref="FJ98">
    <cfRule type="cellIs" dxfId="9885" priority="18832" operator="lessThan">
      <formula>0</formula>
    </cfRule>
    <cfRule type="cellIs" dxfId="9884" priority="18833" operator="greaterThan">
      <formula>0</formula>
    </cfRule>
  </conditionalFormatting>
  <conditionalFormatting sqref="HH98">
    <cfRule type="cellIs" dxfId="9883" priority="18882" operator="lessThan">
      <formula>0</formula>
    </cfRule>
    <cfRule type="cellIs" dxfId="9882" priority="18883" operator="greaterThan">
      <formula>0</formula>
    </cfRule>
  </conditionalFormatting>
  <conditionalFormatting sqref="HH101">
    <cfRule type="cellIs" dxfId="9881" priority="18880" operator="lessThan">
      <formula>0</formula>
    </cfRule>
    <cfRule type="cellIs" dxfId="9880" priority="18881" operator="greaterThan">
      <formula>0</formula>
    </cfRule>
  </conditionalFormatting>
  <conditionalFormatting sqref="HF98">
    <cfRule type="cellIs" dxfId="9879" priority="18878" operator="lessThan">
      <formula>0</formula>
    </cfRule>
    <cfRule type="cellIs" dxfId="9878" priority="18879" operator="greaterThan">
      <formula>0</formula>
    </cfRule>
  </conditionalFormatting>
  <conditionalFormatting sqref="HD98">
    <cfRule type="cellIs" dxfId="9877" priority="18876" operator="lessThan">
      <formula>0</formula>
    </cfRule>
    <cfRule type="cellIs" dxfId="9876" priority="18877" operator="greaterThan">
      <formula>0</formula>
    </cfRule>
  </conditionalFormatting>
  <conditionalFormatting sqref="HB98">
    <cfRule type="cellIs" dxfId="9875" priority="18874" operator="lessThan">
      <formula>0</formula>
    </cfRule>
    <cfRule type="cellIs" dxfId="9874" priority="18875" operator="greaterThan">
      <formula>0</formula>
    </cfRule>
  </conditionalFormatting>
  <conditionalFormatting sqref="GZ98">
    <cfRule type="cellIs" dxfId="9873" priority="18872" operator="lessThan">
      <formula>0</formula>
    </cfRule>
    <cfRule type="cellIs" dxfId="9872" priority="18873" operator="greaterThan">
      <formula>0</formula>
    </cfRule>
  </conditionalFormatting>
  <conditionalFormatting sqref="GX98">
    <cfRule type="cellIs" dxfId="9871" priority="18870" operator="lessThan">
      <formula>0</formula>
    </cfRule>
    <cfRule type="cellIs" dxfId="9870" priority="18871" operator="greaterThan">
      <formula>0</formula>
    </cfRule>
  </conditionalFormatting>
  <conditionalFormatting sqref="GV98">
    <cfRule type="cellIs" dxfId="9869" priority="18868" operator="lessThan">
      <formula>0</formula>
    </cfRule>
    <cfRule type="cellIs" dxfId="9868" priority="18869" operator="greaterThan">
      <formula>0</formula>
    </cfRule>
  </conditionalFormatting>
  <conditionalFormatting sqref="GT98">
    <cfRule type="cellIs" dxfId="9867" priority="18866" operator="lessThan">
      <formula>0</formula>
    </cfRule>
    <cfRule type="cellIs" dxfId="9866" priority="18867" operator="greaterThan">
      <formula>0</formula>
    </cfRule>
  </conditionalFormatting>
  <conditionalFormatting sqref="GR98">
    <cfRule type="cellIs" dxfId="9865" priority="18864" operator="lessThan">
      <formula>0</formula>
    </cfRule>
    <cfRule type="cellIs" dxfId="9864" priority="18865" operator="greaterThan">
      <formula>0</formula>
    </cfRule>
  </conditionalFormatting>
  <conditionalFormatting sqref="GP98">
    <cfRule type="cellIs" dxfId="9863" priority="18862" operator="lessThan">
      <formula>0</formula>
    </cfRule>
    <cfRule type="cellIs" dxfId="9862" priority="18863" operator="greaterThan">
      <formula>0</formula>
    </cfRule>
  </conditionalFormatting>
  <conditionalFormatting sqref="GN98">
    <cfRule type="cellIs" dxfId="9861" priority="18860" operator="lessThan">
      <formula>0</formula>
    </cfRule>
    <cfRule type="cellIs" dxfId="9860" priority="18861" operator="greaterThan">
      <formula>0</formula>
    </cfRule>
  </conditionalFormatting>
  <conditionalFormatting sqref="GL98">
    <cfRule type="cellIs" dxfId="9859" priority="18858" operator="lessThan">
      <formula>0</formula>
    </cfRule>
    <cfRule type="cellIs" dxfId="9858" priority="18859" operator="greaterThan">
      <formula>0</formula>
    </cfRule>
  </conditionalFormatting>
  <conditionalFormatting sqref="GH98">
    <cfRule type="cellIs" dxfId="9857" priority="18856" operator="lessThan">
      <formula>0</formula>
    </cfRule>
    <cfRule type="cellIs" dxfId="9856" priority="18857" operator="greaterThan">
      <formula>0</formula>
    </cfRule>
  </conditionalFormatting>
  <conditionalFormatting sqref="GF98">
    <cfRule type="cellIs" dxfId="9855" priority="18854" operator="lessThan">
      <formula>0</formula>
    </cfRule>
    <cfRule type="cellIs" dxfId="9854" priority="18855" operator="greaterThan">
      <formula>0</formula>
    </cfRule>
  </conditionalFormatting>
  <conditionalFormatting sqref="GD98">
    <cfRule type="cellIs" dxfId="9853" priority="18852" operator="lessThan">
      <formula>0</formula>
    </cfRule>
    <cfRule type="cellIs" dxfId="9852" priority="18853" operator="greaterThan">
      <formula>0</formula>
    </cfRule>
  </conditionalFormatting>
  <conditionalFormatting sqref="GB98">
    <cfRule type="cellIs" dxfId="9851" priority="18850" operator="lessThan">
      <formula>0</formula>
    </cfRule>
    <cfRule type="cellIs" dxfId="9850" priority="18851" operator="greaterThan">
      <formula>0</formula>
    </cfRule>
  </conditionalFormatting>
  <conditionalFormatting sqref="FZ98">
    <cfRule type="cellIs" dxfId="9849" priority="18848" operator="lessThan">
      <formula>0</formula>
    </cfRule>
    <cfRule type="cellIs" dxfId="9848" priority="18849" operator="greaterThan">
      <formula>0</formula>
    </cfRule>
  </conditionalFormatting>
  <conditionalFormatting sqref="FX98">
    <cfRule type="cellIs" dxfId="9847" priority="18846" operator="lessThan">
      <formula>0</formula>
    </cfRule>
    <cfRule type="cellIs" dxfId="9846" priority="18847" operator="greaterThan">
      <formula>0</formula>
    </cfRule>
  </conditionalFormatting>
  <conditionalFormatting sqref="FV98">
    <cfRule type="cellIs" dxfId="9845" priority="18844" operator="lessThan">
      <formula>0</formula>
    </cfRule>
    <cfRule type="cellIs" dxfId="9844" priority="18845" operator="greaterThan">
      <formula>0</formula>
    </cfRule>
  </conditionalFormatting>
  <conditionalFormatting sqref="FR98">
    <cfRule type="cellIs" dxfId="9843" priority="18840" operator="lessThan">
      <formula>0</formula>
    </cfRule>
    <cfRule type="cellIs" dxfId="9842" priority="18841" operator="greaterThan">
      <formula>0</formula>
    </cfRule>
  </conditionalFormatting>
  <conditionalFormatting sqref="FP98">
    <cfRule type="cellIs" dxfId="9841" priority="18838" operator="lessThan">
      <formula>0</formula>
    </cfRule>
    <cfRule type="cellIs" dxfId="9840" priority="18839" operator="greaterThan">
      <formula>0</formula>
    </cfRule>
  </conditionalFormatting>
  <conditionalFormatting sqref="FL98">
    <cfRule type="cellIs" dxfId="9839" priority="18834" operator="lessThan">
      <formula>0</formula>
    </cfRule>
    <cfRule type="cellIs" dxfId="9838" priority="18835" operator="greaterThan">
      <formula>0</formula>
    </cfRule>
  </conditionalFormatting>
  <conditionalFormatting sqref="FH98">
    <cfRule type="cellIs" dxfId="9837" priority="18830" operator="lessThan">
      <formula>0</formula>
    </cfRule>
    <cfRule type="cellIs" dxfId="9836" priority="18831" operator="greaterThan">
      <formula>0</formula>
    </cfRule>
  </conditionalFormatting>
  <conditionalFormatting sqref="FF98">
    <cfRule type="cellIs" dxfId="9835" priority="18828" operator="lessThan">
      <formula>0</formula>
    </cfRule>
    <cfRule type="cellIs" dxfId="9834" priority="18829" operator="greaterThan">
      <formula>0</formula>
    </cfRule>
  </conditionalFormatting>
  <conditionalFormatting sqref="HF101">
    <cfRule type="cellIs" dxfId="9833" priority="18826" operator="lessThan">
      <formula>0</formula>
    </cfRule>
    <cfRule type="cellIs" dxfId="9832" priority="18827" operator="greaterThan">
      <formula>0</formula>
    </cfRule>
  </conditionalFormatting>
  <conditionalFormatting sqref="HD101">
    <cfRule type="cellIs" dxfId="9831" priority="18824" operator="lessThan">
      <formula>0</formula>
    </cfRule>
    <cfRule type="cellIs" dxfId="9830" priority="18825" operator="greaterThan">
      <formula>0</formula>
    </cfRule>
  </conditionalFormatting>
  <conditionalFormatting sqref="HB101">
    <cfRule type="cellIs" dxfId="9829" priority="18822" operator="lessThan">
      <formula>0</formula>
    </cfRule>
    <cfRule type="cellIs" dxfId="9828" priority="18823" operator="greaterThan">
      <formula>0</formula>
    </cfRule>
  </conditionalFormatting>
  <conditionalFormatting sqref="GZ101">
    <cfRule type="cellIs" dxfId="9827" priority="18820" operator="lessThan">
      <formula>0</formula>
    </cfRule>
    <cfRule type="cellIs" dxfId="9826" priority="18821" operator="greaterThan">
      <formula>0</formula>
    </cfRule>
  </conditionalFormatting>
  <conditionalFormatting sqref="GX101">
    <cfRule type="cellIs" dxfId="9825" priority="18818" operator="lessThan">
      <formula>0</formula>
    </cfRule>
    <cfRule type="cellIs" dxfId="9824" priority="18819" operator="greaterThan">
      <formula>0</formula>
    </cfRule>
  </conditionalFormatting>
  <conditionalFormatting sqref="GV101">
    <cfRule type="cellIs" dxfId="9823" priority="18816" operator="lessThan">
      <formula>0</formula>
    </cfRule>
    <cfRule type="cellIs" dxfId="9822" priority="18817" operator="greaterThan">
      <formula>0</formula>
    </cfRule>
  </conditionalFormatting>
  <conditionalFormatting sqref="GT101">
    <cfRule type="cellIs" dxfId="9821" priority="18814" operator="lessThan">
      <formula>0</formula>
    </cfRule>
    <cfRule type="cellIs" dxfId="9820" priority="18815" operator="greaterThan">
      <formula>0</formula>
    </cfRule>
  </conditionalFormatting>
  <conditionalFormatting sqref="GR101">
    <cfRule type="cellIs" dxfId="9819" priority="18812" operator="lessThan">
      <formula>0</formula>
    </cfRule>
    <cfRule type="cellIs" dxfId="9818" priority="18813" operator="greaterThan">
      <formula>0</formula>
    </cfRule>
  </conditionalFormatting>
  <conditionalFormatting sqref="GP101">
    <cfRule type="cellIs" dxfId="9817" priority="18810" operator="lessThan">
      <formula>0</formula>
    </cfRule>
    <cfRule type="cellIs" dxfId="9816" priority="18811" operator="greaterThan">
      <formula>0</formula>
    </cfRule>
  </conditionalFormatting>
  <conditionalFormatting sqref="GN101">
    <cfRule type="cellIs" dxfId="9815" priority="18808" operator="lessThan">
      <formula>0</formula>
    </cfRule>
    <cfRule type="cellIs" dxfId="9814" priority="18809" operator="greaterThan">
      <formula>0</formula>
    </cfRule>
  </conditionalFormatting>
  <conditionalFormatting sqref="GF101">
    <cfRule type="cellIs" dxfId="9813" priority="18806" operator="lessThan">
      <formula>0</formula>
    </cfRule>
    <cfRule type="cellIs" dxfId="9812" priority="18807" operator="greaterThan">
      <formula>0</formula>
    </cfRule>
  </conditionalFormatting>
  <conditionalFormatting sqref="GD101">
    <cfRule type="cellIs" dxfId="9811" priority="18804" operator="lessThan">
      <formula>0</formula>
    </cfRule>
    <cfRule type="cellIs" dxfId="9810" priority="18805" operator="greaterThan">
      <formula>0</formula>
    </cfRule>
  </conditionalFormatting>
  <conditionalFormatting sqref="GB101">
    <cfRule type="cellIs" dxfId="9809" priority="18802" operator="lessThan">
      <formula>0</formula>
    </cfRule>
    <cfRule type="cellIs" dxfId="9808" priority="18803" operator="greaterThan">
      <formula>0</formula>
    </cfRule>
  </conditionalFormatting>
  <conditionalFormatting sqref="FZ101">
    <cfRule type="cellIs" dxfId="9807" priority="18800" operator="lessThan">
      <formula>0</formula>
    </cfRule>
    <cfRule type="cellIs" dxfId="9806" priority="18801" operator="greaterThan">
      <formula>0</formula>
    </cfRule>
  </conditionalFormatting>
  <conditionalFormatting sqref="FX101">
    <cfRule type="cellIs" dxfId="9805" priority="18798" operator="lessThan">
      <formula>0</formula>
    </cfRule>
    <cfRule type="cellIs" dxfId="9804" priority="18799" operator="greaterThan">
      <formula>0</formula>
    </cfRule>
  </conditionalFormatting>
  <conditionalFormatting sqref="FV101">
    <cfRule type="cellIs" dxfId="9803" priority="18796" operator="lessThan">
      <formula>0</formula>
    </cfRule>
    <cfRule type="cellIs" dxfId="9802" priority="18797" operator="greaterThan">
      <formula>0</formula>
    </cfRule>
  </conditionalFormatting>
  <conditionalFormatting sqref="FT101">
    <cfRule type="cellIs" dxfId="9801" priority="18794" operator="lessThan">
      <formula>0</formula>
    </cfRule>
    <cfRule type="cellIs" dxfId="9800" priority="18795" operator="greaterThan">
      <formula>0</formula>
    </cfRule>
  </conditionalFormatting>
  <conditionalFormatting sqref="FP101">
    <cfRule type="cellIs" dxfId="9799" priority="18790" operator="lessThan">
      <formula>0</formula>
    </cfRule>
    <cfRule type="cellIs" dxfId="9798" priority="18791" operator="greaterThan">
      <formula>0</formula>
    </cfRule>
  </conditionalFormatting>
  <conditionalFormatting sqref="FN101">
    <cfRule type="cellIs" dxfId="9797" priority="18788" operator="lessThan">
      <formula>0</formula>
    </cfRule>
    <cfRule type="cellIs" dxfId="9796" priority="18789" operator="greaterThan">
      <formula>0</formula>
    </cfRule>
  </conditionalFormatting>
  <conditionalFormatting sqref="FL101">
    <cfRule type="cellIs" dxfId="9795" priority="18786" operator="lessThan">
      <formula>0</formula>
    </cfRule>
    <cfRule type="cellIs" dxfId="9794" priority="18787" operator="greaterThan">
      <formula>0</formula>
    </cfRule>
  </conditionalFormatting>
  <conditionalFormatting sqref="FJ101">
    <cfRule type="cellIs" dxfId="9793" priority="18784" operator="lessThan">
      <formula>0</formula>
    </cfRule>
    <cfRule type="cellIs" dxfId="9792" priority="18785" operator="greaterThan">
      <formula>0</formula>
    </cfRule>
  </conditionalFormatting>
  <conditionalFormatting sqref="FH101">
    <cfRule type="cellIs" dxfId="9791" priority="18782" operator="lessThan">
      <formula>0</formula>
    </cfRule>
    <cfRule type="cellIs" dxfId="9790" priority="18783" operator="greaterThan">
      <formula>0</formula>
    </cfRule>
  </conditionalFormatting>
  <conditionalFormatting sqref="FF101">
    <cfRule type="cellIs" dxfId="9789" priority="18780" operator="lessThan">
      <formula>0</formula>
    </cfRule>
    <cfRule type="cellIs" dxfId="9788" priority="18781" operator="greaterThan">
      <formula>0</formula>
    </cfRule>
  </conditionalFormatting>
  <conditionalFormatting sqref="HJ43:HJ44">
    <cfRule type="cellIs" dxfId="9787" priority="18545" operator="lessThan">
      <formula>0</formula>
    </cfRule>
    <cfRule type="cellIs" dxfId="9786" priority="18546" operator="greaterThan">
      <formula>0</formula>
    </cfRule>
  </conditionalFormatting>
  <conditionalFormatting sqref="HJ6 HJ9:HJ11">
    <cfRule type="cellIs" dxfId="9785" priority="18581" operator="lessThan">
      <formula>0</formula>
    </cfRule>
    <cfRule type="cellIs" dxfId="9784" priority="18582" operator="greaterThan">
      <formula>0</formula>
    </cfRule>
  </conditionalFormatting>
  <conditionalFormatting sqref="HJ11 HJ19 HJ3 HJ24:HJ32 HJ34:HJ42 HJ69:HJ79">
    <cfRule type="cellIs" dxfId="9783" priority="18591" operator="lessThan">
      <formula>0</formula>
    </cfRule>
    <cfRule type="cellIs" dxfId="9782" priority="18592" operator="greaterThan">
      <formula>0</formula>
    </cfRule>
  </conditionalFormatting>
  <conditionalFormatting sqref="HJ4:HJ5">
    <cfRule type="cellIs" dxfId="9781" priority="18583" operator="lessThan">
      <formula>0</formula>
    </cfRule>
    <cfRule type="cellIs" dxfId="9780" priority="18584" operator="greaterThan">
      <formula>0</formula>
    </cfRule>
  </conditionalFormatting>
  <conditionalFormatting sqref="HJ12:HJ13">
    <cfRule type="cellIs" dxfId="9779" priority="18579" operator="lessThan">
      <formula>0</formula>
    </cfRule>
    <cfRule type="cellIs" dxfId="9778" priority="18580" operator="greaterThan">
      <formula>0</formula>
    </cfRule>
  </conditionalFormatting>
  <conditionalFormatting sqref="HJ14:HJ19">
    <cfRule type="cellIs" dxfId="9777" priority="18577" operator="lessThan">
      <formula>0</formula>
    </cfRule>
    <cfRule type="cellIs" dxfId="9776" priority="18578" operator="greaterThan">
      <formula>0</formula>
    </cfRule>
  </conditionalFormatting>
  <conditionalFormatting sqref="HJ20:HJ22">
    <cfRule type="cellIs" dxfId="9775" priority="18575" operator="lessThan">
      <formula>0</formula>
    </cfRule>
    <cfRule type="cellIs" dxfId="9774" priority="18576" operator="greaterThan">
      <formula>0</formula>
    </cfRule>
  </conditionalFormatting>
  <conditionalFormatting sqref="HJ45:HJ46">
    <cfRule type="cellIs" dxfId="9773" priority="18589" operator="lessThan">
      <formula>0</formula>
    </cfRule>
    <cfRule type="cellIs" dxfId="9772" priority="18590" operator="greaterThan">
      <formula>0</formula>
    </cfRule>
  </conditionalFormatting>
  <conditionalFormatting sqref="HJ7">
    <cfRule type="cellIs" dxfId="9771" priority="18561" operator="lessThan">
      <formula>0</formula>
    </cfRule>
    <cfRule type="cellIs" dxfId="9770" priority="18562" operator="greaterThan">
      <formula>0</formula>
    </cfRule>
  </conditionalFormatting>
  <conditionalFormatting sqref="HJ7">
    <cfRule type="cellIs" dxfId="9769" priority="18559" operator="lessThan">
      <formula>0</formula>
    </cfRule>
    <cfRule type="cellIs" dxfId="9768" priority="18560" operator="greaterThan">
      <formula>0</formula>
    </cfRule>
  </conditionalFormatting>
  <conditionalFormatting sqref="HJ8">
    <cfRule type="cellIs" dxfId="9767" priority="18557" operator="lessThan">
      <formula>0</formula>
    </cfRule>
    <cfRule type="cellIs" dxfId="9766" priority="18558" operator="greaterThan">
      <formula>0</formula>
    </cfRule>
  </conditionalFormatting>
  <conditionalFormatting sqref="HJ47">
    <cfRule type="cellIs" dxfId="9765" priority="18555" operator="lessThan">
      <formula>0</formula>
    </cfRule>
    <cfRule type="cellIs" dxfId="9764" priority="18556" operator="greaterThan">
      <formula>0</formula>
    </cfRule>
  </conditionalFormatting>
  <conditionalFormatting sqref="HJ44">
    <cfRule type="cellIs" dxfId="9763" priority="18553" operator="lessThan">
      <formula>0</formula>
    </cfRule>
    <cfRule type="cellIs" dxfId="9762" priority="18554" operator="greaterThan">
      <formula>0</formula>
    </cfRule>
  </conditionalFormatting>
  <conditionalFormatting sqref="HJ23:HJ24">
    <cfRule type="cellIs" dxfId="9761" priority="18549" operator="lessThan">
      <formula>0</formula>
    </cfRule>
    <cfRule type="cellIs" dxfId="9760" priority="18550" operator="greaterThan">
      <formula>0</formula>
    </cfRule>
  </conditionalFormatting>
  <conditionalFormatting sqref="HJ33:HJ34">
    <cfRule type="cellIs" dxfId="9759" priority="18547" operator="lessThan">
      <formula>0</formula>
    </cfRule>
    <cfRule type="cellIs" dxfId="9758" priority="18548" operator="greaterThan">
      <formula>0</formula>
    </cfRule>
  </conditionalFormatting>
  <conditionalFormatting sqref="HJ98">
    <cfRule type="cellIs" dxfId="9757" priority="18541" operator="lessThan">
      <formula>0</formula>
    </cfRule>
    <cfRule type="cellIs" dxfId="9756" priority="18542" operator="greaterThan">
      <formula>0</formula>
    </cfRule>
  </conditionalFormatting>
  <conditionalFormatting sqref="HJ101">
    <cfRule type="cellIs" dxfId="9755" priority="18539" operator="lessThan">
      <formula>0</formula>
    </cfRule>
    <cfRule type="cellIs" dxfId="9754" priority="18540" operator="greaterThan">
      <formula>0</formula>
    </cfRule>
  </conditionalFormatting>
  <conditionalFormatting sqref="HL43:HL44">
    <cfRule type="cellIs" dxfId="9753" priority="18480" operator="lessThan">
      <formula>0</formula>
    </cfRule>
    <cfRule type="cellIs" dxfId="9752" priority="18481" operator="greaterThan">
      <formula>0</formula>
    </cfRule>
  </conditionalFormatting>
  <conditionalFormatting sqref="HL6 HL9:HL11">
    <cfRule type="cellIs" dxfId="9751" priority="18516" operator="lessThan">
      <formula>0</formula>
    </cfRule>
    <cfRule type="cellIs" dxfId="9750" priority="18517" operator="greaterThan">
      <formula>0</formula>
    </cfRule>
  </conditionalFormatting>
  <conditionalFormatting sqref="HL11 HL19 HL3 HL24:HL32 HL34:HL42 HL69:HL79">
    <cfRule type="cellIs" dxfId="9749" priority="18526" operator="lessThan">
      <formula>0</formula>
    </cfRule>
    <cfRule type="cellIs" dxfId="9748" priority="18527" operator="greaterThan">
      <formula>0</formula>
    </cfRule>
  </conditionalFormatting>
  <conditionalFormatting sqref="HL4:HL5">
    <cfRule type="cellIs" dxfId="9747" priority="18518" operator="lessThan">
      <formula>0</formula>
    </cfRule>
    <cfRule type="cellIs" dxfId="9746" priority="18519" operator="greaterThan">
      <formula>0</formula>
    </cfRule>
  </conditionalFormatting>
  <conditionalFormatting sqref="HL12:HL13">
    <cfRule type="cellIs" dxfId="9745" priority="18514" operator="lessThan">
      <formula>0</formula>
    </cfRule>
    <cfRule type="cellIs" dxfId="9744" priority="18515" operator="greaterThan">
      <formula>0</formula>
    </cfRule>
  </conditionalFormatting>
  <conditionalFormatting sqref="HL14:HL19">
    <cfRule type="cellIs" dxfId="9743" priority="18512" operator="lessThan">
      <formula>0</formula>
    </cfRule>
    <cfRule type="cellIs" dxfId="9742" priority="18513" operator="greaterThan">
      <formula>0</formula>
    </cfRule>
  </conditionalFormatting>
  <conditionalFormatting sqref="HL20:HL22">
    <cfRule type="cellIs" dxfId="9741" priority="18510" operator="lessThan">
      <formula>0</formula>
    </cfRule>
    <cfRule type="cellIs" dxfId="9740" priority="18511" operator="greaterThan">
      <formula>0</formula>
    </cfRule>
  </conditionalFormatting>
  <conditionalFormatting sqref="HL45:HL46">
    <cfRule type="cellIs" dxfId="9739" priority="18524" operator="lessThan">
      <formula>0</formula>
    </cfRule>
    <cfRule type="cellIs" dxfId="9738" priority="18525" operator="greaterThan">
      <formula>0</formula>
    </cfRule>
  </conditionalFormatting>
  <conditionalFormatting sqref="HL7">
    <cfRule type="cellIs" dxfId="9737" priority="18496" operator="lessThan">
      <formula>0</formula>
    </cfRule>
    <cfRule type="cellIs" dxfId="9736" priority="18497" operator="greaterThan">
      <formula>0</formula>
    </cfRule>
  </conditionalFormatting>
  <conditionalFormatting sqref="HL7">
    <cfRule type="cellIs" dxfId="9735" priority="18494" operator="lessThan">
      <formula>0</formula>
    </cfRule>
    <cfRule type="cellIs" dxfId="9734" priority="18495" operator="greaterThan">
      <formula>0</formula>
    </cfRule>
  </conditionalFormatting>
  <conditionalFormatting sqref="HL8">
    <cfRule type="cellIs" dxfId="9733" priority="18492" operator="lessThan">
      <formula>0</formula>
    </cfRule>
    <cfRule type="cellIs" dxfId="9732" priority="18493" operator="greaterThan">
      <formula>0</formula>
    </cfRule>
  </conditionalFormatting>
  <conditionalFormatting sqref="HL47">
    <cfRule type="cellIs" dxfId="9731" priority="18490" operator="lessThan">
      <formula>0</formula>
    </cfRule>
    <cfRule type="cellIs" dxfId="9730" priority="18491" operator="greaterThan">
      <formula>0</formula>
    </cfRule>
  </conditionalFormatting>
  <conditionalFormatting sqref="HL44">
    <cfRule type="cellIs" dxfId="9729" priority="18488" operator="lessThan">
      <formula>0</formula>
    </cfRule>
    <cfRule type="cellIs" dxfId="9728" priority="18489" operator="greaterThan">
      <formula>0</formula>
    </cfRule>
  </conditionalFormatting>
  <conditionalFormatting sqref="HL23:HL24">
    <cfRule type="cellIs" dxfId="9727" priority="18484" operator="lessThan">
      <formula>0</formula>
    </cfRule>
    <cfRule type="cellIs" dxfId="9726" priority="18485" operator="greaterThan">
      <formula>0</formula>
    </cfRule>
  </conditionalFormatting>
  <conditionalFormatting sqref="HL33:HL34">
    <cfRule type="cellIs" dxfId="9725" priority="18482" operator="lessThan">
      <formula>0</formula>
    </cfRule>
    <cfRule type="cellIs" dxfId="9724" priority="18483" operator="greaterThan">
      <formula>0</formula>
    </cfRule>
  </conditionalFormatting>
  <conditionalFormatting sqref="HL98">
    <cfRule type="cellIs" dxfId="9723" priority="18476" operator="lessThan">
      <formula>0</formula>
    </cfRule>
    <cfRule type="cellIs" dxfId="9722" priority="18477" operator="greaterThan">
      <formula>0</formula>
    </cfRule>
  </conditionalFormatting>
  <conditionalFormatting sqref="HL101">
    <cfRule type="cellIs" dxfId="9721" priority="18474" operator="lessThan">
      <formula>0</formula>
    </cfRule>
    <cfRule type="cellIs" dxfId="9720" priority="18475" operator="greaterThan">
      <formula>0</formula>
    </cfRule>
  </conditionalFormatting>
  <conditionalFormatting sqref="HN43:HN44">
    <cfRule type="cellIs" dxfId="9719" priority="18415" operator="lessThan">
      <formula>0</formula>
    </cfRule>
    <cfRule type="cellIs" dxfId="9718" priority="18416" operator="greaterThan">
      <formula>0</formula>
    </cfRule>
  </conditionalFormatting>
  <conditionalFormatting sqref="HN6 HN9:HN11">
    <cfRule type="cellIs" dxfId="9717" priority="18451" operator="lessThan">
      <formula>0</formula>
    </cfRule>
    <cfRule type="cellIs" dxfId="9716" priority="18452" operator="greaterThan">
      <formula>0</formula>
    </cfRule>
  </conditionalFormatting>
  <conditionalFormatting sqref="HN11 HN19 HN3 HN24:HN32 HN34:HN42 HN69:HN79">
    <cfRule type="cellIs" dxfId="9715" priority="18461" operator="lessThan">
      <formula>0</formula>
    </cfRule>
    <cfRule type="cellIs" dxfId="9714" priority="18462" operator="greaterThan">
      <formula>0</formula>
    </cfRule>
  </conditionalFormatting>
  <conditionalFormatting sqref="HN4:HN5">
    <cfRule type="cellIs" dxfId="9713" priority="18453" operator="lessThan">
      <formula>0</formula>
    </cfRule>
    <cfRule type="cellIs" dxfId="9712" priority="18454" operator="greaterThan">
      <formula>0</formula>
    </cfRule>
  </conditionalFormatting>
  <conditionalFormatting sqref="HN12:HN13">
    <cfRule type="cellIs" dxfId="9711" priority="18449" operator="lessThan">
      <formula>0</formula>
    </cfRule>
    <cfRule type="cellIs" dxfId="9710" priority="18450" operator="greaterThan">
      <formula>0</formula>
    </cfRule>
  </conditionalFormatting>
  <conditionalFormatting sqref="HN14:HN19">
    <cfRule type="cellIs" dxfId="9709" priority="18447" operator="lessThan">
      <formula>0</formula>
    </cfRule>
    <cfRule type="cellIs" dxfId="9708" priority="18448" operator="greaterThan">
      <formula>0</formula>
    </cfRule>
  </conditionalFormatting>
  <conditionalFormatting sqref="HN20:HN22">
    <cfRule type="cellIs" dxfId="9707" priority="18445" operator="lessThan">
      <formula>0</formula>
    </cfRule>
    <cfRule type="cellIs" dxfId="9706" priority="18446" operator="greaterThan">
      <formula>0</formula>
    </cfRule>
  </conditionalFormatting>
  <conditionalFormatting sqref="HN45:HN46">
    <cfRule type="cellIs" dxfId="9705" priority="18459" operator="lessThan">
      <formula>0</formula>
    </cfRule>
    <cfRule type="cellIs" dxfId="9704" priority="18460" operator="greaterThan">
      <formula>0</formula>
    </cfRule>
  </conditionalFormatting>
  <conditionalFormatting sqref="HN7">
    <cfRule type="cellIs" dxfId="9703" priority="18431" operator="lessThan">
      <formula>0</formula>
    </cfRule>
    <cfRule type="cellIs" dxfId="9702" priority="18432" operator="greaterThan">
      <formula>0</formula>
    </cfRule>
  </conditionalFormatting>
  <conditionalFormatting sqref="HN7">
    <cfRule type="cellIs" dxfId="9701" priority="18429" operator="lessThan">
      <formula>0</formula>
    </cfRule>
    <cfRule type="cellIs" dxfId="9700" priority="18430" operator="greaterThan">
      <formula>0</formula>
    </cfRule>
  </conditionalFormatting>
  <conditionalFormatting sqref="HN8">
    <cfRule type="cellIs" dxfId="9699" priority="18427" operator="lessThan">
      <formula>0</formula>
    </cfRule>
    <cfRule type="cellIs" dxfId="9698" priority="18428" operator="greaterThan">
      <formula>0</formula>
    </cfRule>
  </conditionalFormatting>
  <conditionalFormatting sqref="HN47">
    <cfRule type="cellIs" dxfId="9697" priority="18425" operator="lessThan">
      <formula>0</formula>
    </cfRule>
    <cfRule type="cellIs" dxfId="9696" priority="18426" operator="greaterThan">
      <formula>0</formula>
    </cfRule>
  </conditionalFormatting>
  <conditionalFormatting sqref="HN44">
    <cfRule type="cellIs" dxfId="9695" priority="18423" operator="lessThan">
      <formula>0</formula>
    </cfRule>
    <cfRule type="cellIs" dxfId="9694" priority="18424" operator="greaterThan">
      <formula>0</formula>
    </cfRule>
  </conditionalFormatting>
  <conditionalFormatting sqref="HN23:HN24">
    <cfRule type="cellIs" dxfId="9693" priority="18419" operator="lessThan">
      <formula>0</formula>
    </cfRule>
    <cfRule type="cellIs" dxfId="9692" priority="18420" operator="greaterThan">
      <formula>0</formula>
    </cfRule>
  </conditionalFormatting>
  <conditionalFormatting sqref="HN33:HN34">
    <cfRule type="cellIs" dxfId="9691" priority="18417" operator="lessThan">
      <formula>0</formula>
    </cfRule>
    <cfRule type="cellIs" dxfId="9690" priority="18418" operator="greaterThan">
      <formula>0</formula>
    </cfRule>
  </conditionalFormatting>
  <conditionalFormatting sqref="HN98">
    <cfRule type="cellIs" dxfId="9689" priority="18411" operator="lessThan">
      <formula>0</formula>
    </cfRule>
    <cfRule type="cellIs" dxfId="9688" priority="18412" operator="greaterThan">
      <formula>0</formula>
    </cfRule>
  </conditionalFormatting>
  <conditionalFormatting sqref="HN101">
    <cfRule type="cellIs" dxfId="9687" priority="18409" operator="lessThan">
      <formula>0</formula>
    </cfRule>
    <cfRule type="cellIs" dxfId="9686" priority="18410" operator="greaterThan">
      <formula>0</formula>
    </cfRule>
  </conditionalFormatting>
  <conditionalFormatting sqref="FF104">
    <cfRule type="cellIs" dxfId="9685" priority="18340" operator="lessThan">
      <formula>0</formula>
    </cfRule>
    <cfRule type="cellIs" dxfId="9684" priority="18341" operator="greaterThan">
      <formula>0</formula>
    </cfRule>
  </conditionalFormatting>
  <conditionalFormatting sqref="FD104">
    <cfRule type="cellIs" dxfId="9683" priority="18396" operator="lessThan">
      <formula>0</formula>
    </cfRule>
    <cfRule type="cellIs" dxfId="9682" priority="18397" operator="greaterThan">
      <formula>0</formula>
    </cfRule>
  </conditionalFormatting>
  <conditionalFormatting sqref="GJ104">
    <cfRule type="cellIs" dxfId="9681" priority="18394" operator="lessThan">
      <formula>0</formula>
    </cfRule>
    <cfRule type="cellIs" dxfId="9680" priority="18395" operator="greaterThan">
      <formula>0</formula>
    </cfRule>
  </conditionalFormatting>
  <conditionalFormatting sqref="FT104">
    <cfRule type="cellIs" dxfId="9679" priority="18354" operator="lessThan">
      <formula>0</formula>
    </cfRule>
    <cfRule type="cellIs" dxfId="9678" priority="18355" operator="greaterThan">
      <formula>0</formula>
    </cfRule>
  </conditionalFormatting>
  <conditionalFormatting sqref="FN104">
    <cfRule type="cellIs" dxfId="9677" priority="18348" operator="lessThan">
      <formula>0</formula>
    </cfRule>
    <cfRule type="cellIs" dxfId="9676" priority="18349" operator="greaterThan">
      <formula>0</formula>
    </cfRule>
  </conditionalFormatting>
  <conditionalFormatting sqref="FJ104">
    <cfRule type="cellIs" dxfId="9675" priority="18344" operator="lessThan">
      <formula>0</formula>
    </cfRule>
    <cfRule type="cellIs" dxfId="9674" priority="18345" operator="greaterThan">
      <formula>0</formula>
    </cfRule>
  </conditionalFormatting>
  <conditionalFormatting sqref="HH104">
    <cfRule type="cellIs" dxfId="9673" priority="18392" operator="lessThan">
      <formula>0</formula>
    </cfRule>
    <cfRule type="cellIs" dxfId="9672" priority="18393" operator="greaterThan">
      <formula>0</formula>
    </cfRule>
  </conditionalFormatting>
  <conditionalFormatting sqref="HF104">
    <cfRule type="cellIs" dxfId="9671" priority="18390" operator="lessThan">
      <formula>0</formula>
    </cfRule>
    <cfRule type="cellIs" dxfId="9670" priority="18391" operator="greaterThan">
      <formula>0</formula>
    </cfRule>
  </conditionalFormatting>
  <conditionalFormatting sqref="HD104">
    <cfRule type="cellIs" dxfId="9669" priority="18388" operator="lessThan">
      <formula>0</formula>
    </cfRule>
    <cfRule type="cellIs" dxfId="9668" priority="18389" operator="greaterThan">
      <formula>0</formula>
    </cfRule>
  </conditionalFormatting>
  <conditionalFormatting sqref="HB104">
    <cfRule type="cellIs" dxfId="9667" priority="18386" operator="lessThan">
      <formula>0</formula>
    </cfRule>
    <cfRule type="cellIs" dxfId="9666" priority="18387" operator="greaterThan">
      <formula>0</formula>
    </cfRule>
  </conditionalFormatting>
  <conditionalFormatting sqref="GZ104">
    <cfRule type="cellIs" dxfId="9665" priority="18384" operator="lessThan">
      <formula>0</formula>
    </cfRule>
    <cfRule type="cellIs" dxfId="9664" priority="18385" operator="greaterThan">
      <formula>0</formula>
    </cfRule>
  </conditionalFormatting>
  <conditionalFormatting sqref="GX104">
    <cfRule type="cellIs" dxfId="9663" priority="18382" operator="lessThan">
      <formula>0</formula>
    </cfRule>
    <cfRule type="cellIs" dxfId="9662" priority="18383" operator="greaterThan">
      <formula>0</formula>
    </cfRule>
  </conditionalFormatting>
  <conditionalFormatting sqref="GV104">
    <cfRule type="cellIs" dxfId="9661" priority="18380" operator="lessThan">
      <formula>0</formula>
    </cfRule>
    <cfRule type="cellIs" dxfId="9660" priority="18381" operator="greaterThan">
      <formula>0</formula>
    </cfRule>
  </conditionalFormatting>
  <conditionalFormatting sqref="GT104">
    <cfRule type="cellIs" dxfId="9659" priority="18378" operator="lessThan">
      <formula>0</formula>
    </cfRule>
    <cfRule type="cellIs" dxfId="9658" priority="18379" operator="greaterThan">
      <formula>0</formula>
    </cfRule>
  </conditionalFormatting>
  <conditionalFormatting sqref="GR104">
    <cfRule type="cellIs" dxfId="9657" priority="18376" operator="lessThan">
      <formula>0</formula>
    </cfRule>
    <cfRule type="cellIs" dxfId="9656" priority="18377" operator="greaterThan">
      <formula>0</formula>
    </cfRule>
  </conditionalFormatting>
  <conditionalFormatting sqref="GP104">
    <cfRule type="cellIs" dxfId="9655" priority="18374" operator="lessThan">
      <formula>0</formula>
    </cfRule>
    <cfRule type="cellIs" dxfId="9654" priority="18375" operator="greaterThan">
      <formula>0</formula>
    </cfRule>
  </conditionalFormatting>
  <conditionalFormatting sqref="GN104">
    <cfRule type="cellIs" dxfId="9653" priority="18372" operator="lessThan">
      <formula>0</formula>
    </cfRule>
    <cfRule type="cellIs" dxfId="9652" priority="18373" operator="greaterThan">
      <formula>0</formula>
    </cfRule>
  </conditionalFormatting>
  <conditionalFormatting sqref="GH104">
    <cfRule type="cellIs" dxfId="9651" priority="18368" operator="lessThan">
      <formula>0</formula>
    </cfRule>
    <cfRule type="cellIs" dxfId="9650" priority="18369" operator="greaterThan">
      <formula>0</formula>
    </cfRule>
  </conditionalFormatting>
  <conditionalFormatting sqref="GF104">
    <cfRule type="cellIs" dxfId="9649" priority="18366" operator="lessThan">
      <formula>0</formula>
    </cfRule>
    <cfRule type="cellIs" dxfId="9648" priority="18367" operator="greaterThan">
      <formula>0</formula>
    </cfRule>
  </conditionalFormatting>
  <conditionalFormatting sqref="GD104">
    <cfRule type="cellIs" dxfId="9647" priority="18364" operator="lessThan">
      <formula>0</formula>
    </cfRule>
    <cfRule type="cellIs" dxfId="9646" priority="18365" operator="greaterThan">
      <formula>0</formula>
    </cfRule>
  </conditionalFormatting>
  <conditionalFormatting sqref="GB104">
    <cfRule type="cellIs" dxfId="9645" priority="18362" operator="lessThan">
      <formula>0</formula>
    </cfRule>
    <cfRule type="cellIs" dxfId="9644" priority="18363" operator="greaterThan">
      <formula>0</formula>
    </cfRule>
  </conditionalFormatting>
  <conditionalFormatting sqref="FZ104">
    <cfRule type="cellIs" dxfId="9643" priority="18360" operator="lessThan">
      <formula>0</formula>
    </cfRule>
    <cfRule type="cellIs" dxfId="9642" priority="18361" operator="greaterThan">
      <formula>0</formula>
    </cfRule>
  </conditionalFormatting>
  <conditionalFormatting sqref="FX104">
    <cfRule type="cellIs" dxfId="9641" priority="18358" operator="lessThan">
      <formula>0</formula>
    </cfRule>
    <cfRule type="cellIs" dxfId="9640" priority="18359" operator="greaterThan">
      <formula>0</formula>
    </cfRule>
  </conditionalFormatting>
  <conditionalFormatting sqref="FV104">
    <cfRule type="cellIs" dxfId="9639" priority="18356" operator="lessThan">
      <formula>0</formula>
    </cfRule>
    <cfRule type="cellIs" dxfId="9638" priority="18357" operator="greaterThan">
      <formula>0</formula>
    </cfRule>
  </conditionalFormatting>
  <conditionalFormatting sqref="FR104">
    <cfRule type="cellIs" dxfId="9637" priority="18352" operator="lessThan">
      <formula>0</formula>
    </cfRule>
    <cfRule type="cellIs" dxfId="9636" priority="18353" operator="greaterThan">
      <formula>0</formula>
    </cfRule>
  </conditionalFormatting>
  <conditionalFormatting sqref="FP104">
    <cfRule type="cellIs" dxfId="9635" priority="18350" operator="lessThan">
      <formula>0</formula>
    </cfRule>
    <cfRule type="cellIs" dxfId="9634" priority="18351" operator="greaterThan">
      <formula>0</formula>
    </cfRule>
  </conditionalFormatting>
  <conditionalFormatting sqref="FL104">
    <cfRule type="cellIs" dxfId="9633" priority="18346" operator="lessThan">
      <formula>0</formula>
    </cfRule>
    <cfRule type="cellIs" dxfId="9632" priority="18347" operator="greaterThan">
      <formula>0</formula>
    </cfRule>
  </conditionalFormatting>
  <conditionalFormatting sqref="FH104">
    <cfRule type="cellIs" dxfId="9631" priority="18342" operator="lessThan">
      <formula>0</formula>
    </cfRule>
    <cfRule type="cellIs" dxfId="9630" priority="18343" operator="greaterThan">
      <formula>0</formula>
    </cfRule>
  </conditionalFormatting>
  <conditionalFormatting sqref="HP6 HP9:HP11">
    <cfRule type="cellIs" dxfId="9629" priority="18318" operator="lessThan">
      <formula>0</formula>
    </cfRule>
    <cfRule type="cellIs" dxfId="9628" priority="18319" operator="greaterThan">
      <formula>0</formula>
    </cfRule>
  </conditionalFormatting>
  <conditionalFormatting sqref="HJ104">
    <cfRule type="cellIs" dxfId="9627" priority="18338" operator="lessThan">
      <formula>0</formula>
    </cfRule>
    <cfRule type="cellIs" dxfId="9626" priority="18339" operator="greaterThan">
      <formula>0</formula>
    </cfRule>
  </conditionalFormatting>
  <conditionalFormatting sqref="HL104">
    <cfRule type="cellIs" dxfId="9625" priority="18336" operator="lessThan">
      <formula>0</formula>
    </cfRule>
    <cfRule type="cellIs" dxfId="9624" priority="18337" operator="greaterThan">
      <formula>0</formula>
    </cfRule>
  </conditionalFormatting>
  <conditionalFormatting sqref="HN104">
    <cfRule type="cellIs" dxfId="9623" priority="18334" operator="lessThan">
      <formula>0</formula>
    </cfRule>
    <cfRule type="cellIs" dxfId="9622" priority="18335" operator="greaterThan">
      <formula>0</formula>
    </cfRule>
  </conditionalFormatting>
  <conditionalFormatting sqref="GL104">
    <cfRule type="cellIs" dxfId="9621" priority="18332" operator="lessThan">
      <formula>0</formula>
    </cfRule>
    <cfRule type="cellIs" dxfId="9620" priority="18333" operator="greaterThan">
      <formula>0</formula>
    </cfRule>
  </conditionalFormatting>
  <conditionalFormatting sqref="GJ105">
    <cfRule type="cellIs" dxfId="9619" priority="18330" operator="lessThan">
      <formula>0</formula>
    </cfRule>
    <cfRule type="cellIs" dxfId="9618" priority="18331" operator="greaterThan">
      <formula>0</formula>
    </cfRule>
  </conditionalFormatting>
  <conditionalFormatting sqref="HP43:HP44">
    <cfRule type="cellIs" dxfId="9617" priority="18282" operator="lessThan">
      <formula>0</formula>
    </cfRule>
    <cfRule type="cellIs" dxfId="9616" priority="18283" operator="greaterThan">
      <formula>0</formula>
    </cfRule>
  </conditionalFormatting>
  <conditionalFormatting sqref="HP11 HP19 HP3 HP24:HP32 HP34:HP42 HP69:HP79">
    <cfRule type="cellIs" dxfId="9615" priority="18328" operator="lessThan">
      <formula>0</formula>
    </cfRule>
    <cfRule type="cellIs" dxfId="9614" priority="18329" operator="greaterThan">
      <formula>0</formula>
    </cfRule>
  </conditionalFormatting>
  <conditionalFormatting sqref="HP4:HP5">
    <cfRule type="cellIs" dxfId="9613" priority="18320" operator="lessThan">
      <formula>0</formula>
    </cfRule>
    <cfRule type="cellIs" dxfId="9612" priority="18321" operator="greaterThan">
      <formula>0</formula>
    </cfRule>
  </conditionalFormatting>
  <conditionalFormatting sqref="HP12:HP13">
    <cfRule type="cellIs" dxfId="9611" priority="18316" operator="lessThan">
      <formula>0</formula>
    </cfRule>
    <cfRule type="cellIs" dxfId="9610" priority="18317" operator="greaterThan">
      <formula>0</formula>
    </cfRule>
  </conditionalFormatting>
  <conditionalFormatting sqref="HP14:HP19">
    <cfRule type="cellIs" dxfId="9609" priority="18314" operator="lessThan">
      <formula>0</formula>
    </cfRule>
    <cfRule type="cellIs" dxfId="9608" priority="18315" operator="greaterThan">
      <formula>0</formula>
    </cfRule>
  </conditionalFormatting>
  <conditionalFormatting sqref="HP20:HP22">
    <cfRule type="cellIs" dxfId="9607" priority="18312" operator="lessThan">
      <formula>0</formula>
    </cfRule>
    <cfRule type="cellIs" dxfId="9606" priority="18313" operator="greaterThan">
      <formula>0</formula>
    </cfRule>
  </conditionalFormatting>
  <conditionalFormatting sqref="HP45:HP46">
    <cfRule type="cellIs" dxfId="9605" priority="18326" operator="lessThan">
      <formula>0</formula>
    </cfRule>
    <cfRule type="cellIs" dxfId="9604" priority="18327" operator="greaterThan">
      <formula>0</formula>
    </cfRule>
  </conditionalFormatting>
  <conditionalFormatting sqref="HP7">
    <cfRule type="cellIs" dxfId="9603" priority="18298" operator="lessThan">
      <formula>0</formula>
    </cfRule>
    <cfRule type="cellIs" dxfId="9602" priority="18299" operator="greaterThan">
      <formula>0</formula>
    </cfRule>
  </conditionalFormatting>
  <conditionalFormatting sqref="HP7">
    <cfRule type="cellIs" dxfId="9601" priority="18296" operator="lessThan">
      <formula>0</formula>
    </cfRule>
    <cfRule type="cellIs" dxfId="9600" priority="18297" operator="greaterThan">
      <formula>0</formula>
    </cfRule>
  </conditionalFormatting>
  <conditionalFormatting sqref="HP8">
    <cfRule type="cellIs" dxfId="9599" priority="18294" operator="lessThan">
      <formula>0</formula>
    </cfRule>
    <cfRule type="cellIs" dxfId="9598" priority="18295" operator="greaterThan">
      <formula>0</formula>
    </cfRule>
  </conditionalFormatting>
  <conditionalFormatting sqref="HP47">
    <cfRule type="cellIs" dxfId="9597" priority="18292" operator="lessThan">
      <formula>0</formula>
    </cfRule>
    <cfRule type="cellIs" dxfId="9596" priority="18293" operator="greaterThan">
      <formula>0</formula>
    </cfRule>
  </conditionalFormatting>
  <conditionalFormatting sqref="HP44">
    <cfRule type="cellIs" dxfId="9595" priority="18290" operator="lessThan">
      <formula>0</formula>
    </cfRule>
    <cfRule type="cellIs" dxfId="9594" priority="18291" operator="greaterThan">
      <formula>0</formula>
    </cfRule>
  </conditionalFormatting>
  <conditionalFormatting sqref="HP23:HP24">
    <cfRule type="cellIs" dxfId="9593" priority="18286" operator="lessThan">
      <formula>0</formula>
    </cfRule>
    <cfRule type="cellIs" dxfId="9592" priority="18287" operator="greaterThan">
      <formula>0</formula>
    </cfRule>
  </conditionalFormatting>
  <conditionalFormatting sqref="HP33:HP34">
    <cfRule type="cellIs" dxfId="9591" priority="18284" operator="lessThan">
      <formula>0</formula>
    </cfRule>
    <cfRule type="cellIs" dxfId="9590" priority="18285" operator="greaterThan">
      <formula>0</formula>
    </cfRule>
  </conditionalFormatting>
  <conditionalFormatting sqref="HP98">
    <cfRule type="cellIs" dxfId="9589" priority="18278" operator="lessThan">
      <formula>0</formula>
    </cfRule>
    <cfRule type="cellIs" dxfId="9588" priority="18279" operator="greaterThan">
      <formula>0</formula>
    </cfRule>
  </conditionalFormatting>
  <conditionalFormatting sqref="HP101">
    <cfRule type="cellIs" dxfId="9587" priority="18276" operator="lessThan">
      <formula>0</formula>
    </cfRule>
    <cfRule type="cellIs" dxfId="9586" priority="18277" operator="greaterThan">
      <formula>0</formula>
    </cfRule>
  </conditionalFormatting>
  <conditionalFormatting sqref="HP104">
    <cfRule type="cellIs" dxfId="9585" priority="18274" operator="lessThan">
      <formula>0</formula>
    </cfRule>
    <cfRule type="cellIs" dxfId="9584" priority="18275" operator="greaterThan">
      <formula>0</formula>
    </cfRule>
  </conditionalFormatting>
  <conditionalFormatting sqref="HR6 HR9:HR11">
    <cfRule type="cellIs" dxfId="9583" priority="18229" operator="lessThan">
      <formula>0</formula>
    </cfRule>
    <cfRule type="cellIs" dxfId="9582" priority="18230" operator="greaterThan">
      <formula>0</formula>
    </cfRule>
  </conditionalFormatting>
  <conditionalFormatting sqref="HR43:HR44">
    <cfRule type="cellIs" dxfId="9581" priority="18193" operator="lessThan">
      <formula>0</formula>
    </cfRule>
    <cfRule type="cellIs" dxfId="9580" priority="18194" operator="greaterThan">
      <formula>0</formula>
    </cfRule>
  </conditionalFormatting>
  <conditionalFormatting sqref="HR11 HR19 HR3 HR24:HR32 HR34:HR42 HR69:HR79">
    <cfRule type="cellIs" dxfId="9579" priority="18239" operator="lessThan">
      <formula>0</formula>
    </cfRule>
    <cfRule type="cellIs" dxfId="9578" priority="18240" operator="greaterThan">
      <formula>0</formula>
    </cfRule>
  </conditionalFormatting>
  <conditionalFormatting sqref="HR4:HR5">
    <cfRule type="cellIs" dxfId="9577" priority="18231" operator="lessThan">
      <formula>0</formula>
    </cfRule>
    <cfRule type="cellIs" dxfId="9576" priority="18232" operator="greaterThan">
      <formula>0</formula>
    </cfRule>
  </conditionalFormatting>
  <conditionalFormatting sqref="HR12:HR13">
    <cfRule type="cellIs" dxfId="9575" priority="18227" operator="lessThan">
      <formula>0</formula>
    </cfRule>
    <cfRule type="cellIs" dxfId="9574" priority="18228" operator="greaterThan">
      <formula>0</formula>
    </cfRule>
  </conditionalFormatting>
  <conditionalFormatting sqref="HR14:HR19">
    <cfRule type="cellIs" dxfId="9573" priority="18225" operator="lessThan">
      <formula>0</formula>
    </cfRule>
    <cfRule type="cellIs" dxfId="9572" priority="18226" operator="greaterThan">
      <formula>0</formula>
    </cfRule>
  </conditionalFormatting>
  <conditionalFormatting sqref="HR20:HR22">
    <cfRule type="cellIs" dxfId="9571" priority="18223" operator="lessThan">
      <formula>0</formula>
    </cfRule>
    <cfRule type="cellIs" dxfId="9570" priority="18224" operator="greaterThan">
      <formula>0</formula>
    </cfRule>
  </conditionalFormatting>
  <conditionalFormatting sqref="HR45:HR46">
    <cfRule type="cellIs" dxfId="9569" priority="18237" operator="lessThan">
      <formula>0</formula>
    </cfRule>
    <cfRule type="cellIs" dxfId="9568" priority="18238" operator="greaterThan">
      <formula>0</formula>
    </cfRule>
  </conditionalFormatting>
  <conditionalFormatting sqref="HR7">
    <cfRule type="cellIs" dxfId="9567" priority="18209" operator="lessThan">
      <formula>0</formula>
    </cfRule>
    <cfRule type="cellIs" dxfId="9566" priority="18210" operator="greaterThan">
      <formula>0</formula>
    </cfRule>
  </conditionalFormatting>
  <conditionalFormatting sqref="HR7">
    <cfRule type="cellIs" dxfId="9565" priority="18207" operator="lessThan">
      <formula>0</formula>
    </cfRule>
    <cfRule type="cellIs" dxfId="9564" priority="18208" operator="greaterThan">
      <formula>0</formula>
    </cfRule>
  </conditionalFormatting>
  <conditionalFormatting sqref="HR8">
    <cfRule type="cellIs" dxfId="9563" priority="18205" operator="lessThan">
      <formula>0</formula>
    </cfRule>
    <cfRule type="cellIs" dxfId="9562" priority="18206" operator="greaterThan">
      <formula>0</formula>
    </cfRule>
  </conditionalFormatting>
  <conditionalFormatting sqref="HR47">
    <cfRule type="cellIs" dxfId="9561" priority="18203" operator="lessThan">
      <formula>0</formula>
    </cfRule>
    <cfRule type="cellIs" dxfId="9560" priority="18204" operator="greaterThan">
      <formula>0</formula>
    </cfRule>
  </conditionalFormatting>
  <conditionalFormatting sqref="HR44">
    <cfRule type="cellIs" dxfId="9559" priority="18201" operator="lessThan">
      <formula>0</formula>
    </cfRule>
    <cfRule type="cellIs" dxfId="9558" priority="18202" operator="greaterThan">
      <formula>0</formula>
    </cfRule>
  </conditionalFormatting>
  <conditionalFormatting sqref="HR23:HR24">
    <cfRule type="cellIs" dxfId="9557" priority="18197" operator="lessThan">
      <formula>0</formula>
    </cfRule>
    <cfRule type="cellIs" dxfId="9556" priority="18198" operator="greaterThan">
      <formula>0</formula>
    </cfRule>
  </conditionalFormatting>
  <conditionalFormatting sqref="HR33:HR34">
    <cfRule type="cellIs" dxfId="9555" priority="18195" operator="lessThan">
      <formula>0</formula>
    </cfRule>
    <cfRule type="cellIs" dxfId="9554" priority="18196" operator="greaterThan">
      <formula>0</formula>
    </cfRule>
  </conditionalFormatting>
  <conditionalFormatting sqref="HR98">
    <cfRule type="cellIs" dxfId="9553" priority="18189" operator="lessThan">
      <formula>0</formula>
    </cfRule>
    <cfRule type="cellIs" dxfId="9552" priority="18190" operator="greaterThan">
      <formula>0</formula>
    </cfRule>
  </conditionalFormatting>
  <conditionalFormatting sqref="HR101">
    <cfRule type="cellIs" dxfId="9551" priority="18187" operator="lessThan">
      <formula>0</formula>
    </cfRule>
    <cfRule type="cellIs" dxfId="9550" priority="18188" operator="greaterThan">
      <formula>0</formula>
    </cfRule>
  </conditionalFormatting>
  <conditionalFormatting sqref="HR104">
    <cfRule type="cellIs" dxfId="9549" priority="18185" operator="lessThan">
      <formula>0</formula>
    </cfRule>
    <cfRule type="cellIs" dxfId="9548" priority="18186" operator="greaterThan">
      <formula>0</formula>
    </cfRule>
  </conditionalFormatting>
  <conditionalFormatting sqref="HT6 HT9:HT11">
    <cfRule type="cellIs" dxfId="9547" priority="18162" operator="lessThan">
      <formula>0</formula>
    </cfRule>
    <cfRule type="cellIs" dxfId="9546" priority="18163" operator="greaterThan">
      <formula>0</formula>
    </cfRule>
  </conditionalFormatting>
  <conditionalFormatting sqref="HT43:HT44">
    <cfRule type="cellIs" dxfId="9545" priority="18126" operator="lessThan">
      <formula>0</formula>
    </cfRule>
    <cfRule type="cellIs" dxfId="9544" priority="18127" operator="greaterThan">
      <formula>0</formula>
    </cfRule>
  </conditionalFormatting>
  <conditionalFormatting sqref="HT11 HT19 HT3 HT24:HT32 HT34:HT42 HT69:HT79">
    <cfRule type="cellIs" dxfId="9543" priority="18172" operator="lessThan">
      <formula>0</formula>
    </cfRule>
    <cfRule type="cellIs" dxfId="9542" priority="18173" operator="greaterThan">
      <formula>0</formula>
    </cfRule>
  </conditionalFormatting>
  <conditionalFormatting sqref="HT4:HT5">
    <cfRule type="cellIs" dxfId="9541" priority="18164" operator="lessThan">
      <formula>0</formula>
    </cfRule>
    <cfRule type="cellIs" dxfId="9540" priority="18165" operator="greaterThan">
      <formula>0</formula>
    </cfRule>
  </conditionalFormatting>
  <conditionalFormatting sqref="HT12:HT13">
    <cfRule type="cellIs" dxfId="9539" priority="18160" operator="lessThan">
      <formula>0</formula>
    </cfRule>
    <cfRule type="cellIs" dxfId="9538" priority="18161" operator="greaterThan">
      <formula>0</formula>
    </cfRule>
  </conditionalFormatting>
  <conditionalFormatting sqref="HT14:HT19">
    <cfRule type="cellIs" dxfId="9537" priority="18158" operator="lessThan">
      <formula>0</formula>
    </cfRule>
    <cfRule type="cellIs" dxfId="9536" priority="18159" operator="greaterThan">
      <formula>0</formula>
    </cfRule>
  </conditionalFormatting>
  <conditionalFormatting sqref="HT20:HT22">
    <cfRule type="cellIs" dxfId="9535" priority="18156" operator="lessThan">
      <formula>0</formula>
    </cfRule>
    <cfRule type="cellIs" dxfId="9534" priority="18157" operator="greaterThan">
      <formula>0</formula>
    </cfRule>
  </conditionalFormatting>
  <conditionalFormatting sqref="HT45:HT46">
    <cfRule type="cellIs" dxfId="9533" priority="18170" operator="lessThan">
      <formula>0</formula>
    </cfRule>
    <cfRule type="cellIs" dxfId="9532" priority="18171" operator="greaterThan">
      <formula>0</formula>
    </cfRule>
  </conditionalFormatting>
  <conditionalFormatting sqref="HT7">
    <cfRule type="cellIs" dxfId="9531" priority="18142" operator="lessThan">
      <formula>0</formula>
    </cfRule>
    <cfRule type="cellIs" dxfId="9530" priority="18143" operator="greaterThan">
      <formula>0</formula>
    </cfRule>
  </conditionalFormatting>
  <conditionalFormatting sqref="HT7">
    <cfRule type="cellIs" dxfId="9529" priority="18140" operator="lessThan">
      <formula>0</formula>
    </cfRule>
    <cfRule type="cellIs" dxfId="9528" priority="18141" operator="greaterThan">
      <formula>0</formula>
    </cfRule>
  </conditionalFormatting>
  <conditionalFormatting sqref="HT8">
    <cfRule type="cellIs" dxfId="9527" priority="18138" operator="lessThan">
      <formula>0</formula>
    </cfRule>
    <cfRule type="cellIs" dxfId="9526" priority="18139" operator="greaterThan">
      <formula>0</formula>
    </cfRule>
  </conditionalFormatting>
  <conditionalFormatting sqref="HT47">
    <cfRule type="cellIs" dxfId="9525" priority="18136" operator="lessThan">
      <formula>0</formula>
    </cfRule>
    <cfRule type="cellIs" dxfId="9524" priority="18137" operator="greaterThan">
      <formula>0</formula>
    </cfRule>
  </conditionalFormatting>
  <conditionalFormatting sqref="HT44">
    <cfRule type="cellIs" dxfId="9523" priority="18134" operator="lessThan">
      <formula>0</formula>
    </cfRule>
    <cfRule type="cellIs" dxfId="9522" priority="18135" operator="greaterThan">
      <formula>0</formula>
    </cfRule>
  </conditionalFormatting>
  <conditionalFormatting sqref="HT23:HT24">
    <cfRule type="cellIs" dxfId="9521" priority="18130" operator="lessThan">
      <formula>0</formula>
    </cfRule>
    <cfRule type="cellIs" dxfId="9520" priority="18131" operator="greaterThan">
      <formula>0</formula>
    </cfRule>
  </conditionalFormatting>
  <conditionalFormatting sqref="HT33:HT34">
    <cfRule type="cellIs" dxfId="9519" priority="18128" operator="lessThan">
      <formula>0</formula>
    </cfRule>
    <cfRule type="cellIs" dxfId="9518" priority="18129" operator="greaterThan">
      <formula>0</formula>
    </cfRule>
  </conditionalFormatting>
  <conditionalFormatting sqref="HT98">
    <cfRule type="cellIs" dxfId="9517" priority="18122" operator="lessThan">
      <formula>0</formula>
    </cfRule>
    <cfRule type="cellIs" dxfId="9516" priority="18123" operator="greaterThan">
      <formula>0</formula>
    </cfRule>
  </conditionalFormatting>
  <conditionalFormatting sqref="HT101">
    <cfRule type="cellIs" dxfId="9515" priority="18120" operator="lessThan">
      <formula>0</formula>
    </cfRule>
    <cfRule type="cellIs" dxfId="9514" priority="18121" operator="greaterThan">
      <formula>0</formula>
    </cfRule>
  </conditionalFormatting>
  <conditionalFormatting sqref="HT104">
    <cfRule type="cellIs" dxfId="9513" priority="18118" operator="lessThan">
      <formula>0</formula>
    </cfRule>
    <cfRule type="cellIs" dxfId="9512" priority="18119" operator="greaterThan">
      <formula>0</formula>
    </cfRule>
  </conditionalFormatting>
  <conditionalFormatting sqref="HV6 HV9:HV11">
    <cfRule type="cellIs" dxfId="9511" priority="18079" operator="lessThan">
      <formula>0</formula>
    </cfRule>
    <cfRule type="cellIs" dxfId="9510" priority="18080" operator="greaterThan">
      <formula>0</formula>
    </cfRule>
  </conditionalFormatting>
  <conditionalFormatting sqref="HV43:HV44">
    <cfRule type="cellIs" dxfId="9509" priority="18043" operator="lessThan">
      <formula>0</formula>
    </cfRule>
    <cfRule type="cellIs" dxfId="9508" priority="18044" operator="greaterThan">
      <formula>0</formula>
    </cfRule>
  </conditionalFormatting>
  <conditionalFormatting sqref="HV11 HV19 HV3 HV24:HV32 HV34:HV42 HV69:HV79">
    <cfRule type="cellIs" dxfId="9507" priority="18089" operator="lessThan">
      <formula>0</formula>
    </cfRule>
    <cfRule type="cellIs" dxfId="9506" priority="18090" operator="greaterThan">
      <formula>0</formula>
    </cfRule>
  </conditionalFormatting>
  <conditionalFormatting sqref="HV4:HV5">
    <cfRule type="cellIs" dxfId="9505" priority="18081" operator="lessThan">
      <formula>0</formula>
    </cfRule>
    <cfRule type="cellIs" dxfId="9504" priority="18082" operator="greaterThan">
      <formula>0</formula>
    </cfRule>
  </conditionalFormatting>
  <conditionalFormatting sqref="HV12:HV13">
    <cfRule type="cellIs" dxfId="9503" priority="18077" operator="lessThan">
      <formula>0</formula>
    </cfRule>
    <cfRule type="cellIs" dxfId="9502" priority="18078" operator="greaterThan">
      <formula>0</formula>
    </cfRule>
  </conditionalFormatting>
  <conditionalFormatting sqref="HV14:HV19">
    <cfRule type="cellIs" dxfId="9501" priority="18075" operator="lessThan">
      <formula>0</formula>
    </cfRule>
    <cfRule type="cellIs" dxfId="9500" priority="18076" operator="greaterThan">
      <formula>0</formula>
    </cfRule>
  </conditionalFormatting>
  <conditionalFormatting sqref="HV20:HV22">
    <cfRule type="cellIs" dxfId="9499" priority="18073" operator="lessThan">
      <formula>0</formula>
    </cfRule>
    <cfRule type="cellIs" dxfId="9498" priority="18074" operator="greaterThan">
      <formula>0</formula>
    </cfRule>
  </conditionalFormatting>
  <conditionalFormatting sqref="HV45:HV46">
    <cfRule type="cellIs" dxfId="9497" priority="18087" operator="lessThan">
      <formula>0</formula>
    </cfRule>
    <cfRule type="cellIs" dxfId="9496" priority="18088" operator="greaterThan">
      <formula>0</formula>
    </cfRule>
  </conditionalFormatting>
  <conditionalFormatting sqref="HV7">
    <cfRule type="cellIs" dxfId="9495" priority="18059" operator="lessThan">
      <formula>0</formula>
    </cfRule>
    <cfRule type="cellIs" dxfId="9494" priority="18060" operator="greaterThan">
      <formula>0</formula>
    </cfRule>
  </conditionalFormatting>
  <conditionalFormatting sqref="HV7">
    <cfRule type="cellIs" dxfId="9493" priority="18057" operator="lessThan">
      <formula>0</formula>
    </cfRule>
    <cfRule type="cellIs" dxfId="9492" priority="18058" operator="greaterThan">
      <formula>0</formula>
    </cfRule>
  </conditionalFormatting>
  <conditionalFormatting sqref="HV8">
    <cfRule type="cellIs" dxfId="9491" priority="18055" operator="lessThan">
      <formula>0</formula>
    </cfRule>
    <cfRule type="cellIs" dxfId="9490" priority="18056" operator="greaterThan">
      <formula>0</formula>
    </cfRule>
  </conditionalFormatting>
  <conditionalFormatting sqref="HV47">
    <cfRule type="cellIs" dxfId="9489" priority="18053" operator="lessThan">
      <formula>0</formula>
    </cfRule>
    <cfRule type="cellIs" dxfId="9488" priority="18054" operator="greaterThan">
      <formula>0</formula>
    </cfRule>
  </conditionalFormatting>
  <conditionalFormatting sqref="HV44">
    <cfRule type="cellIs" dxfId="9487" priority="18051" operator="lessThan">
      <formula>0</formula>
    </cfRule>
    <cfRule type="cellIs" dxfId="9486" priority="18052" operator="greaterThan">
      <formula>0</formula>
    </cfRule>
  </conditionalFormatting>
  <conditionalFormatting sqref="HV23:HV24">
    <cfRule type="cellIs" dxfId="9485" priority="18047" operator="lessThan">
      <formula>0</formula>
    </cfRule>
    <cfRule type="cellIs" dxfId="9484" priority="18048" operator="greaterThan">
      <formula>0</formula>
    </cfRule>
  </conditionalFormatting>
  <conditionalFormatting sqref="HV33:HV34">
    <cfRule type="cellIs" dxfId="9483" priority="18045" operator="lessThan">
      <formula>0</formula>
    </cfRule>
    <cfRule type="cellIs" dxfId="9482" priority="18046" operator="greaterThan">
      <formula>0</formula>
    </cfRule>
  </conditionalFormatting>
  <conditionalFormatting sqref="HV98">
    <cfRule type="cellIs" dxfId="9481" priority="18039" operator="lessThan">
      <formula>0</formula>
    </cfRule>
    <cfRule type="cellIs" dxfId="9480" priority="18040" operator="greaterThan">
      <formula>0</formula>
    </cfRule>
  </conditionalFormatting>
  <conditionalFormatting sqref="HV101">
    <cfRule type="cellIs" dxfId="9479" priority="18037" operator="lessThan">
      <formula>0</formula>
    </cfRule>
    <cfRule type="cellIs" dxfId="9478" priority="18038" operator="greaterThan">
      <formula>0</formula>
    </cfRule>
  </conditionalFormatting>
  <conditionalFormatting sqref="HV104">
    <cfRule type="cellIs" dxfId="9477" priority="18035" operator="lessThan">
      <formula>0</formula>
    </cfRule>
    <cfRule type="cellIs" dxfId="9476" priority="18036" operator="greaterThan">
      <formula>0</formula>
    </cfRule>
  </conditionalFormatting>
  <conditionalFormatting sqref="HX6 HX9:HX11">
    <cfRule type="cellIs" dxfId="9475" priority="18012" operator="lessThan">
      <formula>0</formula>
    </cfRule>
    <cfRule type="cellIs" dxfId="9474" priority="18013" operator="greaterThan">
      <formula>0</formula>
    </cfRule>
  </conditionalFormatting>
  <conditionalFormatting sqref="HX43:HX44">
    <cfRule type="cellIs" dxfId="9473" priority="17976" operator="lessThan">
      <formula>0</formula>
    </cfRule>
    <cfRule type="cellIs" dxfId="9472" priority="17977" operator="greaterThan">
      <formula>0</formula>
    </cfRule>
  </conditionalFormatting>
  <conditionalFormatting sqref="HX11 HX19 HX3 HX24:HX32 HX34:HX42 HX69:HX79">
    <cfRule type="cellIs" dxfId="9471" priority="18022" operator="lessThan">
      <formula>0</formula>
    </cfRule>
    <cfRule type="cellIs" dxfId="9470" priority="18023" operator="greaterThan">
      <formula>0</formula>
    </cfRule>
  </conditionalFormatting>
  <conditionalFormatting sqref="HX4:HX5">
    <cfRule type="cellIs" dxfId="9469" priority="18014" operator="lessThan">
      <formula>0</formula>
    </cfRule>
    <cfRule type="cellIs" dxfId="9468" priority="18015" operator="greaterThan">
      <formula>0</formula>
    </cfRule>
  </conditionalFormatting>
  <conditionalFormatting sqref="HX12:HX13">
    <cfRule type="cellIs" dxfId="9467" priority="18010" operator="lessThan">
      <formula>0</formula>
    </cfRule>
    <cfRule type="cellIs" dxfId="9466" priority="18011" operator="greaterThan">
      <formula>0</formula>
    </cfRule>
  </conditionalFormatting>
  <conditionalFormatting sqref="HX14:HX19">
    <cfRule type="cellIs" dxfId="9465" priority="18008" operator="lessThan">
      <formula>0</formula>
    </cfRule>
    <cfRule type="cellIs" dxfId="9464" priority="18009" operator="greaterThan">
      <formula>0</formula>
    </cfRule>
  </conditionalFormatting>
  <conditionalFormatting sqref="HX20:HX22">
    <cfRule type="cellIs" dxfId="9463" priority="18006" operator="lessThan">
      <formula>0</formula>
    </cfRule>
    <cfRule type="cellIs" dxfId="9462" priority="18007" operator="greaterThan">
      <formula>0</formula>
    </cfRule>
  </conditionalFormatting>
  <conditionalFormatting sqref="HX45:HX46">
    <cfRule type="cellIs" dxfId="9461" priority="18020" operator="lessThan">
      <formula>0</formula>
    </cfRule>
    <cfRule type="cellIs" dxfId="9460" priority="18021" operator="greaterThan">
      <formula>0</formula>
    </cfRule>
  </conditionalFormatting>
  <conditionalFormatting sqref="HX7">
    <cfRule type="cellIs" dxfId="9459" priority="17992" operator="lessThan">
      <formula>0</formula>
    </cfRule>
    <cfRule type="cellIs" dxfId="9458" priority="17993" operator="greaterThan">
      <formula>0</formula>
    </cfRule>
  </conditionalFormatting>
  <conditionalFormatting sqref="HX7">
    <cfRule type="cellIs" dxfId="9457" priority="17990" operator="lessThan">
      <formula>0</formula>
    </cfRule>
    <cfRule type="cellIs" dxfId="9456" priority="17991" operator="greaterThan">
      <formula>0</formula>
    </cfRule>
  </conditionalFormatting>
  <conditionalFormatting sqref="HX8">
    <cfRule type="cellIs" dxfId="9455" priority="17988" operator="lessThan">
      <formula>0</formula>
    </cfRule>
    <cfRule type="cellIs" dxfId="9454" priority="17989" operator="greaterThan">
      <formula>0</formula>
    </cfRule>
  </conditionalFormatting>
  <conditionalFormatting sqref="HX47">
    <cfRule type="cellIs" dxfId="9453" priority="17986" operator="lessThan">
      <formula>0</formula>
    </cfRule>
    <cfRule type="cellIs" dxfId="9452" priority="17987" operator="greaterThan">
      <formula>0</formula>
    </cfRule>
  </conditionalFormatting>
  <conditionalFormatting sqref="HX44">
    <cfRule type="cellIs" dxfId="9451" priority="17984" operator="lessThan">
      <formula>0</formula>
    </cfRule>
    <cfRule type="cellIs" dxfId="9450" priority="17985" operator="greaterThan">
      <formula>0</formula>
    </cfRule>
  </conditionalFormatting>
  <conditionalFormatting sqref="HX23:HX24">
    <cfRule type="cellIs" dxfId="9449" priority="17980" operator="lessThan">
      <formula>0</formula>
    </cfRule>
    <cfRule type="cellIs" dxfId="9448" priority="17981" operator="greaterThan">
      <formula>0</formula>
    </cfRule>
  </conditionalFormatting>
  <conditionalFormatting sqref="HX33:HX34">
    <cfRule type="cellIs" dxfId="9447" priority="17978" operator="lessThan">
      <formula>0</formula>
    </cfRule>
    <cfRule type="cellIs" dxfId="9446" priority="17979" operator="greaterThan">
      <formula>0</formula>
    </cfRule>
  </conditionalFormatting>
  <conditionalFormatting sqref="HX98">
    <cfRule type="cellIs" dxfId="9445" priority="17972" operator="lessThan">
      <formula>0</formula>
    </cfRule>
    <cfRule type="cellIs" dxfId="9444" priority="17973" operator="greaterThan">
      <formula>0</formula>
    </cfRule>
  </conditionalFormatting>
  <conditionalFormatting sqref="HX101">
    <cfRule type="cellIs" dxfId="9443" priority="17970" operator="lessThan">
      <formula>0</formula>
    </cfRule>
    <cfRule type="cellIs" dxfId="9442" priority="17971" operator="greaterThan">
      <formula>0</formula>
    </cfRule>
  </conditionalFormatting>
  <conditionalFormatting sqref="HX104">
    <cfRule type="cellIs" dxfId="9441" priority="17968" operator="lessThan">
      <formula>0</formula>
    </cfRule>
    <cfRule type="cellIs" dxfId="9440" priority="17969" operator="greaterThan">
      <formula>0</formula>
    </cfRule>
  </conditionalFormatting>
  <conditionalFormatting sqref="HZ6 HZ9:HZ11">
    <cfRule type="cellIs" dxfId="9439" priority="17945" operator="lessThan">
      <formula>0</formula>
    </cfRule>
    <cfRule type="cellIs" dxfId="9438" priority="17946" operator="greaterThan">
      <formula>0</formula>
    </cfRule>
  </conditionalFormatting>
  <conditionalFormatting sqref="HZ43:HZ44">
    <cfRule type="cellIs" dxfId="9437" priority="17909" operator="lessThan">
      <formula>0</formula>
    </cfRule>
    <cfRule type="cellIs" dxfId="9436" priority="17910" operator="greaterThan">
      <formula>0</formula>
    </cfRule>
  </conditionalFormatting>
  <conditionalFormatting sqref="HZ11 HZ19 HZ3 HZ24:HZ32 HZ34:HZ42 HZ69:HZ79">
    <cfRule type="cellIs" dxfId="9435" priority="17955" operator="lessThan">
      <formula>0</formula>
    </cfRule>
    <cfRule type="cellIs" dxfId="9434" priority="17956" operator="greaterThan">
      <formula>0</formula>
    </cfRule>
  </conditionalFormatting>
  <conditionalFormatting sqref="HZ4:HZ5">
    <cfRule type="cellIs" dxfId="9433" priority="17947" operator="lessThan">
      <formula>0</formula>
    </cfRule>
    <cfRule type="cellIs" dxfId="9432" priority="17948" operator="greaterThan">
      <formula>0</formula>
    </cfRule>
  </conditionalFormatting>
  <conditionalFormatting sqref="HZ12:HZ13">
    <cfRule type="cellIs" dxfId="9431" priority="17943" operator="lessThan">
      <formula>0</formula>
    </cfRule>
    <cfRule type="cellIs" dxfId="9430" priority="17944" operator="greaterThan">
      <formula>0</formula>
    </cfRule>
  </conditionalFormatting>
  <conditionalFormatting sqref="HZ14:HZ19">
    <cfRule type="cellIs" dxfId="9429" priority="17941" operator="lessThan">
      <formula>0</formula>
    </cfRule>
    <cfRule type="cellIs" dxfId="9428" priority="17942" operator="greaterThan">
      <formula>0</formula>
    </cfRule>
  </conditionalFormatting>
  <conditionalFormatting sqref="HZ20:HZ22">
    <cfRule type="cellIs" dxfId="9427" priority="17939" operator="lessThan">
      <formula>0</formula>
    </cfRule>
    <cfRule type="cellIs" dxfId="9426" priority="17940" operator="greaterThan">
      <formula>0</formula>
    </cfRule>
  </conditionalFormatting>
  <conditionalFormatting sqref="HZ45:HZ46">
    <cfRule type="cellIs" dxfId="9425" priority="17953" operator="lessThan">
      <formula>0</formula>
    </cfRule>
    <cfRule type="cellIs" dxfId="9424" priority="17954" operator="greaterThan">
      <formula>0</formula>
    </cfRule>
  </conditionalFormatting>
  <conditionalFormatting sqref="HZ7">
    <cfRule type="cellIs" dxfId="9423" priority="17925" operator="lessThan">
      <formula>0</formula>
    </cfRule>
    <cfRule type="cellIs" dxfId="9422" priority="17926" operator="greaterThan">
      <formula>0</formula>
    </cfRule>
  </conditionalFormatting>
  <conditionalFormatting sqref="HZ7">
    <cfRule type="cellIs" dxfId="9421" priority="17923" operator="lessThan">
      <formula>0</formula>
    </cfRule>
    <cfRule type="cellIs" dxfId="9420" priority="17924" operator="greaterThan">
      <formula>0</formula>
    </cfRule>
  </conditionalFormatting>
  <conditionalFormatting sqref="HZ8">
    <cfRule type="cellIs" dxfId="9419" priority="17921" operator="lessThan">
      <formula>0</formula>
    </cfRule>
    <cfRule type="cellIs" dxfId="9418" priority="17922" operator="greaterThan">
      <formula>0</formula>
    </cfRule>
  </conditionalFormatting>
  <conditionalFormatting sqref="HZ47">
    <cfRule type="cellIs" dxfId="9417" priority="17919" operator="lessThan">
      <formula>0</formula>
    </cfRule>
    <cfRule type="cellIs" dxfId="9416" priority="17920" operator="greaterThan">
      <formula>0</formula>
    </cfRule>
  </conditionalFormatting>
  <conditionalFormatting sqref="HZ44">
    <cfRule type="cellIs" dxfId="9415" priority="17917" operator="lessThan">
      <formula>0</formula>
    </cfRule>
    <cfRule type="cellIs" dxfId="9414" priority="17918" operator="greaterThan">
      <formula>0</formula>
    </cfRule>
  </conditionalFormatting>
  <conditionalFormatting sqref="HZ23:HZ24">
    <cfRule type="cellIs" dxfId="9413" priority="17913" operator="lessThan">
      <formula>0</formula>
    </cfRule>
    <cfRule type="cellIs" dxfId="9412" priority="17914" operator="greaterThan">
      <formula>0</formula>
    </cfRule>
  </conditionalFormatting>
  <conditionalFormatting sqref="HZ33:HZ34">
    <cfRule type="cellIs" dxfId="9411" priority="17911" operator="lessThan">
      <formula>0</formula>
    </cfRule>
    <cfRule type="cellIs" dxfId="9410" priority="17912" operator="greaterThan">
      <formula>0</formula>
    </cfRule>
  </conditionalFormatting>
  <conditionalFormatting sqref="HZ98">
    <cfRule type="cellIs" dxfId="9409" priority="17905" operator="lessThan">
      <formula>0</formula>
    </cfRule>
    <cfRule type="cellIs" dxfId="9408" priority="17906" operator="greaterThan">
      <formula>0</formula>
    </cfRule>
  </conditionalFormatting>
  <conditionalFormatting sqref="HZ101">
    <cfRule type="cellIs" dxfId="9407" priority="17903" operator="lessThan">
      <formula>0</formula>
    </cfRule>
    <cfRule type="cellIs" dxfId="9406" priority="17904" operator="greaterThan">
      <formula>0</formula>
    </cfRule>
  </conditionalFormatting>
  <conditionalFormatting sqref="HZ104">
    <cfRule type="cellIs" dxfId="9405" priority="17901" operator="lessThan">
      <formula>0</formula>
    </cfRule>
    <cfRule type="cellIs" dxfId="9404" priority="17902" operator="greaterThan">
      <formula>0</formula>
    </cfRule>
  </conditionalFormatting>
  <conditionalFormatting sqref="IB6 IB9:IB11">
    <cfRule type="cellIs" dxfId="9403" priority="17878" operator="lessThan">
      <formula>0</formula>
    </cfRule>
    <cfRule type="cellIs" dxfId="9402" priority="17879" operator="greaterThan">
      <formula>0</formula>
    </cfRule>
  </conditionalFormatting>
  <conditionalFormatting sqref="IB43:IB44">
    <cfRule type="cellIs" dxfId="9401" priority="17842" operator="lessThan">
      <formula>0</formula>
    </cfRule>
    <cfRule type="cellIs" dxfId="9400" priority="17843" operator="greaterThan">
      <formula>0</formula>
    </cfRule>
  </conditionalFormatting>
  <conditionalFormatting sqref="IB11 IB19 IB3 IB24:IB32 IB34:IB42 IB69:IB79">
    <cfRule type="cellIs" dxfId="9399" priority="17888" operator="lessThan">
      <formula>0</formula>
    </cfRule>
    <cfRule type="cellIs" dxfId="9398" priority="17889" operator="greaterThan">
      <formula>0</formula>
    </cfRule>
  </conditionalFormatting>
  <conditionalFormatting sqref="IB4:IB5">
    <cfRule type="cellIs" dxfId="9397" priority="17880" operator="lessThan">
      <formula>0</formula>
    </cfRule>
    <cfRule type="cellIs" dxfId="9396" priority="17881" operator="greaterThan">
      <formula>0</formula>
    </cfRule>
  </conditionalFormatting>
  <conditionalFormatting sqref="IB12:IB13">
    <cfRule type="cellIs" dxfId="9395" priority="17876" operator="lessThan">
      <formula>0</formula>
    </cfRule>
    <cfRule type="cellIs" dxfId="9394" priority="17877" operator="greaterThan">
      <formula>0</formula>
    </cfRule>
  </conditionalFormatting>
  <conditionalFormatting sqref="IB14:IB19">
    <cfRule type="cellIs" dxfId="9393" priority="17874" operator="lessThan">
      <formula>0</formula>
    </cfRule>
    <cfRule type="cellIs" dxfId="9392" priority="17875" operator="greaterThan">
      <formula>0</formula>
    </cfRule>
  </conditionalFormatting>
  <conditionalFormatting sqref="IB20:IB22">
    <cfRule type="cellIs" dxfId="9391" priority="17872" operator="lessThan">
      <formula>0</formula>
    </cfRule>
    <cfRule type="cellIs" dxfId="9390" priority="17873" operator="greaterThan">
      <formula>0</formula>
    </cfRule>
  </conditionalFormatting>
  <conditionalFormatting sqref="IB45:IB46">
    <cfRule type="cellIs" dxfId="9389" priority="17886" operator="lessThan">
      <formula>0</formula>
    </cfRule>
    <cfRule type="cellIs" dxfId="9388" priority="17887" operator="greaterThan">
      <formula>0</formula>
    </cfRule>
  </conditionalFormatting>
  <conditionalFormatting sqref="IB7">
    <cfRule type="cellIs" dxfId="9387" priority="17858" operator="lessThan">
      <formula>0</formula>
    </cfRule>
    <cfRule type="cellIs" dxfId="9386" priority="17859" operator="greaterThan">
      <formula>0</formula>
    </cfRule>
  </conditionalFormatting>
  <conditionalFormatting sqref="IB7">
    <cfRule type="cellIs" dxfId="9385" priority="17856" operator="lessThan">
      <formula>0</formula>
    </cfRule>
    <cfRule type="cellIs" dxfId="9384" priority="17857" operator="greaterThan">
      <formula>0</formula>
    </cfRule>
  </conditionalFormatting>
  <conditionalFormatting sqref="IB8">
    <cfRule type="cellIs" dxfId="9383" priority="17854" operator="lessThan">
      <formula>0</formula>
    </cfRule>
    <cfRule type="cellIs" dxfId="9382" priority="17855" operator="greaterThan">
      <formula>0</formula>
    </cfRule>
  </conditionalFormatting>
  <conditionalFormatting sqref="IB47">
    <cfRule type="cellIs" dxfId="9381" priority="17852" operator="lessThan">
      <formula>0</formula>
    </cfRule>
    <cfRule type="cellIs" dxfId="9380" priority="17853" operator="greaterThan">
      <formula>0</formula>
    </cfRule>
  </conditionalFormatting>
  <conditionalFormatting sqref="IB44">
    <cfRule type="cellIs" dxfId="9379" priority="17850" operator="lessThan">
      <formula>0</formula>
    </cfRule>
    <cfRule type="cellIs" dxfId="9378" priority="17851" operator="greaterThan">
      <formula>0</formula>
    </cfRule>
  </conditionalFormatting>
  <conditionalFormatting sqref="IB23:IB24">
    <cfRule type="cellIs" dxfId="9377" priority="17846" operator="lessThan">
      <formula>0</formula>
    </cfRule>
    <cfRule type="cellIs" dxfId="9376" priority="17847" operator="greaterThan">
      <formula>0</formula>
    </cfRule>
  </conditionalFormatting>
  <conditionalFormatting sqref="IB33:IB34">
    <cfRule type="cellIs" dxfId="9375" priority="17844" operator="lessThan">
      <formula>0</formula>
    </cfRule>
    <cfRule type="cellIs" dxfId="9374" priority="17845" operator="greaterThan">
      <formula>0</formula>
    </cfRule>
  </conditionalFormatting>
  <conditionalFormatting sqref="IB98">
    <cfRule type="cellIs" dxfId="9373" priority="17838" operator="lessThan">
      <formula>0</formula>
    </cfRule>
    <cfRule type="cellIs" dxfId="9372" priority="17839" operator="greaterThan">
      <formula>0</formula>
    </cfRule>
  </conditionalFormatting>
  <conditionalFormatting sqref="IB101">
    <cfRule type="cellIs" dxfId="9371" priority="17836" operator="lessThan">
      <formula>0</formula>
    </cfRule>
    <cfRule type="cellIs" dxfId="9370" priority="17837" operator="greaterThan">
      <formula>0</formula>
    </cfRule>
  </conditionalFormatting>
  <conditionalFormatting sqref="IB104">
    <cfRule type="cellIs" dxfId="9369" priority="17834" operator="lessThan">
      <formula>0</formula>
    </cfRule>
    <cfRule type="cellIs" dxfId="9368" priority="17835" operator="greaterThan">
      <formula>0</formula>
    </cfRule>
  </conditionalFormatting>
  <conditionalFormatting sqref="ID98">
    <cfRule type="cellIs" dxfId="9367" priority="17771" operator="lessThan">
      <formula>0</formula>
    </cfRule>
    <cfRule type="cellIs" dxfId="9366" priority="17772" operator="greaterThan">
      <formula>0</formula>
    </cfRule>
  </conditionalFormatting>
  <conditionalFormatting sqref="ID6 ID9:ID11">
    <cfRule type="cellIs" dxfId="9365" priority="17811" operator="lessThan">
      <formula>0</formula>
    </cfRule>
    <cfRule type="cellIs" dxfId="9364" priority="17812" operator="greaterThan">
      <formula>0</formula>
    </cfRule>
  </conditionalFormatting>
  <conditionalFormatting sqref="ID43:ID44">
    <cfRule type="cellIs" dxfId="9363" priority="17775" operator="lessThan">
      <formula>0</formula>
    </cfRule>
    <cfRule type="cellIs" dxfId="9362" priority="17776" operator="greaterThan">
      <formula>0</formula>
    </cfRule>
  </conditionalFormatting>
  <conditionalFormatting sqref="ID11 ID19 ID3 ID24:ID32 ID34:ID42 ID69:ID79">
    <cfRule type="cellIs" dxfId="9361" priority="17821" operator="lessThan">
      <formula>0</formula>
    </cfRule>
    <cfRule type="cellIs" dxfId="9360" priority="17822" operator="greaterThan">
      <formula>0</formula>
    </cfRule>
  </conditionalFormatting>
  <conditionalFormatting sqref="ID4:ID5">
    <cfRule type="cellIs" dxfId="9359" priority="17813" operator="lessThan">
      <formula>0</formula>
    </cfRule>
    <cfRule type="cellIs" dxfId="9358" priority="17814" operator="greaterThan">
      <formula>0</formula>
    </cfRule>
  </conditionalFormatting>
  <conditionalFormatting sqref="ID12:ID13">
    <cfRule type="cellIs" dxfId="9357" priority="17809" operator="lessThan">
      <formula>0</formula>
    </cfRule>
    <cfRule type="cellIs" dxfId="9356" priority="17810" operator="greaterThan">
      <formula>0</formula>
    </cfRule>
  </conditionalFormatting>
  <conditionalFormatting sqref="ID14:ID19">
    <cfRule type="cellIs" dxfId="9355" priority="17807" operator="lessThan">
      <formula>0</formula>
    </cfRule>
    <cfRule type="cellIs" dxfId="9354" priority="17808" operator="greaterThan">
      <formula>0</formula>
    </cfRule>
  </conditionalFormatting>
  <conditionalFormatting sqref="ID20:ID22">
    <cfRule type="cellIs" dxfId="9353" priority="17805" operator="lessThan">
      <formula>0</formula>
    </cfRule>
    <cfRule type="cellIs" dxfId="9352" priority="17806" operator="greaterThan">
      <formula>0</formula>
    </cfRule>
  </conditionalFormatting>
  <conditionalFormatting sqref="ID45:ID46">
    <cfRule type="cellIs" dxfId="9351" priority="17819" operator="lessThan">
      <formula>0</formula>
    </cfRule>
    <cfRule type="cellIs" dxfId="9350" priority="17820" operator="greaterThan">
      <formula>0</formula>
    </cfRule>
  </conditionalFormatting>
  <conditionalFormatting sqref="ID7">
    <cfRule type="cellIs" dxfId="9349" priority="17791" operator="lessThan">
      <formula>0</formula>
    </cfRule>
    <cfRule type="cellIs" dxfId="9348" priority="17792" operator="greaterThan">
      <formula>0</formula>
    </cfRule>
  </conditionalFormatting>
  <conditionalFormatting sqref="ID7">
    <cfRule type="cellIs" dxfId="9347" priority="17789" operator="lessThan">
      <formula>0</formula>
    </cfRule>
    <cfRule type="cellIs" dxfId="9346" priority="17790" operator="greaterThan">
      <formula>0</formula>
    </cfRule>
  </conditionalFormatting>
  <conditionalFormatting sqref="ID8">
    <cfRule type="cellIs" dxfId="9345" priority="17787" operator="lessThan">
      <formula>0</formula>
    </cfRule>
    <cfRule type="cellIs" dxfId="9344" priority="17788" operator="greaterThan">
      <formula>0</formula>
    </cfRule>
  </conditionalFormatting>
  <conditionalFormatting sqref="ID47">
    <cfRule type="cellIs" dxfId="9343" priority="17785" operator="lessThan">
      <formula>0</formula>
    </cfRule>
    <cfRule type="cellIs" dxfId="9342" priority="17786" operator="greaterThan">
      <formula>0</formula>
    </cfRule>
  </conditionalFormatting>
  <conditionalFormatting sqref="ID44">
    <cfRule type="cellIs" dxfId="9341" priority="17783" operator="lessThan">
      <formula>0</formula>
    </cfRule>
    <cfRule type="cellIs" dxfId="9340" priority="17784" operator="greaterThan">
      <formula>0</formula>
    </cfRule>
  </conditionalFormatting>
  <conditionalFormatting sqref="ID23:ID24">
    <cfRule type="cellIs" dxfId="9339" priority="17779" operator="lessThan">
      <formula>0</formula>
    </cfRule>
    <cfRule type="cellIs" dxfId="9338" priority="17780" operator="greaterThan">
      <formula>0</formula>
    </cfRule>
  </conditionalFormatting>
  <conditionalFormatting sqref="ID33:ID34">
    <cfRule type="cellIs" dxfId="9337" priority="17777" operator="lessThan">
      <formula>0</formula>
    </cfRule>
    <cfRule type="cellIs" dxfId="9336" priority="17778" operator="greaterThan">
      <formula>0</formula>
    </cfRule>
  </conditionalFormatting>
  <conditionalFormatting sqref="ID101">
    <cfRule type="cellIs" dxfId="9335" priority="17769" operator="lessThan">
      <formula>0</formula>
    </cfRule>
    <cfRule type="cellIs" dxfId="9334" priority="17770" operator="greaterThan">
      <formula>0</formula>
    </cfRule>
  </conditionalFormatting>
  <conditionalFormatting sqref="ID104">
    <cfRule type="cellIs" dxfId="9333" priority="17767" operator="lessThan">
      <formula>0</formula>
    </cfRule>
    <cfRule type="cellIs" dxfId="9332" priority="17768" operator="greaterThan">
      <formula>0</formula>
    </cfRule>
  </conditionalFormatting>
  <conditionalFormatting sqref="IF98">
    <cfRule type="cellIs" dxfId="9331" priority="17704" operator="lessThan">
      <formula>0</formula>
    </cfRule>
    <cfRule type="cellIs" dxfId="9330" priority="17705" operator="greaterThan">
      <formula>0</formula>
    </cfRule>
  </conditionalFormatting>
  <conditionalFormatting sqref="IF6 IF9:IF11">
    <cfRule type="cellIs" dxfId="9329" priority="17744" operator="lessThan">
      <formula>0</formula>
    </cfRule>
    <cfRule type="cellIs" dxfId="9328" priority="17745" operator="greaterThan">
      <formula>0</formula>
    </cfRule>
  </conditionalFormatting>
  <conditionalFormatting sqref="IF43:IF44">
    <cfRule type="cellIs" dxfId="9327" priority="17708" operator="lessThan">
      <formula>0</formula>
    </cfRule>
    <cfRule type="cellIs" dxfId="9326" priority="17709" operator="greaterThan">
      <formula>0</formula>
    </cfRule>
  </conditionalFormatting>
  <conditionalFormatting sqref="IF11 IF19 IF3 IF24:IF32 IF34:IF42 IF69:IF79">
    <cfRule type="cellIs" dxfId="9325" priority="17754" operator="lessThan">
      <formula>0</formula>
    </cfRule>
    <cfRule type="cellIs" dxfId="9324" priority="17755" operator="greaterThan">
      <formula>0</formula>
    </cfRule>
  </conditionalFormatting>
  <conditionalFormatting sqref="IF4:IF5">
    <cfRule type="cellIs" dxfId="9323" priority="17746" operator="lessThan">
      <formula>0</formula>
    </cfRule>
    <cfRule type="cellIs" dxfId="9322" priority="17747" operator="greaterThan">
      <formula>0</formula>
    </cfRule>
  </conditionalFormatting>
  <conditionalFormatting sqref="IF12:IF13">
    <cfRule type="cellIs" dxfId="9321" priority="17742" operator="lessThan">
      <formula>0</formula>
    </cfRule>
    <cfRule type="cellIs" dxfId="9320" priority="17743" operator="greaterThan">
      <formula>0</formula>
    </cfRule>
  </conditionalFormatting>
  <conditionalFormatting sqref="IF14:IF19">
    <cfRule type="cellIs" dxfId="9319" priority="17740" operator="lessThan">
      <formula>0</formula>
    </cfRule>
    <cfRule type="cellIs" dxfId="9318" priority="17741" operator="greaterThan">
      <formula>0</formula>
    </cfRule>
  </conditionalFormatting>
  <conditionalFormatting sqref="IF20:IF22">
    <cfRule type="cellIs" dxfId="9317" priority="17738" operator="lessThan">
      <formula>0</formula>
    </cfRule>
    <cfRule type="cellIs" dxfId="9316" priority="17739" operator="greaterThan">
      <formula>0</formula>
    </cfRule>
  </conditionalFormatting>
  <conditionalFormatting sqref="IF45:IF46">
    <cfRule type="cellIs" dxfId="9315" priority="17752" operator="lessThan">
      <formula>0</formula>
    </cfRule>
    <cfRule type="cellIs" dxfId="9314" priority="17753" operator="greaterThan">
      <formula>0</formula>
    </cfRule>
  </conditionalFormatting>
  <conditionalFormatting sqref="IF7">
    <cfRule type="cellIs" dxfId="9313" priority="17724" operator="lessThan">
      <formula>0</formula>
    </cfRule>
    <cfRule type="cellIs" dxfId="9312" priority="17725" operator="greaterThan">
      <formula>0</formula>
    </cfRule>
  </conditionalFormatting>
  <conditionalFormatting sqref="IF7">
    <cfRule type="cellIs" dxfId="9311" priority="17722" operator="lessThan">
      <formula>0</formula>
    </cfRule>
    <cfRule type="cellIs" dxfId="9310" priority="17723" operator="greaterThan">
      <formula>0</formula>
    </cfRule>
  </conditionalFormatting>
  <conditionalFormatting sqref="IF8">
    <cfRule type="cellIs" dxfId="9309" priority="17720" operator="lessThan">
      <formula>0</formula>
    </cfRule>
    <cfRule type="cellIs" dxfId="9308" priority="17721" operator="greaterThan">
      <formula>0</formula>
    </cfRule>
  </conditionalFormatting>
  <conditionalFormatting sqref="IF47">
    <cfRule type="cellIs" dxfId="9307" priority="17718" operator="lessThan">
      <formula>0</formula>
    </cfRule>
    <cfRule type="cellIs" dxfId="9306" priority="17719" operator="greaterThan">
      <formula>0</formula>
    </cfRule>
  </conditionalFormatting>
  <conditionalFormatting sqref="IF44">
    <cfRule type="cellIs" dxfId="9305" priority="17716" operator="lessThan">
      <formula>0</formula>
    </cfRule>
    <cfRule type="cellIs" dxfId="9304" priority="17717" operator="greaterThan">
      <formula>0</formula>
    </cfRule>
  </conditionalFormatting>
  <conditionalFormatting sqref="IF23:IF24">
    <cfRule type="cellIs" dxfId="9303" priority="17712" operator="lessThan">
      <formula>0</formula>
    </cfRule>
    <cfRule type="cellIs" dxfId="9302" priority="17713" operator="greaterThan">
      <formula>0</formula>
    </cfRule>
  </conditionalFormatting>
  <conditionalFormatting sqref="IF33:IF34">
    <cfRule type="cellIs" dxfId="9301" priority="17710" operator="lessThan">
      <formula>0</formula>
    </cfRule>
    <cfRule type="cellIs" dxfId="9300" priority="17711" operator="greaterThan">
      <formula>0</formula>
    </cfRule>
  </conditionalFormatting>
  <conditionalFormatting sqref="IF101">
    <cfRule type="cellIs" dxfId="9299" priority="17702" operator="lessThan">
      <formula>0</formula>
    </cfRule>
    <cfRule type="cellIs" dxfId="9298" priority="17703" operator="greaterThan">
      <formula>0</formula>
    </cfRule>
  </conditionalFormatting>
  <conditionalFormatting sqref="IF104">
    <cfRule type="cellIs" dxfId="9297" priority="17700" operator="lessThan">
      <formula>0</formula>
    </cfRule>
    <cfRule type="cellIs" dxfId="9296" priority="17701" operator="greaterThan">
      <formula>0</formula>
    </cfRule>
  </conditionalFormatting>
  <conditionalFormatting sqref="EP68">
    <cfRule type="cellIs" dxfId="9295" priority="17698" operator="lessThan">
      <formula>0</formula>
    </cfRule>
    <cfRule type="cellIs" dxfId="9294" priority="17699" operator="greaterThan">
      <formula>0</formula>
    </cfRule>
  </conditionalFormatting>
  <conditionalFormatting sqref="ER64:ER65">
    <cfRule type="cellIs" dxfId="9293" priority="17688" operator="lessThan">
      <formula>0</formula>
    </cfRule>
    <cfRule type="cellIs" dxfId="9292" priority="17689" operator="greaterThan">
      <formula>0</formula>
    </cfRule>
  </conditionalFormatting>
  <conditionalFormatting sqref="ER64:ER65">
    <cfRule type="cellIs" dxfId="9291" priority="17692" operator="lessThan">
      <formula>0</formula>
    </cfRule>
    <cfRule type="cellIs" dxfId="9290" priority="17693" operator="greaterThan">
      <formula>0</formula>
    </cfRule>
  </conditionalFormatting>
  <conditionalFormatting sqref="ER64:ER65">
    <cfRule type="cellIs" dxfId="9289" priority="17690" operator="lessThan">
      <formula>0</formula>
    </cfRule>
    <cfRule type="cellIs" dxfId="9288" priority="17691" operator="greaterThan">
      <formula>0</formula>
    </cfRule>
  </conditionalFormatting>
  <conditionalFormatting sqref="ER64:ER65">
    <cfRule type="cellIs" dxfId="9287" priority="17686" operator="lessThan">
      <formula>0</formula>
    </cfRule>
    <cfRule type="cellIs" dxfId="9286" priority="17687" operator="greaterThan">
      <formula>0</formula>
    </cfRule>
  </conditionalFormatting>
  <conditionalFormatting sqref="ET63">
    <cfRule type="cellIs" dxfId="9285" priority="17680" operator="lessThan">
      <formula>0</formula>
    </cfRule>
    <cfRule type="cellIs" dxfId="9284" priority="17681" operator="greaterThan">
      <formula>0</formula>
    </cfRule>
  </conditionalFormatting>
  <conditionalFormatting sqref="ET63">
    <cfRule type="cellIs" dxfId="9283" priority="17684" operator="lessThan">
      <formula>0</formula>
    </cfRule>
    <cfRule type="cellIs" dxfId="9282" priority="17685" operator="greaterThan">
      <formula>0</formula>
    </cfRule>
  </conditionalFormatting>
  <conditionalFormatting sqref="ET63">
    <cfRule type="cellIs" dxfId="9281" priority="17682" operator="lessThan">
      <formula>0</formula>
    </cfRule>
    <cfRule type="cellIs" dxfId="9280" priority="17683" operator="greaterThan">
      <formula>0</formula>
    </cfRule>
  </conditionalFormatting>
  <conditionalFormatting sqref="ET63">
    <cfRule type="cellIs" dxfId="9279" priority="17678" operator="lessThan">
      <formula>0</formula>
    </cfRule>
    <cfRule type="cellIs" dxfId="9278" priority="17679" operator="greaterThan">
      <formula>0</formula>
    </cfRule>
  </conditionalFormatting>
  <conditionalFormatting sqref="ET64:ET65">
    <cfRule type="cellIs" dxfId="9277" priority="17672" operator="lessThan">
      <formula>0</formula>
    </cfRule>
    <cfRule type="cellIs" dxfId="9276" priority="17673" operator="greaterThan">
      <formula>0</formula>
    </cfRule>
  </conditionalFormatting>
  <conditionalFormatting sqref="ET64:ET65">
    <cfRule type="cellIs" dxfId="9275" priority="17676" operator="lessThan">
      <formula>0</formula>
    </cfRule>
    <cfRule type="cellIs" dxfId="9274" priority="17677" operator="greaterThan">
      <formula>0</formula>
    </cfRule>
  </conditionalFormatting>
  <conditionalFormatting sqref="ET64:ET65">
    <cfRule type="cellIs" dxfId="9273" priority="17674" operator="lessThan">
      <formula>0</formula>
    </cfRule>
    <cfRule type="cellIs" dxfId="9272" priority="17675" operator="greaterThan">
      <formula>0</formula>
    </cfRule>
  </conditionalFormatting>
  <conditionalFormatting sqref="ET64:ET65">
    <cfRule type="cellIs" dxfId="9271" priority="17670" operator="lessThan">
      <formula>0</formula>
    </cfRule>
    <cfRule type="cellIs" dxfId="9270" priority="17671" operator="greaterThan">
      <formula>0</formula>
    </cfRule>
  </conditionalFormatting>
  <conditionalFormatting sqref="EV63 EX63">
    <cfRule type="cellIs" dxfId="9269" priority="17664" operator="lessThan">
      <formula>0</formula>
    </cfRule>
    <cfRule type="cellIs" dxfId="9268" priority="17665" operator="greaterThan">
      <formula>0</formula>
    </cfRule>
  </conditionalFormatting>
  <conditionalFormatting sqref="EV63 EX63">
    <cfRule type="cellIs" dxfId="9267" priority="17668" operator="lessThan">
      <formula>0</formula>
    </cfRule>
    <cfRule type="cellIs" dxfId="9266" priority="17669" operator="greaterThan">
      <formula>0</formula>
    </cfRule>
  </conditionalFormatting>
  <conditionalFormatting sqref="EV63 EX63">
    <cfRule type="cellIs" dxfId="9265" priority="17666" operator="lessThan">
      <formula>0</formula>
    </cfRule>
    <cfRule type="cellIs" dxfId="9264" priority="17667" operator="greaterThan">
      <formula>0</formula>
    </cfRule>
  </conditionalFormatting>
  <conditionalFormatting sqref="EV63 EX63">
    <cfRule type="cellIs" dxfId="9263" priority="17662" operator="lessThan">
      <formula>0</formula>
    </cfRule>
    <cfRule type="cellIs" dxfId="9262" priority="17663" operator="greaterThan">
      <formula>0</formula>
    </cfRule>
  </conditionalFormatting>
  <conditionalFormatting sqref="EV64:EV65 EX64:EX65">
    <cfRule type="cellIs" dxfId="9261" priority="17656" operator="lessThan">
      <formula>0</formula>
    </cfRule>
    <cfRule type="cellIs" dxfId="9260" priority="17657" operator="greaterThan">
      <formula>0</formula>
    </cfRule>
  </conditionalFormatting>
  <conditionalFormatting sqref="EV64:EV65 EX64:EX65">
    <cfRule type="cellIs" dxfId="9259" priority="17660" operator="lessThan">
      <formula>0</formula>
    </cfRule>
    <cfRule type="cellIs" dxfId="9258" priority="17661" operator="greaterThan">
      <formula>0</formula>
    </cfRule>
  </conditionalFormatting>
  <conditionalFormatting sqref="EV64:EV65 EX64:EX65">
    <cfRule type="cellIs" dxfId="9257" priority="17658" operator="lessThan">
      <formula>0</formula>
    </cfRule>
    <cfRule type="cellIs" dxfId="9256" priority="17659" operator="greaterThan">
      <formula>0</formula>
    </cfRule>
  </conditionalFormatting>
  <conditionalFormatting sqref="EV64:EV65 EX64:EX65">
    <cfRule type="cellIs" dxfId="9255" priority="17654" operator="lessThan">
      <formula>0</formula>
    </cfRule>
    <cfRule type="cellIs" dxfId="9254" priority="17655" operator="greaterThan">
      <formula>0</formula>
    </cfRule>
  </conditionalFormatting>
  <conditionalFormatting sqref="EZ63 FB63 FD63 FF63 FH63 FJ63 FL63 FN63 FP63 FR63 FT63 FV63 FX63 FZ63 GB63 GD63 GF63 GH63 GJ63 GL63 GN63 GP63 GR63 GT63 GV63 GX63 GZ63 HB63 HD63 HF63 HH63">
    <cfRule type="cellIs" dxfId="9253" priority="17648" operator="lessThan">
      <formula>0</formula>
    </cfRule>
    <cfRule type="cellIs" dxfId="9252" priority="17649" operator="greaterThan">
      <formula>0</formula>
    </cfRule>
  </conditionalFormatting>
  <conditionalFormatting sqref="EZ63 FB63 FD63 FF63 FH63 FJ63 FL63 FN63 FP63 FR63 FT63 FV63 FX63 FZ63 GB63 GD63 GF63 GH63 GJ63 GL63 GN63 GP63 GR63 GT63 GV63 GX63 GZ63 HB63 HD63 HF63 HH63">
    <cfRule type="cellIs" dxfId="9251" priority="17652" operator="lessThan">
      <formula>0</formula>
    </cfRule>
    <cfRule type="cellIs" dxfId="9250" priority="17653" operator="greaterThan">
      <formula>0</formula>
    </cfRule>
  </conditionalFormatting>
  <conditionalFormatting sqref="EZ63 FB63 FD63 FF63 FH63 FJ63 FL63 FN63 FP63 FR63 FT63 FV63 FX63 FZ63 GB63 GD63 GF63 GH63 GJ63 GL63 GN63 GP63 GR63 GT63 GV63 GX63 GZ63 HB63 HD63 HF63 HH63">
    <cfRule type="cellIs" dxfId="9249" priority="17650" operator="lessThan">
      <formula>0</formula>
    </cfRule>
    <cfRule type="cellIs" dxfId="9248" priority="17651" operator="greaterThan">
      <formula>0</formula>
    </cfRule>
  </conditionalFormatting>
  <conditionalFormatting sqref="EZ63 FB63 FD63 FF63 FH63 FJ63 FL63 FN63 FP63 FR63 FT63 FV63 FX63 FZ63 GB63 GD63 GF63 GH63 GJ63 GL63 GN63 GP63 GR63 GT63 GV63 GX63 GZ63 HB63 HD63 HF63 HH63">
    <cfRule type="cellIs" dxfId="9247" priority="17646" operator="lessThan">
      <formula>0</formula>
    </cfRule>
    <cfRule type="cellIs" dxfId="9246" priority="17647" operator="greaterThan">
      <formula>0</formula>
    </cfRule>
  </conditionalFormatting>
  <conditionalFormatting sqref="EZ64:EZ65 FB64:FB65 FD64:FD65 FF64:FF65 FH64:FH65 FJ64:FJ65 FL64:FL65 FN64:FN65 FP64:FP65 FR64:FR65 FT64:FT65 FV64:FV65 FX64:FX65 FZ64:FZ65 GB64:GB65 GD64:GD65 GF64:GF65 GH64:GH65 GJ64:GJ65 GL64:GL65 GN64:GN65 GP64:GP65 GR64:GR65 GT64:GT65 GV64:GV65 GX64:GX65 GZ64:GZ65 HB64:HB65 HD64:HD65 HF64:HF65 HH64:HH65">
    <cfRule type="cellIs" dxfId="9245" priority="17640" operator="lessThan">
      <formula>0</formula>
    </cfRule>
    <cfRule type="cellIs" dxfId="9244" priority="17641" operator="greaterThan">
      <formula>0</formula>
    </cfRule>
  </conditionalFormatting>
  <conditionalFormatting sqref="EZ64:EZ65 FB64:FB65 FD64:FD65 FF64:FF65 FH64:FH65 FJ64:FJ65 FL64:FL65 FN64:FN65 FP64:FP65 FR64:FR65 FT64:FT65 FV64:FV65 FX64:FX65 FZ64:FZ65 GB64:GB65 GD64:GD65 GF64:GF65 GH64:GH65 GJ64:GJ65 GL64:GL65 GN64:GN65 GP64:GP65 GR64:GR65 GT64:GT65 GV64:GV65 GX64:GX65 GZ64:GZ65 HB64:HB65 HD64:HD65 HF64:HF65 HH64:HH65">
    <cfRule type="cellIs" dxfId="9243" priority="17644" operator="lessThan">
      <formula>0</formula>
    </cfRule>
    <cfRule type="cellIs" dxfId="9242" priority="17645" operator="greaterThan">
      <formula>0</formula>
    </cfRule>
  </conditionalFormatting>
  <conditionalFormatting sqref="EZ64:EZ65 FB64:FB65 FD64:FD65 FF64:FF65 FH64:FH65 FJ64:FJ65 FL64:FL65 FN64:FN65 FP64:FP65 FR64:FR65 FT64:FT65 FV64:FV65 FX64:FX65 FZ64:FZ65 GB64:GB65 GD64:GD65 GF64:GF65 GH64:GH65 GJ64:GJ65 GL64:GL65 GN64:GN65 GP64:GP65 GR64:GR65 GT64:GT65 GV64:GV65 GX64:GX65 GZ64:GZ65 HB64:HB65 HD64:HD65 HF64:HF65 HH64:HH65">
    <cfRule type="cellIs" dxfId="9241" priority="17642" operator="lessThan">
      <formula>0</formula>
    </cfRule>
    <cfRule type="cellIs" dxfId="9240" priority="17643" operator="greaterThan">
      <formula>0</formula>
    </cfRule>
  </conditionalFormatting>
  <conditionalFormatting sqref="EZ64:EZ65 FB64:FB65 FD64:FD65 FF64:FF65 FH64:FH65 FJ64:FJ65 FL64:FL65 FN64:FN65 FP64:FP65 FR64:FR65 FT64:FT65 FV64:FV65 FX64:FX65 FZ64:FZ65 GB64:GB65 GD64:GD65 GF64:GF65 GH64:GH65 GJ64:GJ65 GL64:GL65 GN64:GN65 GP64:GP65 GR64:GR65 GT64:GT65 GV64:GV65 GX64:GX65 GZ64:GZ65 HB64:HB65 HD64:HD65 HF64:HF65 HH64:HH65">
    <cfRule type="cellIs" dxfId="9239" priority="17638" operator="lessThan">
      <formula>0</formula>
    </cfRule>
    <cfRule type="cellIs" dxfId="9238" priority="17639" operator="greaterThan">
      <formula>0</formula>
    </cfRule>
  </conditionalFormatting>
  <conditionalFormatting sqref="IH98">
    <cfRule type="cellIs" dxfId="9237" priority="17356" operator="lessThan">
      <formula>0</formula>
    </cfRule>
    <cfRule type="cellIs" dxfId="9236" priority="17357" operator="greaterThan">
      <formula>0</formula>
    </cfRule>
  </conditionalFormatting>
  <conditionalFormatting sqref="IH6 IH9:IH11">
    <cfRule type="cellIs" dxfId="9235" priority="17396" operator="lessThan">
      <formula>0</formula>
    </cfRule>
    <cfRule type="cellIs" dxfId="9234" priority="17397" operator="greaterThan">
      <formula>0</formula>
    </cfRule>
  </conditionalFormatting>
  <conditionalFormatting sqref="IH43:IH44">
    <cfRule type="cellIs" dxfId="9233" priority="17360" operator="lessThan">
      <formula>0</formula>
    </cfRule>
    <cfRule type="cellIs" dxfId="9232" priority="17361" operator="greaterThan">
      <formula>0</formula>
    </cfRule>
  </conditionalFormatting>
  <conditionalFormatting sqref="IH11 IH19 IH3 IH24:IH32 IH34:IH42 IH69:IH79">
    <cfRule type="cellIs" dxfId="9231" priority="17406" operator="lessThan">
      <formula>0</formula>
    </cfRule>
    <cfRule type="cellIs" dxfId="9230" priority="17407" operator="greaterThan">
      <formula>0</formula>
    </cfRule>
  </conditionalFormatting>
  <conditionalFormatting sqref="IH4:IH5">
    <cfRule type="cellIs" dxfId="9229" priority="17398" operator="lessThan">
      <formula>0</formula>
    </cfRule>
    <cfRule type="cellIs" dxfId="9228" priority="17399" operator="greaterThan">
      <formula>0</formula>
    </cfRule>
  </conditionalFormatting>
  <conditionalFormatting sqref="IH12:IH13">
    <cfRule type="cellIs" dxfId="9227" priority="17394" operator="lessThan">
      <formula>0</formula>
    </cfRule>
    <cfRule type="cellIs" dxfId="9226" priority="17395" operator="greaterThan">
      <formula>0</formula>
    </cfRule>
  </conditionalFormatting>
  <conditionalFormatting sqref="IH14:IH19">
    <cfRule type="cellIs" dxfId="9225" priority="17392" operator="lessThan">
      <formula>0</formula>
    </cfRule>
    <cfRule type="cellIs" dxfId="9224" priority="17393" operator="greaterThan">
      <formula>0</formula>
    </cfRule>
  </conditionalFormatting>
  <conditionalFormatting sqref="IH20:IH22">
    <cfRule type="cellIs" dxfId="9223" priority="17390" operator="lessThan">
      <formula>0</formula>
    </cfRule>
    <cfRule type="cellIs" dxfId="9222" priority="17391" operator="greaterThan">
      <formula>0</formula>
    </cfRule>
  </conditionalFormatting>
  <conditionalFormatting sqref="IH45:IH46">
    <cfRule type="cellIs" dxfId="9221" priority="17404" operator="lessThan">
      <formula>0</formula>
    </cfRule>
    <cfRule type="cellIs" dxfId="9220" priority="17405" operator="greaterThan">
      <formula>0</formula>
    </cfRule>
  </conditionalFormatting>
  <conditionalFormatting sqref="IH7">
    <cfRule type="cellIs" dxfId="9219" priority="17376" operator="lessThan">
      <formula>0</formula>
    </cfRule>
    <cfRule type="cellIs" dxfId="9218" priority="17377" operator="greaterThan">
      <formula>0</formula>
    </cfRule>
  </conditionalFormatting>
  <conditionalFormatting sqref="IH7">
    <cfRule type="cellIs" dxfId="9217" priority="17374" operator="lessThan">
      <formula>0</formula>
    </cfRule>
    <cfRule type="cellIs" dxfId="9216" priority="17375" operator="greaterThan">
      <formula>0</formula>
    </cfRule>
  </conditionalFormatting>
  <conditionalFormatting sqref="IH8">
    <cfRule type="cellIs" dxfId="9215" priority="17372" operator="lessThan">
      <formula>0</formula>
    </cfRule>
    <cfRule type="cellIs" dxfId="9214" priority="17373" operator="greaterThan">
      <formula>0</formula>
    </cfRule>
  </conditionalFormatting>
  <conditionalFormatting sqref="IH47">
    <cfRule type="cellIs" dxfId="9213" priority="17370" operator="lessThan">
      <formula>0</formula>
    </cfRule>
    <cfRule type="cellIs" dxfId="9212" priority="17371" operator="greaterThan">
      <formula>0</formula>
    </cfRule>
  </conditionalFormatting>
  <conditionalFormatting sqref="IH44">
    <cfRule type="cellIs" dxfId="9211" priority="17368" operator="lessThan">
      <formula>0</formula>
    </cfRule>
    <cfRule type="cellIs" dxfId="9210" priority="17369" operator="greaterThan">
      <formula>0</formula>
    </cfRule>
  </conditionalFormatting>
  <conditionalFormatting sqref="IH23:IH24">
    <cfRule type="cellIs" dxfId="9209" priority="17364" operator="lessThan">
      <formula>0</formula>
    </cfRule>
    <cfRule type="cellIs" dxfId="9208" priority="17365" operator="greaterThan">
      <formula>0</formula>
    </cfRule>
  </conditionalFormatting>
  <conditionalFormatting sqref="IH33:IH34">
    <cfRule type="cellIs" dxfId="9207" priority="17362" operator="lessThan">
      <formula>0</formula>
    </cfRule>
    <cfRule type="cellIs" dxfId="9206" priority="17363" operator="greaterThan">
      <formula>0</formula>
    </cfRule>
  </conditionalFormatting>
  <conditionalFormatting sqref="IH101">
    <cfRule type="cellIs" dxfId="9205" priority="17354" operator="lessThan">
      <formula>0</formula>
    </cfRule>
    <cfRule type="cellIs" dxfId="9204" priority="17355" operator="greaterThan">
      <formula>0</formula>
    </cfRule>
  </conditionalFormatting>
  <conditionalFormatting sqref="IH104">
    <cfRule type="cellIs" dxfId="9203" priority="17352" operator="lessThan">
      <formula>0</formula>
    </cfRule>
    <cfRule type="cellIs" dxfId="9202" priority="17353" operator="greaterThan">
      <formula>0</formula>
    </cfRule>
  </conditionalFormatting>
  <conditionalFormatting sqref="IJ98">
    <cfRule type="cellIs" dxfId="9201" priority="17257" operator="lessThan">
      <formula>0</formula>
    </cfRule>
    <cfRule type="cellIs" dxfId="9200" priority="17258" operator="greaterThan">
      <formula>0</formula>
    </cfRule>
  </conditionalFormatting>
  <conditionalFormatting sqref="IJ6 IJ9:IJ11">
    <cfRule type="cellIs" dxfId="9199" priority="17297" operator="lessThan">
      <formula>0</formula>
    </cfRule>
    <cfRule type="cellIs" dxfId="9198" priority="17298" operator="greaterThan">
      <formula>0</formula>
    </cfRule>
  </conditionalFormatting>
  <conditionalFormatting sqref="IJ43:IJ44">
    <cfRule type="cellIs" dxfId="9197" priority="17261" operator="lessThan">
      <formula>0</formula>
    </cfRule>
    <cfRule type="cellIs" dxfId="9196" priority="17262" operator="greaterThan">
      <formula>0</formula>
    </cfRule>
  </conditionalFormatting>
  <conditionalFormatting sqref="IJ11 IJ19 IJ3 IJ24:IJ32 IJ34:IJ42 IJ69:IJ79">
    <cfRule type="cellIs" dxfId="9195" priority="17307" operator="lessThan">
      <formula>0</formula>
    </cfRule>
    <cfRule type="cellIs" dxfId="9194" priority="17308" operator="greaterThan">
      <formula>0</formula>
    </cfRule>
  </conditionalFormatting>
  <conditionalFormatting sqref="IJ4:IJ5">
    <cfRule type="cellIs" dxfId="9193" priority="17299" operator="lessThan">
      <formula>0</formula>
    </cfRule>
    <cfRule type="cellIs" dxfId="9192" priority="17300" operator="greaterThan">
      <formula>0</formula>
    </cfRule>
  </conditionalFormatting>
  <conditionalFormatting sqref="IJ12:IJ13">
    <cfRule type="cellIs" dxfId="9191" priority="17295" operator="lessThan">
      <formula>0</formula>
    </cfRule>
    <cfRule type="cellIs" dxfId="9190" priority="17296" operator="greaterThan">
      <formula>0</formula>
    </cfRule>
  </conditionalFormatting>
  <conditionalFormatting sqref="IJ14:IJ19">
    <cfRule type="cellIs" dxfId="9189" priority="17293" operator="lessThan">
      <formula>0</formula>
    </cfRule>
    <cfRule type="cellIs" dxfId="9188" priority="17294" operator="greaterThan">
      <formula>0</formula>
    </cfRule>
  </conditionalFormatting>
  <conditionalFormatting sqref="IJ20:IJ22">
    <cfRule type="cellIs" dxfId="9187" priority="17291" operator="lessThan">
      <formula>0</formula>
    </cfRule>
    <cfRule type="cellIs" dxfId="9186" priority="17292" operator="greaterThan">
      <formula>0</formula>
    </cfRule>
  </conditionalFormatting>
  <conditionalFormatting sqref="IJ45:IJ46">
    <cfRule type="cellIs" dxfId="9185" priority="17305" operator="lessThan">
      <formula>0</formula>
    </cfRule>
    <cfRule type="cellIs" dxfId="9184" priority="17306" operator="greaterThan">
      <formula>0</formula>
    </cfRule>
  </conditionalFormatting>
  <conditionalFormatting sqref="IJ7">
    <cfRule type="cellIs" dxfId="9183" priority="17277" operator="lessThan">
      <formula>0</formula>
    </cfRule>
    <cfRule type="cellIs" dxfId="9182" priority="17278" operator="greaterThan">
      <formula>0</formula>
    </cfRule>
  </conditionalFormatting>
  <conditionalFormatting sqref="IJ7">
    <cfRule type="cellIs" dxfId="9181" priority="17275" operator="lessThan">
      <formula>0</formula>
    </cfRule>
    <cfRule type="cellIs" dxfId="9180" priority="17276" operator="greaterThan">
      <formula>0</formula>
    </cfRule>
  </conditionalFormatting>
  <conditionalFormatting sqref="IJ8">
    <cfRule type="cellIs" dxfId="9179" priority="17273" operator="lessThan">
      <formula>0</formula>
    </cfRule>
    <cfRule type="cellIs" dxfId="9178" priority="17274" operator="greaterThan">
      <formula>0</formula>
    </cfRule>
  </conditionalFormatting>
  <conditionalFormatting sqref="IJ47">
    <cfRule type="cellIs" dxfId="9177" priority="17271" operator="lessThan">
      <formula>0</formula>
    </cfRule>
    <cfRule type="cellIs" dxfId="9176" priority="17272" operator="greaterThan">
      <formula>0</formula>
    </cfRule>
  </conditionalFormatting>
  <conditionalFormatting sqref="IJ44">
    <cfRule type="cellIs" dxfId="9175" priority="17269" operator="lessThan">
      <formula>0</formula>
    </cfRule>
    <cfRule type="cellIs" dxfId="9174" priority="17270" operator="greaterThan">
      <formula>0</formula>
    </cfRule>
  </conditionalFormatting>
  <conditionalFormatting sqref="IJ23:IJ24">
    <cfRule type="cellIs" dxfId="9173" priority="17265" operator="lessThan">
      <formula>0</formula>
    </cfRule>
    <cfRule type="cellIs" dxfId="9172" priority="17266" operator="greaterThan">
      <formula>0</formula>
    </cfRule>
  </conditionalFormatting>
  <conditionalFormatting sqref="IJ33:IJ34">
    <cfRule type="cellIs" dxfId="9171" priority="17263" operator="lessThan">
      <formula>0</formula>
    </cfRule>
    <cfRule type="cellIs" dxfId="9170" priority="17264" operator="greaterThan">
      <formula>0</formula>
    </cfRule>
  </conditionalFormatting>
  <conditionalFormatting sqref="IJ101">
    <cfRule type="cellIs" dxfId="9169" priority="17255" operator="lessThan">
      <formula>0</formula>
    </cfRule>
    <cfRule type="cellIs" dxfId="9168" priority="17256" operator="greaterThan">
      <formula>0</formula>
    </cfRule>
  </conditionalFormatting>
  <conditionalFormatting sqref="IJ104">
    <cfRule type="cellIs" dxfId="9167" priority="17253" operator="lessThan">
      <formula>0</formula>
    </cfRule>
    <cfRule type="cellIs" dxfId="9166" priority="17254" operator="greaterThan">
      <formula>0</formula>
    </cfRule>
  </conditionalFormatting>
  <conditionalFormatting sqref="IL98">
    <cfRule type="cellIs" dxfId="9165" priority="17158" operator="lessThan">
      <formula>0</formula>
    </cfRule>
    <cfRule type="cellIs" dxfId="9164" priority="17159" operator="greaterThan">
      <formula>0</formula>
    </cfRule>
  </conditionalFormatting>
  <conditionalFormatting sqref="IL6 IL9:IL11">
    <cfRule type="cellIs" dxfId="9163" priority="17198" operator="lessThan">
      <formula>0</formula>
    </cfRule>
    <cfRule type="cellIs" dxfId="9162" priority="17199" operator="greaterThan">
      <formula>0</formula>
    </cfRule>
  </conditionalFormatting>
  <conditionalFormatting sqref="IL43:IL44">
    <cfRule type="cellIs" dxfId="9161" priority="17162" operator="lessThan">
      <formula>0</formula>
    </cfRule>
    <cfRule type="cellIs" dxfId="9160" priority="17163" operator="greaterThan">
      <formula>0</formula>
    </cfRule>
  </conditionalFormatting>
  <conditionalFormatting sqref="IL11 IL19 IL3 IL24:IL32 IL34:IL42 IL69:IL79">
    <cfRule type="cellIs" dxfId="9159" priority="17208" operator="lessThan">
      <formula>0</formula>
    </cfRule>
    <cfRule type="cellIs" dxfId="9158" priority="17209" operator="greaterThan">
      <formula>0</formula>
    </cfRule>
  </conditionalFormatting>
  <conditionalFormatting sqref="IL4:IL5">
    <cfRule type="cellIs" dxfId="9157" priority="17200" operator="lessThan">
      <formula>0</formula>
    </cfRule>
    <cfRule type="cellIs" dxfId="9156" priority="17201" operator="greaterThan">
      <formula>0</formula>
    </cfRule>
  </conditionalFormatting>
  <conditionalFormatting sqref="IL12:IL13">
    <cfRule type="cellIs" dxfId="9155" priority="17196" operator="lessThan">
      <formula>0</formula>
    </cfRule>
    <cfRule type="cellIs" dxfId="9154" priority="17197" operator="greaterThan">
      <formula>0</formula>
    </cfRule>
  </conditionalFormatting>
  <conditionalFormatting sqref="IL14:IL19">
    <cfRule type="cellIs" dxfId="9153" priority="17194" operator="lessThan">
      <formula>0</formula>
    </cfRule>
    <cfRule type="cellIs" dxfId="9152" priority="17195" operator="greaterThan">
      <formula>0</formula>
    </cfRule>
  </conditionalFormatting>
  <conditionalFormatting sqref="IL20:IL22">
    <cfRule type="cellIs" dxfId="9151" priority="17192" operator="lessThan">
      <formula>0</formula>
    </cfRule>
    <cfRule type="cellIs" dxfId="9150" priority="17193" operator="greaterThan">
      <formula>0</formula>
    </cfRule>
  </conditionalFormatting>
  <conditionalFormatting sqref="IL45:IL46">
    <cfRule type="cellIs" dxfId="9149" priority="17206" operator="lessThan">
      <formula>0</formula>
    </cfRule>
    <cfRule type="cellIs" dxfId="9148" priority="17207" operator="greaterThan">
      <formula>0</formula>
    </cfRule>
  </conditionalFormatting>
  <conditionalFormatting sqref="IL7">
    <cfRule type="cellIs" dxfId="9147" priority="17178" operator="lessThan">
      <formula>0</formula>
    </cfRule>
    <cfRule type="cellIs" dxfId="9146" priority="17179" operator="greaterThan">
      <formula>0</formula>
    </cfRule>
  </conditionalFormatting>
  <conditionalFormatting sqref="IL7">
    <cfRule type="cellIs" dxfId="9145" priority="17176" operator="lessThan">
      <formula>0</formula>
    </cfRule>
    <cfRule type="cellIs" dxfId="9144" priority="17177" operator="greaterThan">
      <formula>0</formula>
    </cfRule>
  </conditionalFormatting>
  <conditionalFormatting sqref="IL8">
    <cfRule type="cellIs" dxfId="9143" priority="17174" operator="lessThan">
      <formula>0</formula>
    </cfRule>
    <cfRule type="cellIs" dxfId="9142" priority="17175" operator="greaterThan">
      <formula>0</formula>
    </cfRule>
  </conditionalFormatting>
  <conditionalFormatting sqref="IL47">
    <cfRule type="cellIs" dxfId="9141" priority="17172" operator="lessThan">
      <formula>0</formula>
    </cfRule>
    <cfRule type="cellIs" dxfId="9140" priority="17173" operator="greaterThan">
      <formula>0</formula>
    </cfRule>
  </conditionalFormatting>
  <conditionalFormatting sqref="IL44">
    <cfRule type="cellIs" dxfId="9139" priority="17170" operator="lessThan">
      <formula>0</formula>
    </cfRule>
    <cfRule type="cellIs" dxfId="9138" priority="17171" operator="greaterThan">
      <formula>0</formula>
    </cfRule>
  </conditionalFormatting>
  <conditionalFormatting sqref="IL23:IL24">
    <cfRule type="cellIs" dxfId="9137" priority="17166" operator="lessThan">
      <formula>0</formula>
    </cfRule>
    <cfRule type="cellIs" dxfId="9136" priority="17167" operator="greaterThan">
      <formula>0</formula>
    </cfRule>
  </conditionalFormatting>
  <conditionalFormatting sqref="IL33:IL34">
    <cfRule type="cellIs" dxfId="9135" priority="17164" operator="lessThan">
      <formula>0</formula>
    </cfRule>
    <cfRule type="cellIs" dxfId="9134" priority="17165" operator="greaterThan">
      <formula>0</formula>
    </cfRule>
  </conditionalFormatting>
  <conditionalFormatting sqref="IL101">
    <cfRule type="cellIs" dxfId="9133" priority="17156" operator="lessThan">
      <formula>0</formula>
    </cfRule>
    <cfRule type="cellIs" dxfId="9132" priority="17157" operator="greaterThan">
      <formula>0</formula>
    </cfRule>
  </conditionalFormatting>
  <conditionalFormatting sqref="IL104">
    <cfRule type="cellIs" dxfId="9131" priority="17154" operator="lessThan">
      <formula>0</formula>
    </cfRule>
    <cfRule type="cellIs" dxfId="9130" priority="17155" operator="greaterThan">
      <formula>0</formula>
    </cfRule>
  </conditionalFormatting>
  <conditionalFormatting sqref="IN98">
    <cfRule type="cellIs" dxfId="9129" priority="17059" operator="lessThan">
      <formula>0</formula>
    </cfRule>
    <cfRule type="cellIs" dxfId="9128" priority="17060" operator="greaterThan">
      <formula>0</formula>
    </cfRule>
  </conditionalFormatting>
  <conditionalFormatting sqref="IN6 IN9:IN11">
    <cfRule type="cellIs" dxfId="9127" priority="17099" operator="lessThan">
      <formula>0</formula>
    </cfRule>
    <cfRule type="cellIs" dxfId="9126" priority="17100" operator="greaterThan">
      <formula>0</formula>
    </cfRule>
  </conditionalFormatting>
  <conditionalFormatting sqref="IN43:IN44">
    <cfRule type="cellIs" dxfId="9125" priority="17063" operator="lessThan">
      <formula>0</formula>
    </cfRule>
    <cfRule type="cellIs" dxfId="9124" priority="17064" operator="greaterThan">
      <formula>0</formula>
    </cfRule>
  </conditionalFormatting>
  <conditionalFormatting sqref="IN11 IN19 IN3 IN24:IN32 IN34:IN42 IN69:IN79">
    <cfRule type="cellIs" dxfId="9123" priority="17109" operator="lessThan">
      <formula>0</formula>
    </cfRule>
    <cfRule type="cellIs" dxfId="9122" priority="17110" operator="greaterThan">
      <formula>0</formula>
    </cfRule>
  </conditionalFormatting>
  <conditionalFormatting sqref="IN4:IN5">
    <cfRule type="cellIs" dxfId="9121" priority="17101" operator="lessThan">
      <formula>0</formula>
    </cfRule>
    <cfRule type="cellIs" dxfId="9120" priority="17102" operator="greaterThan">
      <formula>0</formula>
    </cfRule>
  </conditionalFormatting>
  <conditionalFormatting sqref="IN12:IN13">
    <cfRule type="cellIs" dxfId="9119" priority="17097" operator="lessThan">
      <formula>0</formula>
    </cfRule>
    <cfRule type="cellIs" dxfId="9118" priority="17098" operator="greaterThan">
      <formula>0</formula>
    </cfRule>
  </conditionalFormatting>
  <conditionalFormatting sqref="IN14:IN19">
    <cfRule type="cellIs" dxfId="9117" priority="17095" operator="lessThan">
      <formula>0</formula>
    </cfRule>
    <cfRule type="cellIs" dxfId="9116" priority="17096" operator="greaterThan">
      <formula>0</formula>
    </cfRule>
  </conditionalFormatting>
  <conditionalFormatting sqref="IN20:IN22">
    <cfRule type="cellIs" dxfId="9115" priority="17093" operator="lessThan">
      <formula>0</formula>
    </cfRule>
    <cfRule type="cellIs" dxfId="9114" priority="17094" operator="greaterThan">
      <formula>0</formula>
    </cfRule>
  </conditionalFormatting>
  <conditionalFormatting sqref="IN45:IN46">
    <cfRule type="cellIs" dxfId="9113" priority="17107" operator="lessThan">
      <formula>0</formula>
    </cfRule>
    <cfRule type="cellIs" dxfId="9112" priority="17108" operator="greaterThan">
      <formula>0</formula>
    </cfRule>
  </conditionalFormatting>
  <conditionalFormatting sqref="IN7">
    <cfRule type="cellIs" dxfId="9111" priority="17079" operator="lessThan">
      <formula>0</formula>
    </cfRule>
    <cfRule type="cellIs" dxfId="9110" priority="17080" operator="greaterThan">
      <formula>0</formula>
    </cfRule>
  </conditionalFormatting>
  <conditionalFormatting sqref="IN7">
    <cfRule type="cellIs" dxfId="9109" priority="17077" operator="lessThan">
      <formula>0</formula>
    </cfRule>
    <cfRule type="cellIs" dxfId="9108" priority="17078" operator="greaterThan">
      <formula>0</formula>
    </cfRule>
  </conditionalFormatting>
  <conditionalFormatting sqref="IN8">
    <cfRule type="cellIs" dxfId="9107" priority="17075" operator="lessThan">
      <formula>0</formula>
    </cfRule>
    <cfRule type="cellIs" dxfId="9106" priority="17076" operator="greaterThan">
      <formula>0</formula>
    </cfRule>
  </conditionalFormatting>
  <conditionalFormatting sqref="IN47">
    <cfRule type="cellIs" dxfId="9105" priority="17073" operator="lessThan">
      <formula>0</formula>
    </cfRule>
    <cfRule type="cellIs" dxfId="9104" priority="17074" operator="greaterThan">
      <formula>0</formula>
    </cfRule>
  </conditionalFormatting>
  <conditionalFormatting sqref="IN44">
    <cfRule type="cellIs" dxfId="9103" priority="17071" operator="lessThan">
      <formula>0</formula>
    </cfRule>
    <cfRule type="cellIs" dxfId="9102" priority="17072" operator="greaterThan">
      <formula>0</formula>
    </cfRule>
  </conditionalFormatting>
  <conditionalFormatting sqref="IN23:IN24">
    <cfRule type="cellIs" dxfId="9101" priority="17067" operator="lessThan">
      <formula>0</formula>
    </cfRule>
    <cfRule type="cellIs" dxfId="9100" priority="17068" operator="greaterThan">
      <formula>0</formula>
    </cfRule>
  </conditionalFormatting>
  <conditionalFormatting sqref="IN33:IN34">
    <cfRule type="cellIs" dxfId="9099" priority="17065" operator="lessThan">
      <formula>0</formula>
    </cfRule>
    <cfRule type="cellIs" dxfId="9098" priority="17066" operator="greaterThan">
      <formula>0</formula>
    </cfRule>
  </conditionalFormatting>
  <conditionalFormatting sqref="IN101">
    <cfRule type="cellIs" dxfId="9097" priority="17057" operator="lessThan">
      <formula>0</formula>
    </cfRule>
    <cfRule type="cellIs" dxfId="9096" priority="17058" operator="greaterThan">
      <formula>0</formula>
    </cfRule>
  </conditionalFormatting>
  <conditionalFormatting sqref="IN104">
    <cfRule type="cellIs" dxfId="9095" priority="17055" operator="lessThan">
      <formula>0</formula>
    </cfRule>
    <cfRule type="cellIs" dxfId="9094" priority="17056" operator="greaterThan">
      <formula>0</formula>
    </cfRule>
  </conditionalFormatting>
  <conditionalFormatting sqref="IP98">
    <cfRule type="cellIs" dxfId="9093" priority="16960" operator="lessThan">
      <formula>0</formula>
    </cfRule>
    <cfRule type="cellIs" dxfId="9092" priority="16961" operator="greaterThan">
      <formula>0</formula>
    </cfRule>
  </conditionalFormatting>
  <conditionalFormatting sqref="IP6 IP9:IP11">
    <cfRule type="cellIs" dxfId="9091" priority="17000" operator="lessThan">
      <formula>0</formula>
    </cfRule>
    <cfRule type="cellIs" dxfId="9090" priority="17001" operator="greaterThan">
      <formula>0</formula>
    </cfRule>
  </conditionalFormatting>
  <conditionalFormatting sqref="IP43:IP44">
    <cfRule type="cellIs" dxfId="9089" priority="16964" operator="lessThan">
      <formula>0</formula>
    </cfRule>
    <cfRule type="cellIs" dxfId="9088" priority="16965" operator="greaterThan">
      <formula>0</formula>
    </cfRule>
  </conditionalFormatting>
  <conditionalFormatting sqref="IP11 IP19 IP3 IP24:IP32 IP34:IP42 IP69:IP71 IP74:IP79">
    <cfRule type="cellIs" dxfId="9087" priority="17010" operator="lessThan">
      <formula>0</formula>
    </cfRule>
    <cfRule type="cellIs" dxfId="9086" priority="17011" operator="greaterThan">
      <formula>0</formula>
    </cfRule>
  </conditionalFormatting>
  <conditionalFormatting sqref="IP4:IP5">
    <cfRule type="cellIs" dxfId="9085" priority="17002" operator="lessThan">
      <formula>0</formula>
    </cfRule>
    <cfRule type="cellIs" dxfId="9084" priority="17003" operator="greaterThan">
      <formula>0</formula>
    </cfRule>
  </conditionalFormatting>
  <conditionalFormatting sqref="IP12:IP13">
    <cfRule type="cellIs" dxfId="9083" priority="16998" operator="lessThan">
      <formula>0</formula>
    </cfRule>
    <cfRule type="cellIs" dxfId="9082" priority="16999" operator="greaterThan">
      <formula>0</formula>
    </cfRule>
  </conditionalFormatting>
  <conditionalFormatting sqref="IP14:IP19">
    <cfRule type="cellIs" dxfId="9081" priority="16996" operator="lessThan">
      <formula>0</formula>
    </cfRule>
    <cfRule type="cellIs" dxfId="9080" priority="16997" operator="greaterThan">
      <formula>0</formula>
    </cfRule>
  </conditionalFormatting>
  <conditionalFormatting sqref="IP20:IP22">
    <cfRule type="cellIs" dxfId="9079" priority="16994" operator="lessThan">
      <formula>0</formula>
    </cfRule>
    <cfRule type="cellIs" dxfId="9078" priority="16995" operator="greaterThan">
      <formula>0</formula>
    </cfRule>
  </conditionalFormatting>
  <conditionalFormatting sqref="IP45:IP46">
    <cfRule type="cellIs" dxfId="9077" priority="17008" operator="lessThan">
      <formula>0</formula>
    </cfRule>
    <cfRule type="cellIs" dxfId="9076" priority="17009" operator="greaterThan">
      <formula>0</formula>
    </cfRule>
  </conditionalFormatting>
  <conditionalFormatting sqref="IP91:IP93">
    <cfRule type="cellIs" dxfId="9075" priority="16988" operator="lessThan">
      <formula>0</formula>
    </cfRule>
    <cfRule type="cellIs" dxfId="9074" priority="16989" operator="greaterThan">
      <formula>0</formula>
    </cfRule>
  </conditionalFormatting>
  <conditionalFormatting sqref="IP7">
    <cfRule type="cellIs" dxfId="9073" priority="16980" operator="lessThan">
      <formula>0</formula>
    </cfRule>
    <cfRule type="cellIs" dxfId="9072" priority="16981" operator="greaterThan">
      <formula>0</formula>
    </cfRule>
  </conditionalFormatting>
  <conditionalFormatting sqref="IP7">
    <cfRule type="cellIs" dxfId="9071" priority="16978" operator="lessThan">
      <formula>0</formula>
    </cfRule>
    <cfRule type="cellIs" dxfId="9070" priority="16979" operator="greaterThan">
      <formula>0</formula>
    </cfRule>
  </conditionalFormatting>
  <conditionalFormatting sqref="IP8">
    <cfRule type="cellIs" dxfId="9069" priority="16976" operator="lessThan">
      <formula>0</formula>
    </cfRule>
    <cfRule type="cellIs" dxfId="9068" priority="16977" operator="greaterThan">
      <formula>0</formula>
    </cfRule>
  </conditionalFormatting>
  <conditionalFormatting sqref="IP47">
    <cfRule type="cellIs" dxfId="9067" priority="16974" operator="lessThan">
      <formula>0</formula>
    </cfRule>
    <cfRule type="cellIs" dxfId="9066" priority="16975" operator="greaterThan">
      <formula>0</formula>
    </cfRule>
  </conditionalFormatting>
  <conditionalFormatting sqref="IP44">
    <cfRule type="cellIs" dxfId="9065" priority="16972" operator="lessThan">
      <formula>0</formula>
    </cfRule>
    <cfRule type="cellIs" dxfId="9064" priority="16973" operator="greaterThan">
      <formula>0</formula>
    </cfRule>
  </conditionalFormatting>
  <conditionalFormatting sqref="IP23:IP24">
    <cfRule type="cellIs" dxfId="9063" priority="16968" operator="lessThan">
      <formula>0</formula>
    </cfRule>
    <cfRule type="cellIs" dxfId="9062" priority="16969" operator="greaterThan">
      <formula>0</formula>
    </cfRule>
  </conditionalFormatting>
  <conditionalFormatting sqref="IP33:IP34">
    <cfRule type="cellIs" dxfId="9061" priority="16966" operator="lessThan">
      <formula>0</formula>
    </cfRule>
    <cfRule type="cellIs" dxfId="9060" priority="16967" operator="greaterThan">
      <formula>0</formula>
    </cfRule>
  </conditionalFormatting>
  <conditionalFormatting sqref="IP101">
    <cfRule type="cellIs" dxfId="9059" priority="16958" operator="lessThan">
      <formula>0</formula>
    </cfRule>
    <cfRule type="cellIs" dxfId="9058" priority="16959" operator="greaterThan">
      <formula>0</formula>
    </cfRule>
  </conditionalFormatting>
  <conditionalFormatting sqref="IP104">
    <cfRule type="cellIs" dxfId="9057" priority="16956" operator="lessThan">
      <formula>0</formula>
    </cfRule>
    <cfRule type="cellIs" dxfId="9056" priority="16957" operator="greaterThan">
      <formula>0</formula>
    </cfRule>
  </conditionalFormatting>
  <conditionalFormatting sqref="IP48:IP49">
    <cfRule type="cellIs" dxfId="9055" priority="16922" operator="lessThan">
      <formula>0</formula>
    </cfRule>
    <cfRule type="cellIs" dxfId="9054" priority="16923" operator="greaterThan">
      <formula>0</formula>
    </cfRule>
  </conditionalFormatting>
  <conditionalFormatting sqref="IP72:IP73">
    <cfRule type="cellIs" dxfId="9053" priority="16920" operator="lessThan">
      <formula>0</formula>
    </cfRule>
    <cfRule type="cellIs" dxfId="9052" priority="16921" operator="greaterThan">
      <formula>0</formula>
    </cfRule>
  </conditionalFormatting>
  <conditionalFormatting sqref="IP94:IP95">
    <cfRule type="cellIs" dxfId="9051" priority="16918" operator="lessThan">
      <formula>0</formula>
    </cfRule>
    <cfRule type="cellIs" dxfId="9050" priority="16919" operator="greaterThan">
      <formula>0</formula>
    </cfRule>
  </conditionalFormatting>
  <conditionalFormatting sqref="IR98">
    <cfRule type="cellIs" dxfId="9049" priority="16853" operator="lessThan">
      <formula>0</formula>
    </cfRule>
    <cfRule type="cellIs" dxfId="9048" priority="16854" operator="greaterThan">
      <formula>0</formula>
    </cfRule>
  </conditionalFormatting>
  <conditionalFormatting sqref="IR6 IR9:IR11">
    <cfRule type="cellIs" dxfId="9047" priority="16893" operator="lessThan">
      <formula>0</formula>
    </cfRule>
    <cfRule type="cellIs" dxfId="9046" priority="16894" operator="greaterThan">
      <formula>0</formula>
    </cfRule>
  </conditionalFormatting>
  <conditionalFormatting sqref="IR43:IR44">
    <cfRule type="cellIs" dxfId="9045" priority="16857" operator="lessThan">
      <formula>0</formula>
    </cfRule>
    <cfRule type="cellIs" dxfId="9044" priority="16858" operator="greaterThan">
      <formula>0</formula>
    </cfRule>
  </conditionalFormatting>
  <conditionalFormatting sqref="IR11 IR19 IR3 IR24:IR32 IR34:IR42 IR69:IR79">
    <cfRule type="cellIs" dxfId="9043" priority="16903" operator="lessThan">
      <formula>0</formula>
    </cfRule>
    <cfRule type="cellIs" dxfId="9042" priority="16904" operator="greaterThan">
      <formula>0</formula>
    </cfRule>
  </conditionalFormatting>
  <conditionalFormatting sqref="IR4:IR5">
    <cfRule type="cellIs" dxfId="9041" priority="16895" operator="lessThan">
      <formula>0</formula>
    </cfRule>
    <cfRule type="cellIs" dxfId="9040" priority="16896" operator="greaterThan">
      <formula>0</formula>
    </cfRule>
  </conditionalFormatting>
  <conditionalFormatting sqref="IR12:IR13">
    <cfRule type="cellIs" dxfId="9039" priority="16891" operator="lessThan">
      <formula>0</formula>
    </cfRule>
    <cfRule type="cellIs" dxfId="9038" priority="16892" operator="greaterThan">
      <formula>0</formula>
    </cfRule>
  </conditionalFormatting>
  <conditionalFormatting sqref="IR14:IR19">
    <cfRule type="cellIs" dxfId="9037" priority="16889" operator="lessThan">
      <formula>0</formula>
    </cfRule>
    <cfRule type="cellIs" dxfId="9036" priority="16890" operator="greaterThan">
      <formula>0</formula>
    </cfRule>
  </conditionalFormatting>
  <conditionalFormatting sqref="IR20:IR22">
    <cfRule type="cellIs" dxfId="9035" priority="16887" operator="lessThan">
      <formula>0</formula>
    </cfRule>
    <cfRule type="cellIs" dxfId="9034" priority="16888" operator="greaterThan">
      <formula>0</formula>
    </cfRule>
  </conditionalFormatting>
  <conditionalFormatting sqref="IR45:IR46">
    <cfRule type="cellIs" dxfId="9033" priority="16901" operator="lessThan">
      <formula>0</formula>
    </cfRule>
    <cfRule type="cellIs" dxfId="9032" priority="16902" operator="greaterThan">
      <formula>0</formula>
    </cfRule>
  </conditionalFormatting>
  <conditionalFormatting sqref="IR7">
    <cfRule type="cellIs" dxfId="9031" priority="16873" operator="lessThan">
      <formula>0</formula>
    </cfRule>
    <cfRule type="cellIs" dxfId="9030" priority="16874" operator="greaterThan">
      <formula>0</formula>
    </cfRule>
  </conditionalFormatting>
  <conditionalFormatting sqref="IR7">
    <cfRule type="cellIs" dxfId="9029" priority="16871" operator="lessThan">
      <formula>0</formula>
    </cfRule>
    <cfRule type="cellIs" dxfId="9028" priority="16872" operator="greaterThan">
      <formula>0</formula>
    </cfRule>
  </conditionalFormatting>
  <conditionalFormatting sqref="IR8">
    <cfRule type="cellIs" dxfId="9027" priority="16869" operator="lessThan">
      <formula>0</formula>
    </cfRule>
    <cfRule type="cellIs" dxfId="9026" priority="16870" operator="greaterThan">
      <formula>0</formula>
    </cfRule>
  </conditionalFormatting>
  <conditionalFormatting sqref="IR47">
    <cfRule type="cellIs" dxfId="9025" priority="16867" operator="lessThan">
      <formula>0</formula>
    </cfRule>
    <cfRule type="cellIs" dxfId="9024" priority="16868" operator="greaterThan">
      <formula>0</formula>
    </cfRule>
  </conditionalFormatting>
  <conditionalFormatting sqref="IR44">
    <cfRule type="cellIs" dxfId="9023" priority="16865" operator="lessThan">
      <formula>0</formula>
    </cfRule>
    <cfRule type="cellIs" dxfId="9022" priority="16866" operator="greaterThan">
      <formula>0</formula>
    </cfRule>
  </conditionalFormatting>
  <conditionalFormatting sqref="IR23:IR24">
    <cfRule type="cellIs" dxfId="9021" priority="16861" operator="lessThan">
      <formula>0</formula>
    </cfRule>
    <cfRule type="cellIs" dxfId="9020" priority="16862" operator="greaterThan">
      <formula>0</formula>
    </cfRule>
  </conditionalFormatting>
  <conditionalFormatting sqref="IR33:IR34">
    <cfRule type="cellIs" dxfId="9019" priority="16859" operator="lessThan">
      <formula>0</formula>
    </cfRule>
    <cfRule type="cellIs" dxfId="9018" priority="16860" operator="greaterThan">
      <formula>0</formula>
    </cfRule>
  </conditionalFormatting>
  <conditionalFormatting sqref="IR101">
    <cfRule type="cellIs" dxfId="9017" priority="16851" operator="lessThan">
      <formula>0</formula>
    </cfRule>
    <cfRule type="cellIs" dxfId="9016" priority="16852" operator="greaterThan">
      <formula>0</formula>
    </cfRule>
  </conditionalFormatting>
  <conditionalFormatting sqref="IR104">
    <cfRule type="cellIs" dxfId="9015" priority="16849" operator="lessThan">
      <formula>0</formula>
    </cfRule>
    <cfRule type="cellIs" dxfId="9014" priority="16850" operator="greaterThan">
      <formula>0</formula>
    </cfRule>
  </conditionalFormatting>
  <conditionalFormatting sqref="IR48:IR49">
    <cfRule type="cellIs" dxfId="9013" priority="16815" operator="lessThan">
      <formula>0</formula>
    </cfRule>
    <cfRule type="cellIs" dxfId="9012" priority="16816" operator="greaterThan">
      <formula>0</formula>
    </cfRule>
  </conditionalFormatting>
  <conditionalFormatting sqref="IT98">
    <cfRule type="cellIs" dxfId="9011" priority="16761" operator="lessThan">
      <formula>0</formula>
    </cfRule>
    <cfRule type="cellIs" dxfId="9010" priority="16762" operator="greaterThan">
      <formula>0</formula>
    </cfRule>
  </conditionalFormatting>
  <conditionalFormatting sqref="IT6 IT9:IT11">
    <cfRule type="cellIs" dxfId="9009" priority="16801" operator="lessThan">
      <formula>0</formula>
    </cfRule>
    <cfRule type="cellIs" dxfId="9008" priority="16802" operator="greaterThan">
      <formula>0</formula>
    </cfRule>
  </conditionalFormatting>
  <conditionalFormatting sqref="IT43:IT44">
    <cfRule type="cellIs" dxfId="9007" priority="16765" operator="lessThan">
      <formula>0</formula>
    </cfRule>
    <cfRule type="cellIs" dxfId="9006" priority="16766" operator="greaterThan">
      <formula>0</formula>
    </cfRule>
  </conditionalFormatting>
  <conditionalFormatting sqref="IT11 IT19 IT3 IT24:IT32 IT34:IT42 IT69:IT79">
    <cfRule type="cellIs" dxfId="9005" priority="16811" operator="lessThan">
      <formula>0</formula>
    </cfRule>
    <cfRule type="cellIs" dxfId="9004" priority="16812" operator="greaterThan">
      <formula>0</formula>
    </cfRule>
  </conditionalFormatting>
  <conditionalFormatting sqref="IT4:IT5">
    <cfRule type="cellIs" dxfId="9003" priority="16803" operator="lessThan">
      <formula>0</formula>
    </cfRule>
    <cfRule type="cellIs" dxfId="9002" priority="16804" operator="greaterThan">
      <formula>0</formula>
    </cfRule>
  </conditionalFormatting>
  <conditionalFormatting sqref="IT12:IT13">
    <cfRule type="cellIs" dxfId="9001" priority="16799" operator="lessThan">
      <formula>0</formula>
    </cfRule>
    <cfRule type="cellIs" dxfId="9000" priority="16800" operator="greaterThan">
      <formula>0</formula>
    </cfRule>
  </conditionalFormatting>
  <conditionalFormatting sqref="IT14:IT19">
    <cfRule type="cellIs" dxfId="8999" priority="16797" operator="lessThan">
      <formula>0</formula>
    </cfRule>
    <cfRule type="cellIs" dxfId="8998" priority="16798" operator="greaterThan">
      <formula>0</formula>
    </cfRule>
  </conditionalFormatting>
  <conditionalFormatting sqref="IT20:IT22">
    <cfRule type="cellIs" dxfId="8997" priority="16795" operator="lessThan">
      <formula>0</formula>
    </cfRule>
    <cfRule type="cellIs" dxfId="8996" priority="16796" operator="greaterThan">
      <formula>0</formula>
    </cfRule>
  </conditionalFormatting>
  <conditionalFormatting sqref="IT45:IT46">
    <cfRule type="cellIs" dxfId="8995" priority="16809" operator="lessThan">
      <formula>0</formula>
    </cfRule>
    <cfRule type="cellIs" dxfId="8994" priority="16810" operator="greaterThan">
      <formula>0</formula>
    </cfRule>
  </conditionalFormatting>
  <conditionalFormatting sqref="IT7">
    <cfRule type="cellIs" dxfId="8993" priority="16781" operator="lessThan">
      <formula>0</formula>
    </cfRule>
    <cfRule type="cellIs" dxfId="8992" priority="16782" operator="greaterThan">
      <formula>0</formula>
    </cfRule>
  </conditionalFormatting>
  <conditionalFormatting sqref="IT7">
    <cfRule type="cellIs" dxfId="8991" priority="16779" operator="lessThan">
      <formula>0</formula>
    </cfRule>
    <cfRule type="cellIs" dxfId="8990" priority="16780" operator="greaterThan">
      <formula>0</formula>
    </cfRule>
  </conditionalFormatting>
  <conditionalFormatting sqref="IT8">
    <cfRule type="cellIs" dxfId="8989" priority="16777" operator="lessThan">
      <formula>0</formula>
    </cfRule>
    <cfRule type="cellIs" dxfId="8988" priority="16778" operator="greaterThan">
      <formula>0</formula>
    </cfRule>
  </conditionalFormatting>
  <conditionalFormatting sqref="IT47">
    <cfRule type="cellIs" dxfId="8987" priority="16775" operator="lessThan">
      <formula>0</formula>
    </cfRule>
    <cfRule type="cellIs" dxfId="8986" priority="16776" operator="greaterThan">
      <formula>0</formula>
    </cfRule>
  </conditionalFormatting>
  <conditionalFormatting sqref="IT44">
    <cfRule type="cellIs" dxfId="8985" priority="16773" operator="lessThan">
      <formula>0</formula>
    </cfRule>
    <cfRule type="cellIs" dxfId="8984" priority="16774" operator="greaterThan">
      <formula>0</formula>
    </cfRule>
  </conditionalFormatting>
  <conditionalFormatting sqref="IT23:IT24">
    <cfRule type="cellIs" dxfId="8983" priority="16769" operator="lessThan">
      <formula>0</formula>
    </cfRule>
    <cfRule type="cellIs" dxfId="8982" priority="16770" operator="greaterThan">
      <formula>0</formula>
    </cfRule>
  </conditionalFormatting>
  <conditionalFormatting sqref="IT33:IT34">
    <cfRule type="cellIs" dxfId="8981" priority="16767" operator="lessThan">
      <formula>0</formula>
    </cfRule>
    <cfRule type="cellIs" dxfId="8980" priority="16768" operator="greaterThan">
      <formula>0</formula>
    </cfRule>
  </conditionalFormatting>
  <conditionalFormatting sqref="IT101">
    <cfRule type="cellIs" dxfId="8979" priority="16759" operator="lessThan">
      <formula>0</formula>
    </cfRule>
    <cfRule type="cellIs" dxfId="8978" priority="16760" operator="greaterThan">
      <formula>0</formula>
    </cfRule>
  </conditionalFormatting>
  <conditionalFormatting sqref="IT104">
    <cfRule type="cellIs" dxfId="8977" priority="16757" operator="lessThan">
      <formula>0</formula>
    </cfRule>
    <cfRule type="cellIs" dxfId="8976" priority="16758" operator="greaterThan">
      <formula>0</formula>
    </cfRule>
  </conditionalFormatting>
  <conditionalFormatting sqref="IT48:IT49">
    <cfRule type="cellIs" dxfId="8975" priority="16723" operator="lessThan">
      <formula>0</formula>
    </cfRule>
    <cfRule type="cellIs" dxfId="8974" priority="16724" operator="greaterThan">
      <formula>0</formula>
    </cfRule>
  </conditionalFormatting>
  <conditionalFormatting sqref="IV98">
    <cfRule type="cellIs" dxfId="8973" priority="16669" operator="lessThan">
      <formula>0</formula>
    </cfRule>
    <cfRule type="cellIs" dxfId="8972" priority="16670" operator="greaterThan">
      <formula>0</formula>
    </cfRule>
  </conditionalFormatting>
  <conditionalFormatting sqref="IV6 IV9:IV11">
    <cfRule type="cellIs" dxfId="8971" priority="16709" operator="lessThan">
      <formula>0</formula>
    </cfRule>
    <cfRule type="cellIs" dxfId="8970" priority="16710" operator="greaterThan">
      <formula>0</formula>
    </cfRule>
  </conditionalFormatting>
  <conditionalFormatting sqref="IV43:IV44">
    <cfRule type="cellIs" dxfId="8969" priority="16673" operator="lessThan">
      <formula>0</formula>
    </cfRule>
    <cfRule type="cellIs" dxfId="8968" priority="16674" operator="greaterThan">
      <formula>0</formula>
    </cfRule>
  </conditionalFormatting>
  <conditionalFormatting sqref="IV11 IV19 IV3 IV24:IV32 IV34:IV42 IV69:IV79">
    <cfRule type="cellIs" dxfId="8967" priority="16719" operator="lessThan">
      <formula>0</formula>
    </cfRule>
    <cfRule type="cellIs" dxfId="8966" priority="16720" operator="greaterThan">
      <formula>0</formula>
    </cfRule>
  </conditionalFormatting>
  <conditionalFormatting sqref="IV4:IV5">
    <cfRule type="cellIs" dxfId="8965" priority="16711" operator="lessThan">
      <formula>0</formula>
    </cfRule>
    <cfRule type="cellIs" dxfId="8964" priority="16712" operator="greaterThan">
      <formula>0</formula>
    </cfRule>
  </conditionalFormatting>
  <conditionalFormatting sqref="IV12:IV13">
    <cfRule type="cellIs" dxfId="8963" priority="16707" operator="lessThan">
      <formula>0</formula>
    </cfRule>
    <cfRule type="cellIs" dxfId="8962" priority="16708" operator="greaterThan">
      <formula>0</formula>
    </cfRule>
  </conditionalFormatting>
  <conditionalFormatting sqref="IV14:IV19">
    <cfRule type="cellIs" dxfId="8961" priority="16705" operator="lessThan">
      <formula>0</formula>
    </cfRule>
    <cfRule type="cellIs" dxfId="8960" priority="16706" operator="greaterThan">
      <formula>0</formula>
    </cfRule>
  </conditionalFormatting>
  <conditionalFormatting sqref="IV20:IV22">
    <cfRule type="cellIs" dxfId="8959" priority="16703" operator="lessThan">
      <formula>0</formula>
    </cfRule>
    <cfRule type="cellIs" dxfId="8958" priority="16704" operator="greaterThan">
      <formula>0</formula>
    </cfRule>
  </conditionalFormatting>
  <conditionalFormatting sqref="IV45:IV46">
    <cfRule type="cellIs" dxfId="8957" priority="16717" operator="lessThan">
      <formula>0</formula>
    </cfRule>
    <cfRule type="cellIs" dxfId="8956" priority="16718" operator="greaterThan">
      <formula>0</formula>
    </cfRule>
  </conditionalFormatting>
  <conditionalFormatting sqref="IV7">
    <cfRule type="cellIs" dxfId="8955" priority="16689" operator="lessThan">
      <formula>0</formula>
    </cfRule>
    <cfRule type="cellIs" dxfId="8954" priority="16690" operator="greaterThan">
      <formula>0</formula>
    </cfRule>
  </conditionalFormatting>
  <conditionalFormatting sqref="IV7">
    <cfRule type="cellIs" dxfId="8953" priority="16687" operator="lessThan">
      <formula>0</formula>
    </cfRule>
    <cfRule type="cellIs" dxfId="8952" priority="16688" operator="greaterThan">
      <formula>0</formula>
    </cfRule>
  </conditionalFormatting>
  <conditionalFormatting sqref="IV8">
    <cfRule type="cellIs" dxfId="8951" priority="16685" operator="lessThan">
      <formula>0</formula>
    </cfRule>
    <cfRule type="cellIs" dxfId="8950" priority="16686" operator="greaterThan">
      <formula>0</formula>
    </cfRule>
  </conditionalFormatting>
  <conditionalFormatting sqref="IV47">
    <cfRule type="cellIs" dxfId="8949" priority="16683" operator="lessThan">
      <formula>0</formula>
    </cfRule>
    <cfRule type="cellIs" dxfId="8948" priority="16684" operator="greaterThan">
      <formula>0</formula>
    </cfRule>
  </conditionalFormatting>
  <conditionalFormatting sqref="IV44">
    <cfRule type="cellIs" dxfId="8947" priority="16681" operator="lessThan">
      <formula>0</formula>
    </cfRule>
    <cfRule type="cellIs" dxfId="8946" priority="16682" operator="greaterThan">
      <formula>0</formula>
    </cfRule>
  </conditionalFormatting>
  <conditionalFormatting sqref="IV23:IV24">
    <cfRule type="cellIs" dxfId="8945" priority="16677" operator="lessThan">
      <formula>0</formula>
    </cfRule>
    <cfRule type="cellIs" dxfId="8944" priority="16678" operator="greaterThan">
      <formula>0</formula>
    </cfRule>
  </conditionalFormatting>
  <conditionalFormatting sqref="IV33:IV34">
    <cfRule type="cellIs" dxfId="8943" priority="16675" operator="lessThan">
      <formula>0</formula>
    </cfRule>
    <cfRule type="cellIs" dxfId="8942" priority="16676" operator="greaterThan">
      <formula>0</formula>
    </cfRule>
  </conditionalFormatting>
  <conditionalFormatting sqref="IV101">
    <cfRule type="cellIs" dxfId="8941" priority="16667" operator="lessThan">
      <formula>0</formula>
    </cfRule>
    <cfRule type="cellIs" dxfId="8940" priority="16668" operator="greaterThan">
      <formula>0</formula>
    </cfRule>
  </conditionalFormatting>
  <conditionalFormatting sqref="IV104">
    <cfRule type="cellIs" dxfId="8939" priority="16665" operator="lessThan">
      <formula>0</formula>
    </cfRule>
    <cfRule type="cellIs" dxfId="8938" priority="16666" operator="greaterThan">
      <formula>0</formula>
    </cfRule>
  </conditionalFormatting>
  <conditionalFormatting sqref="IV48:IV49">
    <cfRule type="cellIs" dxfId="8937" priority="16631" operator="lessThan">
      <formula>0</formula>
    </cfRule>
    <cfRule type="cellIs" dxfId="8936" priority="16632" operator="greaterThan">
      <formula>0</formula>
    </cfRule>
  </conditionalFormatting>
  <conditionalFormatting sqref="IX98">
    <cfRule type="cellIs" dxfId="8935" priority="16577" operator="lessThan">
      <formula>0</formula>
    </cfRule>
    <cfRule type="cellIs" dxfId="8934" priority="16578" operator="greaterThan">
      <formula>0</formula>
    </cfRule>
  </conditionalFormatting>
  <conditionalFormatting sqref="IX6 IX9:IX11">
    <cfRule type="cellIs" dxfId="8933" priority="16617" operator="lessThan">
      <formula>0</formula>
    </cfRule>
    <cfRule type="cellIs" dxfId="8932" priority="16618" operator="greaterThan">
      <formula>0</formula>
    </cfRule>
  </conditionalFormatting>
  <conditionalFormatting sqref="IX43:IX44">
    <cfRule type="cellIs" dxfId="8931" priority="16581" operator="lessThan">
      <formula>0</formula>
    </cfRule>
    <cfRule type="cellIs" dxfId="8930" priority="16582" operator="greaterThan">
      <formula>0</formula>
    </cfRule>
  </conditionalFormatting>
  <conditionalFormatting sqref="IX11 IX19 IX3 IX24:IX32 IX34:IX42 IX69:IX79">
    <cfRule type="cellIs" dxfId="8929" priority="16627" operator="lessThan">
      <formula>0</formula>
    </cfRule>
    <cfRule type="cellIs" dxfId="8928" priority="16628" operator="greaterThan">
      <formula>0</formula>
    </cfRule>
  </conditionalFormatting>
  <conditionalFormatting sqref="IX4:IX5">
    <cfRule type="cellIs" dxfId="8927" priority="16619" operator="lessThan">
      <formula>0</formula>
    </cfRule>
    <cfRule type="cellIs" dxfId="8926" priority="16620" operator="greaterThan">
      <formula>0</formula>
    </cfRule>
  </conditionalFormatting>
  <conditionalFormatting sqref="IX12:IX13">
    <cfRule type="cellIs" dxfId="8925" priority="16615" operator="lessThan">
      <formula>0</formula>
    </cfRule>
    <cfRule type="cellIs" dxfId="8924" priority="16616" operator="greaterThan">
      <formula>0</formula>
    </cfRule>
  </conditionalFormatting>
  <conditionalFormatting sqref="IX14:IX19">
    <cfRule type="cellIs" dxfId="8923" priority="16613" operator="lessThan">
      <formula>0</formula>
    </cfRule>
    <cfRule type="cellIs" dxfId="8922" priority="16614" operator="greaterThan">
      <formula>0</formula>
    </cfRule>
  </conditionalFormatting>
  <conditionalFormatting sqref="IX20:IX22">
    <cfRule type="cellIs" dxfId="8921" priority="16611" operator="lessThan">
      <formula>0</formula>
    </cfRule>
    <cfRule type="cellIs" dxfId="8920" priority="16612" operator="greaterThan">
      <formula>0</formula>
    </cfRule>
  </conditionalFormatting>
  <conditionalFormatting sqref="IX45:IX46">
    <cfRule type="cellIs" dxfId="8919" priority="16625" operator="lessThan">
      <formula>0</formula>
    </cfRule>
    <cfRule type="cellIs" dxfId="8918" priority="16626" operator="greaterThan">
      <formula>0</formula>
    </cfRule>
  </conditionalFormatting>
  <conditionalFormatting sqref="IX7">
    <cfRule type="cellIs" dxfId="8917" priority="16597" operator="lessThan">
      <formula>0</formula>
    </cfRule>
    <cfRule type="cellIs" dxfId="8916" priority="16598" operator="greaterThan">
      <formula>0</formula>
    </cfRule>
  </conditionalFormatting>
  <conditionalFormatting sqref="IX7">
    <cfRule type="cellIs" dxfId="8915" priority="16595" operator="lessThan">
      <formula>0</formula>
    </cfRule>
    <cfRule type="cellIs" dxfId="8914" priority="16596" operator="greaterThan">
      <formula>0</formula>
    </cfRule>
  </conditionalFormatting>
  <conditionalFormatting sqref="IX8">
    <cfRule type="cellIs" dxfId="8913" priority="16593" operator="lessThan">
      <formula>0</formula>
    </cfRule>
    <cfRule type="cellIs" dxfId="8912" priority="16594" operator="greaterThan">
      <formula>0</formula>
    </cfRule>
  </conditionalFormatting>
  <conditionalFormatting sqref="IX47">
    <cfRule type="cellIs" dxfId="8911" priority="16591" operator="lessThan">
      <formula>0</formula>
    </cfRule>
    <cfRule type="cellIs" dxfId="8910" priority="16592" operator="greaterThan">
      <formula>0</formula>
    </cfRule>
  </conditionalFormatting>
  <conditionalFormatting sqref="IX44">
    <cfRule type="cellIs" dxfId="8909" priority="16589" operator="lessThan">
      <formula>0</formula>
    </cfRule>
    <cfRule type="cellIs" dxfId="8908" priority="16590" operator="greaterThan">
      <formula>0</formula>
    </cfRule>
  </conditionalFormatting>
  <conditionalFormatting sqref="IX23:IX24">
    <cfRule type="cellIs" dxfId="8907" priority="16585" operator="lessThan">
      <formula>0</formula>
    </cfRule>
    <cfRule type="cellIs" dxfId="8906" priority="16586" operator="greaterThan">
      <formula>0</formula>
    </cfRule>
  </conditionalFormatting>
  <conditionalFormatting sqref="IX33:IX34">
    <cfRule type="cellIs" dxfId="8905" priority="16583" operator="lessThan">
      <formula>0</formula>
    </cfRule>
    <cfRule type="cellIs" dxfId="8904" priority="16584" operator="greaterThan">
      <formula>0</formula>
    </cfRule>
  </conditionalFormatting>
  <conditionalFormatting sqref="IX101">
    <cfRule type="cellIs" dxfId="8903" priority="16575" operator="lessThan">
      <formula>0</formula>
    </cfRule>
    <cfRule type="cellIs" dxfId="8902" priority="16576" operator="greaterThan">
      <formula>0</formula>
    </cfRule>
  </conditionalFormatting>
  <conditionalFormatting sqref="IX104">
    <cfRule type="cellIs" dxfId="8901" priority="16573" operator="lessThan">
      <formula>0</formula>
    </cfRule>
    <cfRule type="cellIs" dxfId="8900" priority="16574" operator="greaterThan">
      <formula>0</formula>
    </cfRule>
  </conditionalFormatting>
  <conditionalFormatting sqref="IX48:IX49">
    <cfRule type="cellIs" dxfId="8899" priority="16539" operator="lessThan">
      <formula>0</formula>
    </cfRule>
    <cfRule type="cellIs" dxfId="8898" priority="16540" operator="greaterThan">
      <formula>0</formula>
    </cfRule>
  </conditionalFormatting>
  <conditionalFormatting sqref="IZ98">
    <cfRule type="cellIs" dxfId="8897" priority="16451" operator="lessThan">
      <formula>0</formula>
    </cfRule>
    <cfRule type="cellIs" dxfId="8896" priority="16452" operator="greaterThan">
      <formula>0</formula>
    </cfRule>
  </conditionalFormatting>
  <conditionalFormatting sqref="IZ6 IZ9:IZ11">
    <cfRule type="cellIs" dxfId="8895" priority="16491" operator="lessThan">
      <formula>0</formula>
    </cfRule>
    <cfRule type="cellIs" dxfId="8894" priority="16492" operator="greaterThan">
      <formula>0</formula>
    </cfRule>
  </conditionalFormatting>
  <conditionalFormatting sqref="IZ43:IZ44">
    <cfRule type="cellIs" dxfId="8893" priority="16455" operator="lessThan">
      <formula>0</formula>
    </cfRule>
    <cfRule type="cellIs" dxfId="8892" priority="16456" operator="greaterThan">
      <formula>0</formula>
    </cfRule>
  </conditionalFormatting>
  <conditionalFormatting sqref="IZ11 IZ19 IZ3 IZ24:IZ32 IZ34:IZ42 IZ69:IZ79">
    <cfRule type="cellIs" dxfId="8891" priority="16501" operator="lessThan">
      <formula>0</formula>
    </cfRule>
    <cfRule type="cellIs" dxfId="8890" priority="16502" operator="greaterThan">
      <formula>0</formula>
    </cfRule>
  </conditionalFormatting>
  <conditionalFormatting sqref="IZ4:IZ5">
    <cfRule type="cellIs" dxfId="8889" priority="16493" operator="lessThan">
      <formula>0</formula>
    </cfRule>
    <cfRule type="cellIs" dxfId="8888" priority="16494" operator="greaterThan">
      <formula>0</formula>
    </cfRule>
  </conditionalFormatting>
  <conditionalFormatting sqref="IZ12:IZ13">
    <cfRule type="cellIs" dxfId="8887" priority="16489" operator="lessThan">
      <formula>0</formula>
    </cfRule>
    <cfRule type="cellIs" dxfId="8886" priority="16490" operator="greaterThan">
      <formula>0</formula>
    </cfRule>
  </conditionalFormatting>
  <conditionalFormatting sqref="IZ14:IZ19">
    <cfRule type="cellIs" dxfId="8885" priority="16487" operator="lessThan">
      <formula>0</formula>
    </cfRule>
    <cfRule type="cellIs" dxfId="8884" priority="16488" operator="greaterThan">
      <formula>0</formula>
    </cfRule>
  </conditionalFormatting>
  <conditionalFormatting sqref="IZ20:IZ22">
    <cfRule type="cellIs" dxfId="8883" priority="16485" operator="lessThan">
      <formula>0</formula>
    </cfRule>
    <cfRule type="cellIs" dxfId="8882" priority="16486" operator="greaterThan">
      <formula>0</formula>
    </cfRule>
  </conditionalFormatting>
  <conditionalFormatting sqref="IZ45:IZ46">
    <cfRule type="cellIs" dxfId="8881" priority="16499" operator="lessThan">
      <formula>0</formula>
    </cfRule>
    <cfRule type="cellIs" dxfId="8880" priority="16500" operator="greaterThan">
      <formula>0</formula>
    </cfRule>
  </conditionalFormatting>
  <conditionalFormatting sqref="IZ7">
    <cfRule type="cellIs" dxfId="8879" priority="16471" operator="lessThan">
      <formula>0</formula>
    </cfRule>
    <cfRule type="cellIs" dxfId="8878" priority="16472" operator="greaterThan">
      <formula>0</formula>
    </cfRule>
  </conditionalFormatting>
  <conditionalFormatting sqref="IZ7">
    <cfRule type="cellIs" dxfId="8877" priority="16469" operator="lessThan">
      <formula>0</formula>
    </cfRule>
    <cfRule type="cellIs" dxfId="8876" priority="16470" operator="greaterThan">
      <formula>0</formula>
    </cfRule>
  </conditionalFormatting>
  <conditionalFormatting sqref="IZ8">
    <cfRule type="cellIs" dxfId="8875" priority="16467" operator="lessThan">
      <formula>0</formula>
    </cfRule>
    <cfRule type="cellIs" dxfId="8874" priority="16468" operator="greaterThan">
      <formula>0</formula>
    </cfRule>
  </conditionalFormatting>
  <conditionalFormatting sqref="IZ47">
    <cfRule type="cellIs" dxfId="8873" priority="16465" operator="lessThan">
      <formula>0</formula>
    </cfRule>
    <cfRule type="cellIs" dxfId="8872" priority="16466" operator="greaterThan">
      <formula>0</formula>
    </cfRule>
  </conditionalFormatting>
  <conditionalFormatting sqref="IZ44">
    <cfRule type="cellIs" dxfId="8871" priority="16463" operator="lessThan">
      <formula>0</formula>
    </cfRule>
    <cfRule type="cellIs" dxfId="8870" priority="16464" operator="greaterThan">
      <formula>0</formula>
    </cfRule>
  </conditionalFormatting>
  <conditionalFormatting sqref="IZ23:IZ24">
    <cfRule type="cellIs" dxfId="8869" priority="16459" operator="lessThan">
      <formula>0</formula>
    </cfRule>
    <cfRule type="cellIs" dxfId="8868" priority="16460" operator="greaterThan">
      <formula>0</formula>
    </cfRule>
  </conditionalFormatting>
  <conditionalFormatting sqref="IZ33:IZ34">
    <cfRule type="cellIs" dxfId="8867" priority="16457" operator="lessThan">
      <formula>0</formula>
    </cfRule>
    <cfRule type="cellIs" dxfId="8866" priority="16458" operator="greaterThan">
      <formula>0</formula>
    </cfRule>
  </conditionalFormatting>
  <conditionalFormatting sqref="IZ101">
    <cfRule type="cellIs" dxfId="8865" priority="16449" operator="lessThan">
      <formula>0</formula>
    </cfRule>
    <cfRule type="cellIs" dxfId="8864" priority="16450" operator="greaterThan">
      <formula>0</formula>
    </cfRule>
  </conditionalFormatting>
  <conditionalFormatting sqref="IZ104">
    <cfRule type="cellIs" dxfId="8863" priority="16447" operator="lessThan">
      <formula>0</formula>
    </cfRule>
    <cfRule type="cellIs" dxfId="8862" priority="16448" operator="greaterThan">
      <formula>0</formula>
    </cfRule>
  </conditionalFormatting>
  <conditionalFormatting sqref="IZ48:IZ49">
    <cfRule type="cellIs" dxfId="8861" priority="16413" operator="lessThan">
      <formula>0</formula>
    </cfRule>
    <cfRule type="cellIs" dxfId="8860" priority="16414" operator="greaterThan">
      <formula>0</formula>
    </cfRule>
  </conditionalFormatting>
  <conditionalFormatting sqref="JB98">
    <cfRule type="cellIs" dxfId="8859" priority="16348" operator="lessThan">
      <formula>0</formula>
    </cfRule>
    <cfRule type="cellIs" dxfId="8858" priority="16349" operator="greaterThan">
      <formula>0</formula>
    </cfRule>
  </conditionalFormatting>
  <conditionalFormatting sqref="JB6 JB9:JB11">
    <cfRule type="cellIs" dxfId="8857" priority="16388" operator="lessThan">
      <formula>0</formula>
    </cfRule>
    <cfRule type="cellIs" dxfId="8856" priority="16389" operator="greaterThan">
      <formula>0</formula>
    </cfRule>
  </conditionalFormatting>
  <conditionalFormatting sqref="JB43:JB44">
    <cfRule type="cellIs" dxfId="8855" priority="16352" operator="lessThan">
      <formula>0</formula>
    </cfRule>
    <cfRule type="cellIs" dxfId="8854" priority="16353" operator="greaterThan">
      <formula>0</formula>
    </cfRule>
  </conditionalFormatting>
  <conditionalFormatting sqref="JB11 JB19 JB3 JB24:JB32 JB34:JB42 JB69:JB79">
    <cfRule type="cellIs" dxfId="8853" priority="16398" operator="lessThan">
      <formula>0</formula>
    </cfRule>
    <cfRule type="cellIs" dxfId="8852" priority="16399" operator="greaterThan">
      <formula>0</formula>
    </cfRule>
  </conditionalFormatting>
  <conditionalFormatting sqref="JB4:JB5">
    <cfRule type="cellIs" dxfId="8851" priority="16390" operator="lessThan">
      <formula>0</formula>
    </cfRule>
    <cfRule type="cellIs" dxfId="8850" priority="16391" operator="greaterThan">
      <formula>0</formula>
    </cfRule>
  </conditionalFormatting>
  <conditionalFormatting sqref="JB12:JB13">
    <cfRule type="cellIs" dxfId="8849" priority="16386" operator="lessThan">
      <formula>0</formula>
    </cfRule>
    <cfRule type="cellIs" dxfId="8848" priority="16387" operator="greaterThan">
      <formula>0</formula>
    </cfRule>
  </conditionalFormatting>
  <conditionalFormatting sqref="JB14:JB19">
    <cfRule type="cellIs" dxfId="8847" priority="16384" operator="lessThan">
      <formula>0</formula>
    </cfRule>
    <cfRule type="cellIs" dxfId="8846" priority="16385" operator="greaterThan">
      <formula>0</formula>
    </cfRule>
  </conditionalFormatting>
  <conditionalFormatting sqref="JB20:JB22">
    <cfRule type="cellIs" dxfId="8845" priority="16382" operator="lessThan">
      <formula>0</formula>
    </cfRule>
    <cfRule type="cellIs" dxfId="8844" priority="16383" operator="greaterThan">
      <formula>0</formula>
    </cfRule>
  </conditionalFormatting>
  <conditionalFormatting sqref="JB45:JB46">
    <cfRule type="cellIs" dxfId="8843" priority="16396" operator="lessThan">
      <formula>0</formula>
    </cfRule>
    <cfRule type="cellIs" dxfId="8842" priority="16397" operator="greaterThan">
      <formula>0</formula>
    </cfRule>
  </conditionalFormatting>
  <conditionalFormatting sqref="JB7">
    <cfRule type="cellIs" dxfId="8841" priority="16368" operator="lessThan">
      <formula>0</formula>
    </cfRule>
    <cfRule type="cellIs" dxfId="8840" priority="16369" operator="greaterThan">
      <formula>0</formula>
    </cfRule>
  </conditionalFormatting>
  <conditionalFormatting sqref="JB7">
    <cfRule type="cellIs" dxfId="8839" priority="16366" operator="lessThan">
      <formula>0</formula>
    </cfRule>
    <cfRule type="cellIs" dxfId="8838" priority="16367" operator="greaterThan">
      <formula>0</formula>
    </cfRule>
  </conditionalFormatting>
  <conditionalFormatting sqref="JB8">
    <cfRule type="cellIs" dxfId="8837" priority="16364" operator="lessThan">
      <formula>0</formula>
    </cfRule>
    <cfRule type="cellIs" dxfId="8836" priority="16365" operator="greaterThan">
      <formula>0</formula>
    </cfRule>
  </conditionalFormatting>
  <conditionalFormatting sqref="JB47">
    <cfRule type="cellIs" dxfId="8835" priority="16362" operator="lessThan">
      <formula>0</formula>
    </cfRule>
    <cfRule type="cellIs" dxfId="8834" priority="16363" operator="greaterThan">
      <formula>0</formula>
    </cfRule>
  </conditionalFormatting>
  <conditionalFormatting sqref="JB44">
    <cfRule type="cellIs" dxfId="8833" priority="16360" operator="lessThan">
      <formula>0</formula>
    </cfRule>
    <cfRule type="cellIs" dxfId="8832" priority="16361" operator="greaterThan">
      <formula>0</formula>
    </cfRule>
  </conditionalFormatting>
  <conditionalFormatting sqref="JB23:JB24">
    <cfRule type="cellIs" dxfId="8831" priority="16356" operator="lessThan">
      <formula>0</formula>
    </cfRule>
    <cfRule type="cellIs" dxfId="8830" priority="16357" operator="greaterThan">
      <formula>0</formula>
    </cfRule>
  </conditionalFormatting>
  <conditionalFormatting sqref="JB33:JB34">
    <cfRule type="cellIs" dxfId="8829" priority="16354" operator="lessThan">
      <formula>0</formula>
    </cfRule>
    <cfRule type="cellIs" dxfId="8828" priority="16355" operator="greaterThan">
      <formula>0</formula>
    </cfRule>
  </conditionalFormatting>
  <conditionalFormatting sqref="JB101">
    <cfRule type="cellIs" dxfId="8827" priority="16346" operator="lessThan">
      <formula>0</formula>
    </cfRule>
    <cfRule type="cellIs" dxfId="8826" priority="16347" operator="greaterThan">
      <formula>0</formula>
    </cfRule>
  </conditionalFormatting>
  <conditionalFormatting sqref="JB104">
    <cfRule type="cellIs" dxfId="8825" priority="16344" operator="lessThan">
      <formula>0</formula>
    </cfRule>
    <cfRule type="cellIs" dxfId="8824" priority="16345" operator="greaterThan">
      <formula>0</formula>
    </cfRule>
  </conditionalFormatting>
  <conditionalFormatting sqref="JB48:JB49">
    <cfRule type="cellIs" dxfId="8823" priority="16310" operator="lessThan">
      <formula>0</formula>
    </cfRule>
    <cfRule type="cellIs" dxfId="8822" priority="16311" operator="greaterThan">
      <formula>0</formula>
    </cfRule>
  </conditionalFormatting>
  <conditionalFormatting sqref="JD98">
    <cfRule type="cellIs" dxfId="8821" priority="16245" operator="lessThan">
      <formula>0</formula>
    </cfRule>
    <cfRule type="cellIs" dxfId="8820" priority="16246" operator="greaterThan">
      <formula>0</formula>
    </cfRule>
  </conditionalFormatting>
  <conditionalFormatting sqref="JD6 JD9:JD11">
    <cfRule type="cellIs" dxfId="8819" priority="16285" operator="lessThan">
      <formula>0</formula>
    </cfRule>
    <cfRule type="cellIs" dxfId="8818" priority="16286" operator="greaterThan">
      <formula>0</formula>
    </cfRule>
  </conditionalFormatting>
  <conditionalFormatting sqref="JD43:JD44">
    <cfRule type="cellIs" dxfId="8817" priority="16249" operator="lessThan">
      <formula>0</formula>
    </cfRule>
    <cfRule type="cellIs" dxfId="8816" priority="16250" operator="greaterThan">
      <formula>0</formula>
    </cfRule>
  </conditionalFormatting>
  <conditionalFormatting sqref="JD11 JD19 JD3 JD24:JD32 JD34:JD42 JD69:JD79">
    <cfRule type="cellIs" dxfId="8815" priority="16295" operator="lessThan">
      <formula>0</formula>
    </cfRule>
    <cfRule type="cellIs" dxfId="8814" priority="16296" operator="greaterThan">
      <formula>0</formula>
    </cfRule>
  </conditionalFormatting>
  <conditionalFormatting sqref="JD4:JD5">
    <cfRule type="cellIs" dxfId="8813" priority="16287" operator="lessThan">
      <formula>0</formula>
    </cfRule>
    <cfRule type="cellIs" dxfId="8812" priority="16288" operator="greaterThan">
      <formula>0</formula>
    </cfRule>
  </conditionalFormatting>
  <conditionalFormatting sqref="JD12:JD13">
    <cfRule type="cellIs" dxfId="8811" priority="16283" operator="lessThan">
      <formula>0</formula>
    </cfRule>
    <cfRule type="cellIs" dxfId="8810" priority="16284" operator="greaterThan">
      <formula>0</formula>
    </cfRule>
  </conditionalFormatting>
  <conditionalFormatting sqref="JD14:JD19">
    <cfRule type="cellIs" dxfId="8809" priority="16281" operator="lessThan">
      <formula>0</formula>
    </cfRule>
    <cfRule type="cellIs" dxfId="8808" priority="16282" operator="greaterThan">
      <formula>0</formula>
    </cfRule>
  </conditionalFormatting>
  <conditionalFormatting sqref="JD20:JD22">
    <cfRule type="cellIs" dxfId="8807" priority="16279" operator="lessThan">
      <formula>0</formula>
    </cfRule>
    <cfRule type="cellIs" dxfId="8806" priority="16280" operator="greaterThan">
      <formula>0</formula>
    </cfRule>
  </conditionalFormatting>
  <conditionalFormatting sqref="JD45:JD46">
    <cfRule type="cellIs" dxfId="8805" priority="16293" operator="lessThan">
      <formula>0</formula>
    </cfRule>
    <cfRule type="cellIs" dxfId="8804" priority="16294" operator="greaterThan">
      <formula>0</formula>
    </cfRule>
  </conditionalFormatting>
  <conditionalFormatting sqref="JD7">
    <cfRule type="cellIs" dxfId="8803" priority="16265" operator="lessThan">
      <formula>0</formula>
    </cfRule>
    <cfRule type="cellIs" dxfId="8802" priority="16266" operator="greaterThan">
      <formula>0</formula>
    </cfRule>
  </conditionalFormatting>
  <conditionalFormatting sqref="JD7">
    <cfRule type="cellIs" dxfId="8801" priority="16263" operator="lessThan">
      <formula>0</formula>
    </cfRule>
    <cfRule type="cellIs" dxfId="8800" priority="16264" operator="greaterThan">
      <formula>0</formula>
    </cfRule>
  </conditionalFormatting>
  <conditionalFormatting sqref="JD8">
    <cfRule type="cellIs" dxfId="8799" priority="16261" operator="lessThan">
      <formula>0</formula>
    </cfRule>
    <cfRule type="cellIs" dxfId="8798" priority="16262" operator="greaterThan">
      <formula>0</formula>
    </cfRule>
  </conditionalFormatting>
  <conditionalFormatting sqref="JD47">
    <cfRule type="cellIs" dxfId="8797" priority="16259" operator="lessThan">
      <formula>0</formula>
    </cfRule>
    <cfRule type="cellIs" dxfId="8796" priority="16260" operator="greaterThan">
      <formula>0</formula>
    </cfRule>
  </conditionalFormatting>
  <conditionalFormatting sqref="JD44">
    <cfRule type="cellIs" dxfId="8795" priority="16257" operator="lessThan">
      <formula>0</formula>
    </cfRule>
    <cfRule type="cellIs" dxfId="8794" priority="16258" operator="greaterThan">
      <formula>0</formula>
    </cfRule>
  </conditionalFormatting>
  <conditionalFormatting sqref="JD23:JD24">
    <cfRule type="cellIs" dxfId="8793" priority="16253" operator="lessThan">
      <formula>0</formula>
    </cfRule>
    <cfRule type="cellIs" dxfId="8792" priority="16254" operator="greaterThan">
      <formula>0</formula>
    </cfRule>
  </conditionalFormatting>
  <conditionalFormatting sqref="JD33:JD34">
    <cfRule type="cellIs" dxfId="8791" priority="16251" operator="lessThan">
      <formula>0</formula>
    </cfRule>
    <cfRule type="cellIs" dxfId="8790" priority="16252" operator="greaterThan">
      <formula>0</formula>
    </cfRule>
  </conditionalFormatting>
  <conditionalFormatting sqref="JD101">
    <cfRule type="cellIs" dxfId="8789" priority="16243" operator="lessThan">
      <formula>0</formula>
    </cfRule>
    <cfRule type="cellIs" dxfId="8788" priority="16244" operator="greaterThan">
      <formula>0</formula>
    </cfRule>
  </conditionalFormatting>
  <conditionalFormatting sqref="JD104">
    <cfRule type="cellIs" dxfId="8787" priority="16241" operator="lessThan">
      <formula>0</formula>
    </cfRule>
    <cfRule type="cellIs" dxfId="8786" priority="16242" operator="greaterThan">
      <formula>0</formula>
    </cfRule>
  </conditionalFormatting>
  <conditionalFormatting sqref="JD48:JD49">
    <cfRule type="cellIs" dxfId="8785" priority="16207" operator="lessThan">
      <formula>0</formula>
    </cfRule>
    <cfRule type="cellIs" dxfId="8784" priority="16208" operator="greaterThan">
      <formula>0</formula>
    </cfRule>
  </conditionalFormatting>
  <conditionalFormatting sqref="JF98">
    <cfRule type="cellIs" dxfId="8783" priority="16142" operator="lessThan">
      <formula>0</formula>
    </cfRule>
    <cfRule type="cellIs" dxfId="8782" priority="16143" operator="greaterThan">
      <formula>0</formula>
    </cfRule>
  </conditionalFormatting>
  <conditionalFormatting sqref="JF6 JF9:JF11">
    <cfRule type="cellIs" dxfId="8781" priority="16182" operator="lessThan">
      <formula>0</formula>
    </cfRule>
    <cfRule type="cellIs" dxfId="8780" priority="16183" operator="greaterThan">
      <formula>0</formula>
    </cfRule>
  </conditionalFormatting>
  <conditionalFormatting sqref="JF43:JF44">
    <cfRule type="cellIs" dxfId="8779" priority="16146" operator="lessThan">
      <formula>0</formula>
    </cfRule>
    <cfRule type="cellIs" dxfId="8778" priority="16147" operator="greaterThan">
      <formula>0</formula>
    </cfRule>
  </conditionalFormatting>
  <conditionalFormatting sqref="JF11 JF19 JF3 JF24:JF32 JF34:JF42 JF69:JF79">
    <cfRule type="cellIs" dxfId="8777" priority="16192" operator="lessThan">
      <formula>0</formula>
    </cfRule>
    <cfRule type="cellIs" dxfId="8776" priority="16193" operator="greaterThan">
      <formula>0</formula>
    </cfRule>
  </conditionalFormatting>
  <conditionalFormatting sqref="JF4:JF5">
    <cfRule type="cellIs" dxfId="8775" priority="16184" operator="lessThan">
      <formula>0</formula>
    </cfRule>
    <cfRule type="cellIs" dxfId="8774" priority="16185" operator="greaterThan">
      <formula>0</formula>
    </cfRule>
  </conditionalFormatting>
  <conditionalFormatting sqref="JF12:JF13">
    <cfRule type="cellIs" dxfId="8773" priority="16180" operator="lessThan">
      <formula>0</formula>
    </cfRule>
    <cfRule type="cellIs" dxfId="8772" priority="16181" operator="greaterThan">
      <formula>0</formula>
    </cfRule>
  </conditionalFormatting>
  <conditionalFormatting sqref="JF14:JF19">
    <cfRule type="cellIs" dxfId="8771" priority="16178" operator="lessThan">
      <formula>0</formula>
    </cfRule>
    <cfRule type="cellIs" dxfId="8770" priority="16179" operator="greaterThan">
      <formula>0</formula>
    </cfRule>
  </conditionalFormatting>
  <conditionalFormatting sqref="JF20:JF22">
    <cfRule type="cellIs" dxfId="8769" priority="16176" operator="lessThan">
      <formula>0</formula>
    </cfRule>
    <cfRule type="cellIs" dxfId="8768" priority="16177" operator="greaterThan">
      <formula>0</formula>
    </cfRule>
  </conditionalFormatting>
  <conditionalFormatting sqref="JF45:JF46">
    <cfRule type="cellIs" dxfId="8767" priority="16190" operator="lessThan">
      <formula>0</formula>
    </cfRule>
    <cfRule type="cellIs" dxfId="8766" priority="16191" operator="greaterThan">
      <formula>0</formula>
    </cfRule>
  </conditionalFormatting>
  <conditionalFormatting sqref="JF7">
    <cfRule type="cellIs" dxfId="8765" priority="16162" operator="lessThan">
      <formula>0</formula>
    </cfRule>
    <cfRule type="cellIs" dxfId="8764" priority="16163" operator="greaterThan">
      <formula>0</formula>
    </cfRule>
  </conditionalFormatting>
  <conditionalFormatting sqref="JF7">
    <cfRule type="cellIs" dxfId="8763" priority="16160" operator="lessThan">
      <formula>0</formula>
    </cfRule>
    <cfRule type="cellIs" dxfId="8762" priority="16161" operator="greaterThan">
      <formula>0</formula>
    </cfRule>
  </conditionalFormatting>
  <conditionalFormatting sqref="JF8">
    <cfRule type="cellIs" dxfId="8761" priority="16158" operator="lessThan">
      <formula>0</formula>
    </cfRule>
    <cfRule type="cellIs" dxfId="8760" priority="16159" operator="greaterThan">
      <formula>0</formula>
    </cfRule>
  </conditionalFormatting>
  <conditionalFormatting sqref="JF47">
    <cfRule type="cellIs" dxfId="8759" priority="16156" operator="lessThan">
      <formula>0</formula>
    </cfRule>
    <cfRule type="cellIs" dxfId="8758" priority="16157" operator="greaterThan">
      <formula>0</formula>
    </cfRule>
  </conditionalFormatting>
  <conditionalFormatting sqref="JF44">
    <cfRule type="cellIs" dxfId="8757" priority="16154" operator="lessThan">
      <formula>0</formula>
    </cfRule>
    <cfRule type="cellIs" dxfId="8756" priority="16155" operator="greaterThan">
      <formula>0</formula>
    </cfRule>
  </conditionalFormatting>
  <conditionalFormatting sqref="JF23:JF24">
    <cfRule type="cellIs" dxfId="8755" priority="16150" operator="lessThan">
      <formula>0</formula>
    </cfRule>
    <cfRule type="cellIs" dxfId="8754" priority="16151" operator="greaterThan">
      <formula>0</formula>
    </cfRule>
  </conditionalFormatting>
  <conditionalFormatting sqref="JF33:JF34">
    <cfRule type="cellIs" dxfId="8753" priority="16148" operator="lessThan">
      <formula>0</formula>
    </cfRule>
    <cfRule type="cellIs" dxfId="8752" priority="16149" operator="greaterThan">
      <formula>0</formula>
    </cfRule>
  </conditionalFormatting>
  <conditionalFormatting sqref="JF101">
    <cfRule type="cellIs" dxfId="8751" priority="16140" operator="lessThan">
      <formula>0</formula>
    </cfRule>
    <cfRule type="cellIs" dxfId="8750" priority="16141" operator="greaterThan">
      <formula>0</formula>
    </cfRule>
  </conditionalFormatting>
  <conditionalFormatting sqref="JF104">
    <cfRule type="cellIs" dxfId="8749" priority="16138" operator="lessThan">
      <formula>0</formula>
    </cfRule>
    <cfRule type="cellIs" dxfId="8748" priority="16139" operator="greaterThan">
      <formula>0</formula>
    </cfRule>
  </conditionalFormatting>
  <conditionalFormatting sqref="JF48:JF49">
    <cfRule type="cellIs" dxfId="8747" priority="16104" operator="lessThan">
      <formula>0</formula>
    </cfRule>
    <cfRule type="cellIs" dxfId="8746" priority="16105" operator="greaterThan">
      <formula>0</formula>
    </cfRule>
  </conditionalFormatting>
  <conditionalFormatting sqref="JH98">
    <cfRule type="cellIs" dxfId="8745" priority="16039" operator="lessThan">
      <formula>0</formula>
    </cfRule>
    <cfRule type="cellIs" dxfId="8744" priority="16040" operator="greaterThan">
      <formula>0</formula>
    </cfRule>
  </conditionalFormatting>
  <conditionalFormatting sqref="JH6 JH9:JH11">
    <cfRule type="cellIs" dxfId="8743" priority="16079" operator="lessThan">
      <formula>0</formula>
    </cfRule>
    <cfRule type="cellIs" dxfId="8742" priority="16080" operator="greaterThan">
      <formula>0</formula>
    </cfRule>
  </conditionalFormatting>
  <conditionalFormatting sqref="JH43:JH44">
    <cfRule type="cellIs" dxfId="8741" priority="16043" operator="lessThan">
      <formula>0</formula>
    </cfRule>
    <cfRule type="cellIs" dxfId="8740" priority="16044" operator="greaterThan">
      <formula>0</formula>
    </cfRule>
  </conditionalFormatting>
  <conditionalFormatting sqref="JH11 JH19 JH3 JH24:JH32 JH34:JH42 JH69:JH79">
    <cfRule type="cellIs" dxfId="8739" priority="16089" operator="lessThan">
      <formula>0</formula>
    </cfRule>
    <cfRule type="cellIs" dxfId="8738" priority="16090" operator="greaterThan">
      <formula>0</formula>
    </cfRule>
  </conditionalFormatting>
  <conditionalFormatting sqref="JH4:JH5">
    <cfRule type="cellIs" dxfId="8737" priority="16081" operator="lessThan">
      <formula>0</formula>
    </cfRule>
    <cfRule type="cellIs" dxfId="8736" priority="16082" operator="greaterThan">
      <formula>0</formula>
    </cfRule>
  </conditionalFormatting>
  <conditionalFormatting sqref="JH12:JH13">
    <cfRule type="cellIs" dxfId="8735" priority="16077" operator="lessThan">
      <formula>0</formula>
    </cfRule>
    <cfRule type="cellIs" dxfId="8734" priority="16078" operator="greaterThan">
      <formula>0</formula>
    </cfRule>
  </conditionalFormatting>
  <conditionalFormatting sqref="JH14:JH19">
    <cfRule type="cellIs" dxfId="8733" priority="16075" operator="lessThan">
      <formula>0</formula>
    </cfRule>
    <cfRule type="cellIs" dxfId="8732" priority="16076" operator="greaterThan">
      <formula>0</formula>
    </cfRule>
  </conditionalFormatting>
  <conditionalFormatting sqref="JH20:JH22">
    <cfRule type="cellIs" dxfId="8731" priority="16073" operator="lessThan">
      <formula>0</formula>
    </cfRule>
    <cfRule type="cellIs" dxfId="8730" priority="16074" operator="greaterThan">
      <formula>0</formula>
    </cfRule>
  </conditionalFormatting>
  <conditionalFormatting sqref="JH45:JH46">
    <cfRule type="cellIs" dxfId="8729" priority="16087" operator="lessThan">
      <formula>0</formula>
    </cfRule>
    <cfRule type="cellIs" dxfId="8728" priority="16088" operator="greaterThan">
      <formula>0</formula>
    </cfRule>
  </conditionalFormatting>
  <conditionalFormatting sqref="JH7">
    <cfRule type="cellIs" dxfId="8727" priority="16059" operator="lessThan">
      <formula>0</formula>
    </cfRule>
    <cfRule type="cellIs" dxfId="8726" priority="16060" operator="greaterThan">
      <formula>0</formula>
    </cfRule>
  </conditionalFormatting>
  <conditionalFormatting sqref="JH7">
    <cfRule type="cellIs" dxfId="8725" priority="16057" operator="lessThan">
      <formula>0</formula>
    </cfRule>
    <cfRule type="cellIs" dxfId="8724" priority="16058" operator="greaterThan">
      <formula>0</formula>
    </cfRule>
  </conditionalFormatting>
  <conditionalFormatting sqref="JH8">
    <cfRule type="cellIs" dxfId="8723" priority="16055" operator="lessThan">
      <formula>0</formula>
    </cfRule>
    <cfRule type="cellIs" dxfId="8722" priority="16056" operator="greaterThan">
      <formula>0</formula>
    </cfRule>
  </conditionalFormatting>
  <conditionalFormatting sqref="JH47">
    <cfRule type="cellIs" dxfId="8721" priority="16053" operator="lessThan">
      <formula>0</formula>
    </cfRule>
    <cfRule type="cellIs" dxfId="8720" priority="16054" operator="greaterThan">
      <formula>0</formula>
    </cfRule>
  </conditionalFormatting>
  <conditionalFormatting sqref="JH44">
    <cfRule type="cellIs" dxfId="8719" priority="16051" operator="lessThan">
      <formula>0</formula>
    </cfRule>
    <cfRule type="cellIs" dxfId="8718" priority="16052" operator="greaterThan">
      <formula>0</formula>
    </cfRule>
  </conditionalFormatting>
  <conditionalFormatting sqref="JH23:JH24">
    <cfRule type="cellIs" dxfId="8717" priority="16047" operator="lessThan">
      <formula>0</formula>
    </cfRule>
    <cfRule type="cellIs" dxfId="8716" priority="16048" operator="greaterThan">
      <formula>0</formula>
    </cfRule>
  </conditionalFormatting>
  <conditionalFormatting sqref="JH33:JH34">
    <cfRule type="cellIs" dxfId="8715" priority="16045" operator="lessThan">
      <formula>0</formula>
    </cfRule>
    <cfRule type="cellIs" dxfId="8714" priority="16046" operator="greaterThan">
      <formula>0</formula>
    </cfRule>
  </conditionalFormatting>
  <conditionalFormatting sqref="JH101">
    <cfRule type="cellIs" dxfId="8713" priority="16037" operator="lessThan">
      <formula>0</formula>
    </cfRule>
    <cfRule type="cellIs" dxfId="8712" priority="16038" operator="greaterThan">
      <formula>0</formula>
    </cfRule>
  </conditionalFormatting>
  <conditionalFormatting sqref="JH104">
    <cfRule type="cellIs" dxfId="8711" priority="16035" operator="lessThan">
      <formula>0</formula>
    </cfRule>
    <cfRule type="cellIs" dxfId="8710" priority="16036" operator="greaterThan">
      <formula>0</formula>
    </cfRule>
  </conditionalFormatting>
  <conditionalFormatting sqref="JH48:JH49">
    <cfRule type="cellIs" dxfId="8709" priority="16001" operator="lessThan">
      <formula>0</formula>
    </cfRule>
    <cfRule type="cellIs" dxfId="8708" priority="16002" operator="greaterThan">
      <formula>0</formula>
    </cfRule>
  </conditionalFormatting>
  <conditionalFormatting sqref="JJ98">
    <cfRule type="cellIs" dxfId="8707" priority="15936" operator="lessThan">
      <formula>0</formula>
    </cfRule>
    <cfRule type="cellIs" dxfId="8706" priority="15937" operator="greaterThan">
      <formula>0</formula>
    </cfRule>
  </conditionalFormatting>
  <conditionalFormatting sqref="JJ6 JJ9:JJ11">
    <cfRule type="cellIs" dxfId="8705" priority="15976" operator="lessThan">
      <formula>0</formula>
    </cfRule>
    <cfRule type="cellIs" dxfId="8704" priority="15977" operator="greaterThan">
      <formula>0</formula>
    </cfRule>
  </conditionalFormatting>
  <conditionalFormatting sqref="JJ43:JJ44">
    <cfRule type="cellIs" dxfId="8703" priority="15940" operator="lessThan">
      <formula>0</formula>
    </cfRule>
    <cfRule type="cellIs" dxfId="8702" priority="15941" operator="greaterThan">
      <formula>0</formula>
    </cfRule>
  </conditionalFormatting>
  <conditionalFormatting sqref="JJ11 JJ19 JJ3 JJ24:JJ32 JJ34:JJ42 JJ69:JJ79">
    <cfRule type="cellIs" dxfId="8701" priority="15986" operator="lessThan">
      <formula>0</formula>
    </cfRule>
    <cfRule type="cellIs" dxfId="8700" priority="15987" operator="greaterThan">
      <formula>0</formula>
    </cfRule>
  </conditionalFormatting>
  <conditionalFormatting sqref="JJ4:JJ5">
    <cfRule type="cellIs" dxfId="8699" priority="15978" operator="lessThan">
      <formula>0</formula>
    </cfRule>
    <cfRule type="cellIs" dxfId="8698" priority="15979" operator="greaterThan">
      <formula>0</formula>
    </cfRule>
  </conditionalFormatting>
  <conditionalFormatting sqref="JJ12:JJ13">
    <cfRule type="cellIs" dxfId="8697" priority="15974" operator="lessThan">
      <formula>0</formula>
    </cfRule>
    <cfRule type="cellIs" dxfId="8696" priority="15975" operator="greaterThan">
      <formula>0</formula>
    </cfRule>
  </conditionalFormatting>
  <conditionalFormatting sqref="JJ14:JJ19">
    <cfRule type="cellIs" dxfId="8695" priority="15972" operator="lessThan">
      <formula>0</formula>
    </cfRule>
    <cfRule type="cellIs" dxfId="8694" priority="15973" operator="greaterThan">
      <formula>0</formula>
    </cfRule>
  </conditionalFormatting>
  <conditionalFormatting sqref="JJ20:JJ22">
    <cfRule type="cellIs" dxfId="8693" priority="15970" operator="lessThan">
      <formula>0</formula>
    </cfRule>
    <cfRule type="cellIs" dxfId="8692" priority="15971" operator="greaterThan">
      <formula>0</formula>
    </cfRule>
  </conditionalFormatting>
  <conditionalFormatting sqref="JJ45:JJ46">
    <cfRule type="cellIs" dxfId="8691" priority="15984" operator="lessThan">
      <formula>0</formula>
    </cfRule>
    <cfRule type="cellIs" dxfId="8690" priority="15985" operator="greaterThan">
      <formula>0</formula>
    </cfRule>
  </conditionalFormatting>
  <conditionalFormatting sqref="JJ7">
    <cfRule type="cellIs" dxfId="8689" priority="15956" operator="lessThan">
      <formula>0</formula>
    </cfRule>
    <cfRule type="cellIs" dxfId="8688" priority="15957" operator="greaterThan">
      <formula>0</formula>
    </cfRule>
  </conditionalFormatting>
  <conditionalFormatting sqref="JJ7">
    <cfRule type="cellIs" dxfId="8687" priority="15954" operator="lessThan">
      <formula>0</formula>
    </cfRule>
    <cfRule type="cellIs" dxfId="8686" priority="15955" operator="greaterThan">
      <formula>0</formula>
    </cfRule>
  </conditionalFormatting>
  <conditionalFormatting sqref="JJ8">
    <cfRule type="cellIs" dxfId="8685" priority="15952" operator="lessThan">
      <formula>0</formula>
    </cfRule>
    <cfRule type="cellIs" dxfId="8684" priority="15953" operator="greaterThan">
      <formula>0</formula>
    </cfRule>
  </conditionalFormatting>
  <conditionalFormatting sqref="JJ47">
    <cfRule type="cellIs" dxfId="8683" priority="15950" operator="lessThan">
      <formula>0</formula>
    </cfRule>
    <cfRule type="cellIs" dxfId="8682" priority="15951" operator="greaterThan">
      <formula>0</formula>
    </cfRule>
  </conditionalFormatting>
  <conditionalFormatting sqref="JJ44">
    <cfRule type="cellIs" dxfId="8681" priority="15948" operator="lessThan">
      <formula>0</formula>
    </cfRule>
    <cfRule type="cellIs" dxfId="8680" priority="15949" operator="greaterThan">
      <formula>0</formula>
    </cfRule>
  </conditionalFormatting>
  <conditionalFormatting sqref="JJ23:JJ24">
    <cfRule type="cellIs" dxfId="8679" priority="15944" operator="lessThan">
      <formula>0</formula>
    </cfRule>
    <cfRule type="cellIs" dxfId="8678" priority="15945" operator="greaterThan">
      <formula>0</formula>
    </cfRule>
  </conditionalFormatting>
  <conditionalFormatting sqref="JJ33:JJ34">
    <cfRule type="cellIs" dxfId="8677" priority="15942" operator="lessThan">
      <formula>0</formula>
    </cfRule>
    <cfRule type="cellIs" dxfId="8676" priority="15943" operator="greaterThan">
      <formula>0</formula>
    </cfRule>
  </conditionalFormatting>
  <conditionalFormatting sqref="JJ101">
    <cfRule type="cellIs" dxfId="8675" priority="15934" operator="lessThan">
      <formula>0</formula>
    </cfRule>
    <cfRule type="cellIs" dxfId="8674" priority="15935" operator="greaterThan">
      <formula>0</formula>
    </cfRule>
  </conditionalFormatting>
  <conditionalFormatting sqref="JJ104">
    <cfRule type="cellIs" dxfId="8673" priority="15932" operator="lessThan">
      <formula>0</formula>
    </cfRule>
    <cfRule type="cellIs" dxfId="8672" priority="15933" operator="greaterThan">
      <formula>0</formula>
    </cfRule>
  </conditionalFormatting>
  <conditionalFormatting sqref="JJ48:JJ49">
    <cfRule type="cellIs" dxfId="8671" priority="15898" operator="lessThan">
      <formula>0</formula>
    </cfRule>
    <cfRule type="cellIs" dxfId="8670" priority="15899" operator="greaterThan">
      <formula>0</formula>
    </cfRule>
  </conditionalFormatting>
  <conditionalFormatting sqref="JL98">
    <cfRule type="cellIs" dxfId="8669" priority="15833" operator="lessThan">
      <formula>0</formula>
    </cfRule>
    <cfRule type="cellIs" dxfId="8668" priority="15834" operator="greaterThan">
      <formula>0</formula>
    </cfRule>
  </conditionalFormatting>
  <conditionalFormatting sqref="JL6 JL9:JL11">
    <cfRule type="cellIs" dxfId="8667" priority="15873" operator="lessThan">
      <formula>0</formula>
    </cfRule>
    <cfRule type="cellIs" dxfId="8666" priority="15874" operator="greaterThan">
      <formula>0</formula>
    </cfRule>
  </conditionalFormatting>
  <conditionalFormatting sqref="JL43:JL44">
    <cfRule type="cellIs" dxfId="8665" priority="15837" operator="lessThan">
      <formula>0</formula>
    </cfRule>
    <cfRule type="cellIs" dxfId="8664" priority="15838" operator="greaterThan">
      <formula>0</formula>
    </cfRule>
  </conditionalFormatting>
  <conditionalFormatting sqref="JL11 JL19 JL3 JL24:JL32 JL34:JL42 JL69:JL79">
    <cfRule type="cellIs" dxfId="8663" priority="15883" operator="lessThan">
      <formula>0</formula>
    </cfRule>
    <cfRule type="cellIs" dxfId="8662" priority="15884" operator="greaterThan">
      <formula>0</formula>
    </cfRule>
  </conditionalFormatting>
  <conditionalFormatting sqref="JL4:JL5">
    <cfRule type="cellIs" dxfId="8661" priority="15875" operator="lessThan">
      <formula>0</formula>
    </cfRule>
    <cfRule type="cellIs" dxfId="8660" priority="15876" operator="greaterThan">
      <formula>0</formula>
    </cfRule>
  </conditionalFormatting>
  <conditionalFormatting sqref="JL12:JL13">
    <cfRule type="cellIs" dxfId="8659" priority="15871" operator="lessThan">
      <formula>0</formula>
    </cfRule>
    <cfRule type="cellIs" dxfId="8658" priority="15872" operator="greaterThan">
      <formula>0</formula>
    </cfRule>
  </conditionalFormatting>
  <conditionalFormatting sqref="JL14:JL19">
    <cfRule type="cellIs" dxfId="8657" priority="15869" operator="lessThan">
      <formula>0</formula>
    </cfRule>
    <cfRule type="cellIs" dxfId="8656" priority="15870" operator="greaterThan">
      <formula>0</formula>
    </cfRule>
  </conditionalFormatting>
  <conditionalFormatting sqref="JL20:JL22">
    <cfRule type="cellIs" dxfId="8655" priority="15867" operator="lessThan">
      <formula>0</formula>
    </cfRule>
    <cfRule type="cellIs" dxfId="8654" priority="15868" operator="greaterThan">
      <formula>0</formula>
    </cfRule>
  </conditionalFormatting>
  <conditionalFormatting sqref="JL45:JL46">
    <cfRule type="cellIs" dxfId="8653" priority="15881" operator="lessThan">
      <formula>0</formula>
    </cfRule>
    <cfRule type="cellIs" dxfId="8652" priority="15882" operator="greaterThan">
      <formula>0</formula>
    </cfRule>
  </conditionalFormatting>
  <conditionalFormatting sqref="JL7">
    <cfRule type="cellIs" dxfId="8651" priority="15853" operator="lessThan">
      <formula>0</formula>
    </cfRule>
    <cfRule type="cellIs" dxfId="8650" priority="15854" operator="greaterThan">
      <formula>0</formula>
    </cfRule>
  </conditionalFormatting>
  <conditionalFormatting sqref="JL7">
    <cfRule type="cellIs" dxfId="8649" priority="15851" operator="lessThan">
      <formula>0</formula>
    </cfRule>
    <cfRule type="cellIs" dxfId="8648" priority="15852" operator="greaterThan">
      <formula>0</formula>
    </cfRule>
  </conditionalFormatting>
  <conditionalFormatting sqref="JL8">
    <cfRule type="cellIs" dxfId="8647" priority="15849" operator="lessThan">
      <formula>0</formula>
    </cfRule>
    <cfRule type="cellIs" dxfId="8646" priority="15850" operator="greaterThan">
      <formula>0</formula>
    </cfRule>
  </conditionalFormatting>
  <conditionalFormatting sqref="JL47">
    <cfRule type="cellIs" dxfId="8645" priority="15847" operator="lessThan">
      <formula>0</formula>
    </cfRule>
    <cfRule type="cellIs" dxfId="8644" priority="15848" operator="greaterThan">
      <formula>0</formula>
    </cfRule>
  </conditionalFormatting>
  <conditionalFormatting sqref="JL44">
    <cfRule type="cellIs" dxfId="8643" priority="15845" operator="lessThan">
      <formula>0</formula>
    </cfRule>
    <cfRule type="cellIs" dxfId="8642" priority="15846" operator="greaterThan">
      <formula>0</formula>
    </cfRule>
  </conditionalFormatting>
  <conditionalFormatting sqref="JL23:JL24">
    <cfRule type="cellIs" dxfId="8641" priority="15841" operator="lessThan">
      <formula>0</formula>
    </cfRule>
    <cfRule type="cellIs" dxfId="8640" priority="15842" operator="greaterThan">
      <formula>0</formula>
    </cfRule>
  </conditionalFormatting>
  <conditionalFormatting sqref="JL33:JL34">
    <cfRule type="cellIs" dxfId="8639" priority="15839" operator="lessThan">
      <formula>0</formula>
    </cfRule>
    <cfRule type="cellIs" dxfId="8638" priority="15840" operator="greaterThan">
      <formula>0</formula>
    </cfRule>
  </conditionalFormatting>
  <conditionalFormatting sqref="JL101">
    <cfRule type="cellIs" dxfId="8637" priority="15831" operator="lessThan">
      <formula>0</formula>
    </cfRule>
    <cfRule type="cellIs" dxfId="8636" priority="15832" operator="greaterThan">
      <formula>0</formula>
    </cfRule>
  </conditionalFormatting>
  <conditionalFormatting sqref="JL104">
    <cfRule type="cellIs" dxfId="8635" priority="15829" operator="lessThan">
      <formula>0</formula>
    </cfRule>
    <cfRule type="cellIs" dxfId="8634" priority="15830" operator="greaterThan">
      <formula>0</formula>
    </cfRule>
  </conditionalFormatting>
  <conditionalFormatting sqref="JL48:JL49">
    <cfRule type="cellIs" dxfId="8633" priority="15795" operator="lessThan">
      <formula>0</formula>
    </cfRule>
    <cfRule type="cellIs" dxfId="8632" priority="15796" operator="greaterThan">
      <formula>0</formula>
    </cfRule>
  </conditionalFormatting>
  <conditionalFormatting sqref="JN98">
    <cfRule type="cellIs" dxfId="8631" priority="15730" operator="lessThan">
      <formula>0</formula>
    </cfRule>
    <cfRule type="cellIs" dxfId="8630" priority="15731" operator="greaterThan">
      <formula>0</formula>
    </cfRule>
  </conditionalFormatting>
  <conditionalFormatting sqref="JN6 JN9:JN11">
    <cfRule type="cellIs" dxfId="8629" priority="15770" operator="lessThan">
      <formula>0</formula>
    </cfRule>
    <cfRule type="cellIs" dxfId="8628" priority="15771" operator="greaterThan">
      <formula>0</formula>
    </cfRule>
  </conditionalFormatting>
  <conditionalFormatting sqref="JN43:JN44">
    <cfRule type="cellIs" dxfId="8627" priority="15734" operator="lessThan">
      <formula>0</formula>
    </cfRule>
    <cfRule type="cellIs" dxfId="8626" priority="15735" operator="greaterThan">
      <formula>0</formula>
    </cfRule>
  </conditionalFormatting>
  <conditionalFormatting sqref="JN11 JN19 JN3 JN24:JN32 JN34:JN42 JN69:JN79">
    <cfRule type="cellIs" dxfId="8625" priority="15780" operator="lessThan">
      <formula>0</formula>
    </cfRule>
    <cfRule type="cellIs" dxfId="8624" priority="15781" operator="greaterThan">
      <formula>0</formula>
    </cfRule>
  </conditionalFormatting>
  <conditionalFormatting sqref="JN4:JN5">
    <cfRule type="cellIs" dxfId="8623" priority="15772" operator="lessThan">
      <formula>0</formula>
    </cfRule>
    <cfRule type="cellIs" dxfId="8622" priority="15773" operator="greaterThan">
      <formula>0</formula>
    </cfRule>
  </conditionalFormatting>
  <conditionalFormatting sqref="JN12:JN13">
    <cfRule type="cellIs" dxfId="8621" priority="15768" operator="lessThan">
      <formula>0</formula>
    </cfRule>
    <cfRule type="cellIs" dxfId="8620" priority="15769" operator="greaterThan">
      <formula>0</formula>
    </cfRule>
  </conditionalFormatting>
  <conditionalFormatting sqref="JN14:JN19">
    <cfRule type="cellIs" dxfId="8619" priority="15766" operator="lessThan">
      <formula>0</formula>
    </cfRule>
    <cfRule type="cellIs" dxfId="8618" priority="15767" operator="greaterThan">
      <formula>0</formula>
    </cfRule>
  </conditionalFormatting>
  <conditionalFormatting sqref="JN20:JN22">
    <cfRule type="cellIs" dxfId="8617" priority="15764" operator="lessThan">
      <formula>0</formula>
    </cfRule>
    <cfRule type="cellIs" dxfId="8616" priority="15765" operator="greaterThan">
      <formula>0</formula>
    </cfRule>
  </conditionalFormatting>
  <conditionalFormatting sqref="JN45:JN46">
    <cfRule type="cellIs" dxfId="8615" priority="15778" operator="lessThan">
      <formula>0</formula>
    </cfRule>
    <cfRule type="cellIs" dxfId="8614" priority="15779" operator="greaterThan">
      <formula>0</formula>
    </cfRule>
  </conditionalFormatting>
  <conditionalFormatting sqref="JN7">
    <cfRule type="cellIs" dxfId="8613" priority="15750" operator="lessThan">
      <formula>0</formula>
    </cfRule>
    <cfRule type="cellIs" dxfId="8612" priority="15751" operator="greaterThan">
      <formula>0</formula>
    </cfRule>
  </conditionalFormatting>
  <conditionalFormatting sqref="JN7">
    <cfRule type="cellIs" dxfId="8611" priority="15748" operator="lessThan">
      <formula>0</formula>
    </cfRule>
    <cfRule type="cellIs" dxfId="8610" priority="15749" operator="greaterThan">
      <formula>0</formula>
    </cfRule>
  </conditionalFormatting>
  <conditionalFormatting sqref="JN8">
    <cfRule type="cellIs" dxfId="8609" priority="15746" operator="lessThan">
      <formula>0</formula>
    </cfRule>
    <cfRule type="cellIs" dxfId="8608" priority="15747" operator="greaterThan">
      <formula>0</formula>
    </cfRule>
  </conditionalFormatting>
  <conditionalFormatting sqref="JN47">
    <cfRule type="cellIs" dxfId="8607" priority="15744" operator="lessThan">
      <formula>0</formula>
    </cfRule>
    <cfRule type="cellIs" dxfId="8606" priority="15745" operator="greaterThan">
      <formula>0</formula>
    </cfRule>
  </conditionalFormatting>
  <conditionalFormatting sqref="JN44">
    <cfRule type="cellIs" dxfId="8605" priority="15742" operator="lessThan">
      <formula>0</formula>
    </cfRule>
    <cfRule type="cellIs" dxfId="8604" priority="15743" operator="greaterThan">
      <formula>0</formula>
    </cfRule>
  </conditionalFormatting>
  <conditionalFormatting sqref="JN23:JN24">
    <cfRule type="cellIs" dxfId="8603" priority="15738" operator="lessThan">
      <formula>0</formula>
    </cfRule>
    <cfRule type="cellIs" dxfId="8602" priority="15739" operator="greaterThan">
      <formula>0</formula>
    </cfRule>
  </conditionalFormatting>
  <conditionalFormatting sqref="JN33:JN34">
    <cfRule type="cellIs" dxfId="8601" priority="15736" operator="lessThan">
      <formula>0</formula>
    </cfRule>
    <cfRule type="cellIs" dxfId="8600" priority="15737" operator="greaterThan">
      <formula>0</formula>
    </cfRule>
  </conditionalFormatting>
  <conditionalFormatting sqref="JN101">
    <cfRule type="cellIs" dxfId="8599" priority="15728" operator="lessThan">
      <formula>0</formula>
    </cfRule>
    <cfRule type="cellIs" dxfId="8598" priority="15729" operator="greaterThan">
      <formula>0</formula>
    </cfRule>
  </conditionalFormatting>
  <conditionalFormatting sqref="JN104">
    <cfRule type="cellIs" dxfId="8597" priority="15726" operator="lessThan">
      <formula>0</formula>
    </cfRule>
    <cfRule type="cellIs" dxfId="8596" priority="15727" operator="greaterThan">
      <formula>0</formula>
    </cfRule>
  </conditionalFormatting>
  <conditionalFormatting sqref="JN48:JN49">
    <cfRule type="cellIs" dxfId="8595" priority="15692" operator="lessThan">
      <formula>0</formula>
    </cfRule>
    <cfRule type="cellIs" dxfId="8594" priority="15693" operator="greaterThan">
      <formula>0</formula>
    </cfRule>
  </conditionalFormatting>
  <conditionalFormatting sqref="JP98">
    <cfRule type="cellIs" dxfId="8593" priority="15627" operator="lessThan">
      <formula>0</formula>
    </cfRule>
    <cfRule type="cellIs" dxfId="8592" priority="15628" operator="greaterThan">
      <formula>0</formula>
    </cfRule>
  </conditionalFormatting>
  <conditionalFormatting sqref="JP6 JP9:JP11">
    <cfRule type="cellIs" dxfId="8591" priority="15667" operator="lessThan">
      <formula>0</formula>
    </cfRule>
    <cfRule type="cellIs" dxfId="8590" priority="15668" operator="greaterThan">
      <formula>0</formula>
    </cfRule>
  </conditionalFormatting>
  <conditionalFormatting sqref="JP43:JP44">
    <cfRule type="cellIs" dxfId="8589" priority="15631" operator="lessThan">
      <formula>0</formula>
    </cfRule>
    <cfRule type="cellIs" dxfId="8588" priority="15632" operator="greaterThan">
      <formula>0</formula>
    </cfRule>
  </conditionalFormatting>
  <conditionalFormatting sqref="JP11 JP19 JP3 JP24:JP32 JP34:JP42 JP69:JP79">
    <cfRule type="cellIs" dxfId="8587" priority="15677" operator="lessThan">
      <formula>0</formula>
    </cfRule>
    <cfRule type="cellIs" dxfId="8586" priority="15678" operator="greaterThan">
      <formula>0</formula>
    </cfRule>
  </conditionalFormatting>
  <conditionalFormatting sqref="JP4:JP5">
    <cfRule type="cellIs" dxfId="8585" priority="15669" operator="lessThan">
      <formula>0</formula>
    </cfRule>
    <cfRule type="cellIs" dxfId="8584" priority="15670" operator="greaterThan">
      <formula>0</formula>
    </cfRule>
  </conditionalFormatting>
  <conditionalFormatting sqref="JP12:JP13">
    <cfRule type="cellIs" dxfId="8583" priority="15665" operator="lessThan">
      <formula>0</formula>
    </cfRule>
    <cfRule type="cellIs" dxfId="8582" priority="15666" operator="greaterThan">
      <formula>0</formula>
    </cfRule>
  </conditionalFormatting>
  <conditionalFormatting sqref="JP14:JP19">
    <cfRule type="cellIs" dxfId="8581" priority="15663" operator="lessThan">
      <formula>0</formula>
    </cfRule>
    <cfRule type="cellIs" dxfId="8580" priority="15664" operator="greaterThan">
      <formula>0</formula>
    </cfRule>
  </conditionalFormatting>
  <conditionalFormatting sqref="JP20:JP22">
    <cfRule type="cellIs" dxfId="8579" priority="15661" operator="lessThan">
      <formula>0</formula>
    </cfRule>
    <cfRule type="cellIs" dxfId="8578" priority="15662" operator="greaterThan">
      <formula>0</formula>
    </cfRule>
  </conditionalFormatting>
  <conditionalFormatting sqref="JP45:JP46">
    <cfRule type="cellIs" dxfId="8577" priority="15675" operator="lessThan">
      <formula>0</formula>
    </cfRule>
    <cfRule type="cellIs" dxfId="8576" priority="15676" operator="greaterThan">
      <formula>0</formula>
    </cfRule>
  </conditionalFormatting>
  <conditionalFormatting sqref="JP7">
    <cfRule type="cellIs" dxfId="8575" priority="15647" operator="lessThan">
      <formula>0</formula>
    </cfRule>
    <cfRule type="cellIs" dxfId="8574" priority="15648" operator="greaterThan">
      <formula>0</formula>
    </cfRule>
  </conditionalFormatting>
  <conditionalFormatting sqref="JP7">
    <cfRule type="cellIs" dxfId="8573" priority="15645" operator="lessThan">
      <formula>0</formula>
    </cfRule>
    <cfRule type="cellIs" dxfId="8572" priority="15646" operator="greaterThan">
      <formula>0</formula>
    </cfRule>
  </conditionalFormatting>
  <conditionalFormatting sqref="JP8">
    <cfRule type="cellIs" dxfId="8571" priority="15643" operator="lessThan">
      <formula>0</formula>
    </cfRule>
    <cfRule type="cellIs" dxfId="8570" priority="15644" operator="greaterThan">
      <formula>0</formula>
    </cfRule>
  </conditionalFormatting>
  <conditionalFormatting sqref="JP47">
    <cfRule type="cellIs" dxfId="8569" priority="15641" operator="lessThan">
      <formula>0</formula>
    </cfRule>
    <cfRule type="cellIs" dxfId="8568" priority="15642" operator="greaterThan">
      <formula>0</formula>
    </cfRule>
  </conditionalFormatting>
  <conditionalFormatting sqref="JP44">
    <cfRule type="cellIs" dxfId="8567" priority="15639" operator="lessThan">
      <formula>0</formula>
    </cfRule>
    <cfRule type="cellIs" dxfId="8566" priority="15640" operator="greaterThan">
      <formula>0</formula>
    </cfRule>
  </conditionalFormatting>
  <conditionalFormatting sqref="JP23:JP24">
    <cfRule type="cellIs" dxfId="8565" priority="15635" operator="lessThan">
      <formula>0</formula>
    </cfRule>
    <cfRule type="cellIs" dxfId="8564" priority="15636" operator="greaterThan">
      <formula>0</formula>
    </cfRule>
  </conditionalFormatting>
  <conditionalFormatting sqref="JP33:JP34">
    <cfRule type="cellIs" dxfId="8563" priority="15633" operator="lessThan">
      <formula>0</formula>
    </cfRule>
    <cfRule type="cellIs" dxfId="8562" priority="15634" operator="greaterThan">
      <formula>0</formula>
    </cfRule>
  </conditionalFormatting>
  <conditionalFormatting sqref="JP101">
    <cfRule type="cellIs" dxfId="8561" priority="15625" operator="lessThan">
      <formula>0</formula>
    </cfRule>
    <cfRule type="cellIs" dxfId="8560" priority="15626" operator="greaterThan">
      <formula>0</formula>
    </cfRule>
  </conditionalFormatting>
  <conditionalFormatting sqref="JP104">
    <cfRule type="cellIs" dxfId="8559" priority="15623" operator="lessThan">
      <formula>0</formula>
    </cfRule>
    <cfRule type="cellIs" dxfId="8558" priority="15624" operator="greaterThan">
      <formula>0</formula>
    </cfRule>
  </conditionalFormatting>
  <conditionalFormatting sqref="JP48:JP49">
    <cfRule type="cellIs" dxfId="8557" priority="15589" operator="lessThan">
      <formula>0</formula>
    </cfRule>
    <cfRule type="cellIs" dxfId="8556" priority="15590" operator="greaterThan">
      <formula>0</formula>
    </cfRule>
  </conditionalFormatting>
  <conditionalFormatting sqref="JR98">
    <cfRule type="cellIs" dxfId="8555" priority="15524" operator="lessThan">
      <formula>0</formula>
    </cfRule>
    <cfRule type="cellIs" dxfId="8554" priority="15525" operator="greaterThan">
      <formula>0</formula>
    </cfRule>
  </conditionalFormatting>
  <conditionalFormatting sqref="JR6 JR9:JR11">
    <cfRule type="cellIs" dxfId="8553" priority="15564" operator="lessThan">
      <formula>0</formula>
    </cfRule>
    <cfRule type="cellIs" dxfId="8552" priority="15565" operator="greaterThan">
      <formula>0</formula>
    </cfRule>
  </conditionalFormatting>
  <conditionalFormatting sqref="JR43:JR44">
    <cfRule type="cellIs" dxfId="8551" priority="15528" operator="lessThan">
      <formula>0</formula>
    </cfRule>
    <cfRule type="cellIs" dxfId="8550" priority="15529" operator="greaterThan">
      <formula>0</formula>
    </cfRule>
  </conditionalFormatting>
  <conditionalFormatting sqref="JR11 JR19 JR3 JR24:JR32 JR34:JR42 JR69:JR79">
    <cfRule type="cellIs" dxfId="8549" priority="15574" operator="lessThan">
      <formula>0</formula>
    </cfRule>
    <cfRule type="cellIs" dxfId="8548" priority="15575" operator="greaterThan">
      <formula>0</formula>
    </cfRule>
  </conditionalFormatting>
  <conditionalFormatting sqref="JR4:JR5">
    <cfRule type="cellIs" dxfId="8547" priority="15566" operator="lessThan">
      <formula>0</formula>
    </cfRule>
    <cfRule type="cellIs" dxfId="8546" priority="15567" operator="greaterThan">
      <formula>0</formula>
    </cfRule>
  </conditionalFormatting>
  <conditionalFormatting sqref="JR12:JR13">
    <cfRule type="cellIs" dxfId="8545" priority="15562" operator="lessThan">
      <formula>0</formula>
    </cfRule>
    <cfRule type="cellIs" dxfId="8544" priority="15563" operator="greaterThan">
      <formula>0</formula>
    </cfRule>
  </conditionalFormatting>
  <conditionalFormatting sqref="JR14:JR19">
    <cfRule type="cellIs" dxfId="8543" priority="15560" operator="lessThan">
      <formula>0</formula>
    </cfRule>
    <cfRule type="cellIs" dxfId="8542" priority="15561" operator="greaterThan">
      <formula>0</formula>
    </cfRule>
  </conditionalFormatting>
  <conditionalFormatting sqref="JR20:JR22">
    <cfRule type="cellIs" dxfId="8541" priority="15558" operator="lessThan">
      <formula>0</formula>
    </cfRule>
    <cfRule type="cellIs" dxfId="8540" priority="15559" operator="greaterThan">
      <formula>0</formula>
    </cfRule>
  </conditionalFormatting>
  <conditionalFormatting sqref="JR45:JR46">
    <cfRule type="cellIs" dxfId="8539" priority="15572" operator="lessThan">
      <formula>0</formula>
    </cfRule>
    <cfRule type="cellIs" dxfId="8538" priority="15573" operator="greaterThan">
      <formula>0</formula>
    </cfRule>
  </conditionalFormatting>
  <conditionalFormatting sqref="JR7">
    <cfRule type="cellIs" dxfId="8537" priority="15544" operator="lessThan">
      <formula>0</formula>
    </cfRule>
    <cfRule type="cellIs" dxfId="8536" priority="15545" operator="greaterThan">
      <formula>0</formula>
    </cfRule>
  </conditionalFormatting>
  <conditionalFormatting sqref="JR7">
    <cfRule type="cellIs" dxfId="8535" priority="15542" operator="lessThan">
      <formula>0</formula>
    </cfRule>
    <cfRule type="cellIs" dxfId="8534" priority="15543" operator="greaterThan">
      <formula>0</formula>
    </cfRule>
  </conditionalFormatting>
  <conditionalFormatting sqref="JR8">
    <cfRule type="cellIs" dxfId="8533" priority="15540" operator="lessThan">
      <formula>0</formula>
    </cfRule>
    <cfRule type="cellIs" dxfId="8532" priority="15541" operator="greaterThan">
      <formula>0</formula>
    </cfRule>
  </conditionalFormatting>
  <conditionalFormatting sqref="JR47">
    <cfRule type="cellIs" dxfId="8531" priority="15538" operator="lessThan">
      <formula>0</formula>
    </cfRule>
    <cfRule type="cellIs" dxfId="8530" priority="15539" operator="greaterThan">
      <formula>0</formula>
    </cfRule>
  </conditionalFormatting>
  <conditionalFormatting sqref="JR44">
    <cfRule type="cellIs" dxfId="8529" priority="15536" operator="lessThan">
      <formula>0</formula>
    </cfRule>
    <cfRule type="cellIs" dxfId="8528" priority="15537" operator="greaterThan">
      <formula>0</formula>
    </cfRule>
  </conditionalFormatting>
  <conditionalFormatting sqref="JR23:JR24">
    <cfRule type="cellIs" dxfId="8527" priority="15532" operator="lessThan">
      <formula>0</formula>
    </cfRule>
    <cfRule type="cellIs" dxfId="8526" priority="15533" operator="greaterThan">
      <formula>0</formula>
    </cfRule>
  </conditionalFormatting>
  <conditionalFormatting sqref="JR33:JR34">
    <cfRule type="cellIs" dxfId="8525" priority="15530" operator="lessThan">
      <formula>0</formula>
    </cfRule>
    <cfRule type="cellIs" dxfId="8524" priority="15531" operator="greaterThan">
      <formula>0</formula>
    </cfRule>
  </conditionalFormatting>
  <conditionalFormatting sqref="JR101">
    <cfRule type="cellIs" dxfId="8523" priority="15522" operator="lessThan">
      <formula>0</formula>
    </cfRule>
    <cfRule type="cellIs" dxfId="8522" priority="15523" operator="greaterThan">
      <formula>0</formula>
    </cfRule>
  </conditionalFormatting>
  <conditionalFormatting sqref="JR104">
    <cfRule type="cellIs" dxfId="8521" priority="15520" operator="lessThan">
      <formula>0</formula>
    </cfRule>
    <cfRule type="cellIs" dxfId="8520" priority="15521" operator="greaterThan">
      <formula>0</formula>
    </cfRule>
  </conditionalFormatting>
  <conditionalFormatting sqref="JR48:JR49">
    <cfRule type="cellIs" dxfId="8519" priority="15486" operator="lessThan">
      <formula>0</formula>
    </cfRule>
    <cfRule type="cellIs" dxfId="8518" priority="15487" operator="greaterThan">
      <formula>0</formula>
    </cfRule>
  </conditionalFormatting>
  <conditionalFormatting sqref="JT98">
    <cfRule type="cellIs" dxfId="8517" priority="15421" operator="lessThan">
      <formula>0</formula>
    </cfRule>
    <cfRule type="cellIs" dxfId="8516" priority="15422" operator="greaterThan">
      <formula>0</formula>
    </cfRule>
  </conditionalFormatting>
  <conditionalFormatting sqref="JT6 JT9:JT11">
    <cfRule type="cellIs" dxfId="8515" priority="15461" operator="lessThan">
      <formula>0</formula>
    </cfRule>
    <cfRule type="cellIs" dxfId="8514" priority="15462" operator="greaterThan">
      <formula>0</formula>
    </cfRule>
  </conditionalFormatting>
  <conditionalFormatting sqref="JT43:JT44">
    <cfRule type="cellIs" dxfId="8513" priority="15425" operator="lessThan">
      <formula>0</formula>
    </cfRule>
    <cfRule type="cellIs" dxfId="8512" priority="15426" operator="greaterThan">
      <formula>0</formula>
    </cfRule>
  </conditionalFormatting>
  <conditionalFormatting sqref="JT11 JT19 JT3 JT24:JT32 JT34:JT42 JT69:JT79">
    <cfRule type="cellIs" dxfId="8511" priority="15471" operator="lessThan">
      <formula>0</formula>
    </cfRule>
    <cfRule type="cellIs" dxfId="8510" priority="15472" operator="greaterThan">
      <formula>0</formula>
    </cfRule>
  </conditionalFormatting>
  <conditionalFormatting sqref="JT4:JT5">
    <cfRule type="cellIs" dxfId="8509" priority="15463" operator="lessThan">
      <formula>0</formula>
    </cfRule>
    <cfRule type="cellIs" dxfId="8508" priority="15464" operator="greaterThan">
      <formula>0</formula>
    </cfRule>
  </conditionalFormatting>
  <conditionalFormatting sqref="JT12:JT13">
    <cfRule type="cellIs" dxfId="8507" priority="15459" operator="lessThan">
      <formula>0</formula>
    </cfRule>
    <cfRule type="cellIs" dxfId="8506" priority="15460" operator="greaterThan">
      <formula>0</formula>
    </cfRule>
  </conditionalFormatting>
  <conditionalFormatting sqref="JT14:JT19">
    <cfRule type="cellIs" dxfId="8505" priority="15457" operator="lessThan">
      <formula>0</formula>
    </cfRule>
    <cfRule type="cellIs" dxfId="8504" priority="15458" operator="greaterThan">
      <formula>0</formula>
    </cfRule>
  </conditionalFormatting>
  <conditionalFormatting sqref="JT20:JT22">
    <cfRule type="cellIs" dxfId="8503" priority="15455" operator="lessThan">
      <formula>0</formula>
    </cfRule>
    <cfRule type="cellIs" dxfId="8502" priority="15456" operator="greaterThan">
      <formula>0</formula>
    </cfRule>
  </conditionalFormatting>
  <conditionalFormatting sqref="JT45:JT46">
    <cfRule type="cellIs" dxfId="8501" priority="15469" operator="lessThan">
      <formula>0</formula>
    </cfRule>
    <cfRule type="cellIs" dxfId="8500" priority="15470" operator="greaterThan">
      <formula>0</formula>
    </cfRule>
  </conditionalFormatting>
  <conditionalFormatting sqref="JT7">
    <cfRule type="cellIs" dxfId="8499" priority="15441" operator="lessThan">
      <formula>0</formula>
    </cfRule>
    <cfRule type="cellIs" dxfId="8498" priority="15442" operator="greaterThan">
      <formula>0</formula>
    </cfRule>
  </conditionalFormatting>
  <conditionalFormatting sqref="JT7">
    <cfRule type="cellIs" dxfId="8497" priority="15439" operator="lessThan">
      <formula>0</formula>
    </cfRule>
    <cfRule type="cellIs" dxfId="8496" priority="15440" operator="greaterThan">
      <formula>0</formula>
    </cfRule>
  </conditionalFormatting>
  <conditionalFormatting sqref="JT8">
    <cfRule type="cellIs" dxfId="8495" priority="15437" operator="lessThan">
      <formula>0</formula>
    </cfRule>
    <cfRule type="cellIs" dxfId="8494" priority="15438" operator="greaterThan">
      <formula>0</formula>
    </cfRule>
  </conditionalFormatting>
  <conditionalFormatting sqref="JT47">
    <cfRule type="cellIs" dxfId="8493" priority="15435" operator="lessThan">
      <formula>0</formula>
    </cfRule>
    <cfRule type="cellIs" dxfId="8492" priority="15436" operator="greaterThan">
      <formula>0</formula>
    </cfRule>
  </conditionalFormatting>
  <conditionalFormatting sqref="JT44">
    <cfRule type="cellIs" dxfId="8491" priority="15433" operator="lessThan">
      <formula>0</formula>
    </cfRule>
    <cfRule type="cellIs" dxfId="8490" priority="15434" operator="greaterThan">
      <formula>0</formula>
    </cfRule>
  </conditionalFormatting>
  <conditionalFormatting sqref="JT23:JT24">
    <cfRule type="cellIs" dxfId="8489" priority="15429" operator="lessThan">
      <formula>0</formula>
    </cfRule>
    <cfRule type="cellIs" dxfId="8488" priority="15430" operator="greaterThan">
      <formula>0</formula>
    </cfRule>
  </conditionalFormatting>
  <conditionalFormatting sqref="JT33:JT34">
    <cfRule type="cellIs" dxfId="8487" priority="15427" operator="lessThan">
      <formula>0</formula>
    </cfRule>
    <cfRule type="cellIs" dxfId="8486" priority="15428" operator="greaterThan">
      <formula>0</formula>
    </cfRule>
  </conditionalFormatting>
  <conditionalFormatting sqref="JT101">
    <cfRule type="cellIs" dxfId="8485" priority="15419" operator="lessThan">
      <formula>0</formula>
    </cfRule>
    <cfRule type="cellIs" dxfId="8484" priority="15420" operator="greaterThan">
      <formula>0</formula>
    </cfRule>
  </conditionalFormatting>
  <conditionalFormatting sqref="JT104">
    <cfRule type="cellIs" dxfId="8483" priority="15417" operator="lessThan">
      <formula>0</formula>
    </cfRule>
    <cfRule type="cellIs" dxfId="8482" priority="15418" operator="greaterThan">
      <formula>0</formula>
    </cfRule>
  </conditionalFormatting>
  <conditionalFormatting sqref="JT48:JT49">
    <cfRule type="cellIs" dxfId="8481" priority="15383" operator="lessThan">
      <formula>0</formula>
    </cfRule>
    <cfRule type="cellIs" dxfId="8480" priority="15384" operator="greaterThan">
      <formula>0</formula>
    </cfRule>
  </conditionalFormatting>
  <conditionalFormatting sqref="JV98">
    <cfRule type="cellIs" dxfId="8479" priority="15318" operator="lessThan">
      <formula>0</formula>
    </cfRule>
    <cfRule type="cellIs" dxfId="8478" priority="15319" operator="greaterThan">
      <formula>0</formula>
    </cfRule>
  </conditionalFormatting>
  <conditionalFormatting sqref="JV6 JV9:JV11">
    <cfRule type="cellIs" dxfId="8477" priority="15358" operator="lessThan">
      <formula>0</formula>
    </cfRule>
    <cfRule type="cellIs" dxfId="8476" priority="15359" operator="greaterThan">
      <formula>0</formula>
    </cfRule>
  </conditionalFormatting>
  <conditionalFormatting sqref="JV43:JV44">
    <cfRule type="cellIs" dxfId="8475" priority="15322" operator="lessThan">
      <formula>0</formula>
    </cfRule>
    <cfRule type="cellIs" dxfId="8474" priority="15323" operator="greaterThan">
      <formula>0</formula>
    </cfRule>
  </conditionalFormatting>
  <conditionalFormatting sqref="JV11 JV19 JV3 JV24:JV32 JV34:JV42 JV69:JV79">
    <cfRule type="cellIs" dxfId="8473" priority="15368" operator="lessThan">
      <formula>0</formula>
    </cfRule>
    <cfRule type="cellIs" dxfId="8472" priority="15369" operator="greaterThan">
      <formula>0</formula>
    </cfRule>
  </conditionalFormatting>
  <conditionalFormatting sqref="JV4:JV5">
    <cfRule type="cellIs" dxfId="8471" priority="15360" operator="lessThan">
      <formula>0</formula>
    </cfRule>
    <cfRule type="cellIs" dxfId="8470" priority="15361" operator="greaterThan">
      <formula>0</formula>
    </cfRule>
  </conditionalFormatting>
  <conditionalFormatting sqref="JV12:JV13">
    <cfRule type="cellIs" dxfId="8469" priority="15356" operator="lessThan">
      <formula>0</formula>
    </cfRule>
    <cfRule type="cellIs" dxfId="8468" priority="15357" operator="greaterThan">
      <formula>0</formula>
    </cfRule>
  </conditionalFormatting>
  <conditionalFormatting sqref="JV14:JV19">
    <cfRule type="cellIs" dxfId="8467" priority="15354" operator="lessThan">
      <formula>0</formula>
    </cfRule>
    <cfRule type="cellIs" dxfId="8466" priority="15355" operator="greaterThan">
      <formula>0</formula>
    </cfRule>
  </conditionalFormatting>
  <conditionalFormatting sqref="JV20:JV22">
    <cfRule type="cellIs" dxfId="8465" priority="15352" operator="lessThan">
      <formula>0</formula>
    </cfRule>
    <cfRule type="cellIs" dxfId="8464" priority="15353" operator="greaterThan">
      <formula>0</formula>
    </cfRule>
  </conditionalFormatting>
  <conditionalFormatting sqref="JV45:JV46">
    <cfRule type="cellIs" dxfId="8463" priority="15366" operator="lessThan">
      <formula>0</formula>
    </cfRule>
    <cfRule type="cellIs" dxfId="8462" priority="15367" operator="greaterThan">
      <formula>0</formula>
    </cfRule>
  </conditionalFormatting>
  <conditionalFormatting sqref="JV7">
    <cfRule type="cellIs" dxfId="8461" priority="15338" operator="lessThan">
      <formula>0</formula>
    </cfRule>
    <cfRule type="cellIs" dxfId="8460" priority="15339" operator="greaterThan">
      <formula>0</formula>
    </cfRule>
  </conditionalFormatting>
  <conditionalFormatting sqref="JV7">
    <cfRule type="cellIs" dxfId="8459" priority="15336" operator="lessThan">
      <formula>0</formula>
    </cfRule>
    <cfRule type="cellIs" dxfId="8458" priority="15337" operator="greaterThan">
      <formula>0</formula>
    </cfRule>
  </conditionalFormatting>
  <conditionalFormatting sqref="JV8">
    <cfRule type="cellIs" dxfId="8457" priority="15334" operator="lessThan">
      <formula>0</formula>
    </cfRule>
    <cfRule type="cellIs" dxfId="8456" priority="15335" operator="greaterThan">
      <formula>0</formula>
    </cfRule>
  </conditionalFormatting>
  <conditionalFormatting sqref="JV47">
    <cfRule type="cellIs" dxfId="8455" priority="15332" operator="lessThan">
      <formula>0</formula>
    </cfRule>
    <cfRule type="cellIs" dxfId="8454" priority="15333" operator="greaterThan">
      <formula>0</formula>
    </cfRule>
  </conditionalFormatting>
  <conditionalFormatting sqref="JV44">
    <cfRule type="cellIs" dxfId="8453" priority="15330" operator="lessThan">
      <formula>0</formula>
    </cfRule>
    <cfRule type="cellIs" dxfId="8452" priority="15331" operator="greaterThan">
      <formula>0</formula>
    </cfRule>
  </conditionalFormatting>
  <conditionalFormatting sqref="JV23:JV24">
    <cfRule type="cellIs" dxfId="8451" priority="15326" operator="lessThan">
      <formula>0</formula>
    </cfRule>
    <cfRule type="cellIs" dxfId="8450" priority="15327" operator="greaterThan">
      <formula>0</formula>
    </cfRule>
  </conditionalFormatting>
  <conditionalFormatting sqref="JV33:JV34">
    <cfRule type="cellIs" dxfId="8449" priority="15324" operator="lessThan">
      <formula>0</formula>
    </cfRule>
    <cfRule type="cellIs" dxfId="8448" priority="15325" operator="greaterThan">
      <formula>0</formula>
    </cfRule>
  </conditionalFormatting>
  <conditionalFormatting sqref="JV101">
    <cfRule type="cellIs" dxfId="8447" priority="15316" operator="lessThan">
      <formula>0</formula>
    </cfRule>
    <cfRule type="cellIs" dxfId="8446" priority="15317" operator="greaterThan">
      <formula>0</formula>
    </cfRule>
  </conditionalFormatting>
  <conditionalFormatting sqref="JV104">
    <cfRule type="cellIs" dxfId="8445" priority="15314" operator="lessThan">
      <formula>0</formula>
    </cfRule>
    <cfRule type="cellIs" dxfId="8444" priority="15315" operator="greaterThan">
      <formula>0</formula>
    </cfRule>
  </conditionalFormatting>
  <conditionalFormatting sqref="JV48:JV49">
    <cfRule type="cellIs" dxfId="8443" priority="15280" operator="lessThan">
      <formula>0</formula>
    </cfRule>
    <cfRule type="cellIs" dxfId="8442" priority="15281" operator="greaterThan">
      <formula>0</formula>
    </cfRule>
  </conditionalFormatting>
  <conditionalFormatting sqref="JX98">
    <cfRule type="cellIs" dxfId="8441" priority="15215" operator="lessThan">
      <formula>0</formula>
    </cfRule>
    <cfRule type="cellIs" dxfId="8440" priority="15216" operator="greaterThan">
      <formula>0</formula>
    </cfRule>
  </conditionalFormatting>
  <conditionalFormatting sqref="JX6 JX9:JX11">
    <cfRule type="cellIs" dxfId="8439" priority="15255" operator="lessThan">
      <formula>0</formula>
    </cfRule>
    <cfRule type="cellIs" dxfId="8438" priority="15256" operator="greaterThan">
      <formula>0</formula>
    </cfRule>
  </conditionalFormatting>
  <conditionalFormatting sqref="JX43:JX44">
    <cfRule type="cellIs" dxfId="8437" priority="15219" operator="lessThan">
      <formula>0</formula>
    </cfRule>
    <cfRule type="cellIs" dxfId="8436" priority="15220" operator="greaterThan">
      <formula>0</formula>
    </cfRule>
  </conditionalFormatting>
  <conditionalFormatting sqref="JX11 JX19 JX3 JX24:JX32 JX34:JX42 JX69:JX79">
    <cfRule type="cellIs" dxfId="8435" priority="15265" operator="lessThan">
      <formula>0</formula>
    </cfRule>
    <cfRule type="cellIs" dxfId="8434" priority="15266" operator="greaterThan">
      <formula>0</formula>
    </cfRule>
  </conditionalFormatting>
  <conditionalFormatting sqref="JX4:JX5">
    <cfRule type="cellIs" dxfId="8433" priority="15257" operator="lessThan">
      <formula>0</formula>
    </cfRule>
    <cfRule type="cellIs" dxfId="8432" priority="15258" operator="greaterThan">
      <formula>0</formula>
    </cfRule>
  </conditionalFormatting>
  <conditionalFormatting sqref="JX12:JX13">
    <cfRule type="cellIs" dxfId="8431" priority="15253" operator="lessThan">
      <formula>0</formula>
    </cfRule>
    <cfRule type="cellIs" dxfId="8430" priority="15254" operator="greaterThan">
      <formula>0</formula>
    </cfRule>
  </conditionalFormatting>
  <conditionalFormatting sqref="JX14:JX19">
    <cfRule type="cellIs" dxfId="8429" priority="15251" operator="lessThan">
      <formula>0</formula>
    </cfRule>
    <cfRule type="cellIs" dxfId="8428" priority="15252" operator="greaterThan">
      <formula>0</formula>
    </cfRule>
  </conditionalFormatting>
  <conditionalFormatting sqref="JX20:JX22">
    <cfRule type="cellIs" dxfId="8427" priority="15249" operator="lessThan">
      <formula>0</formula>
    </cfRule>
    <cfRule type="cellIs" dxfId="8426" priority="15250" operator="greaterThan">
      <formula>0</formula>
    </cfRule>
  </conditionalFormatting>
  <conditionalFormatting sqref="JX45:JX46">
    <cfRule type="cellIs" dxfId="8425" priority="15263" operator="lessThan">
      <formula>0</formula>
    </cfRule>
    <cfRule type="cellIs" dxfId="8424" priority="15264" operator="greaterThan">
      <formula>0</formula>
    </cfRule>
  </conditionalFormatting>
  <conditionalFormatting sqref="JX7">
    <cfRule type="cellIs" dxfId="8423" priority="15235" operator="lessThan">
      <formula>0</formula>
    </cfRule>
    <cfRule type="cellIs" dxfId="8422" priority="15236" operator="greaterThan">
      <formula>0</formula>
    </cfRule>
  </conditionalFormatting>
  <conditionalFormatting sqref="JX7">
    <cfRule type="cellIs" dxfId="8421" priority="15233" operator="lessThan">
      <formula>0</formula>
    </cfRule>
    <cfRule type="cellIs" dxfId="8420" priority="15234" operator="greaterThan">
      <formula>0</formula>
    </cfRule>
  </conditionalFormatting>
  <conditionalFormatting sqref="JX8">
    <cfRule type="cellIs" dxfId="8419" priority="15231" operator="lessThan">
      <formula>0</formula>
    </cfRule>
    <cfRule type="cellIs" dxfId="8418" priority="15232" operator="greaterThan">
      <formula>0</formula>
    </cfRule>
  </conditionalFormatting>
  <conditionalFormatting sqref="JX47">
    <cfRule type="cellIs" dxfId="8417" priority="15229" operator="lessThan">
      <formula>0</formula>
    </cfRule>
    <cfRule type="cellIs" dxfId="8416" priority="15230" operator="greaterThan">
      <formula>0</formula>
    </cfRule>
  </conditionalFormatting>
  <conditionalFormatting sqref="JX44">
    <cfRule type="cellIs" dxfId="8415" priority="15227" operator="lessThan">
      <formula>0</formula>
    </cfRule>
    <cfRule type="cellIs" dxfId="8414" priority="15228" operator="greaterThan">
      <formula>0</formula>
    </cfRule>
  </conditionalFormatting>
  <conditionalFormatting sqref="JX23:JX24">
    <cfRule type="cellIs" dxfId="8413" priority="15223" operator="lessThan">
      <formula>0</formula>
    </cfRule>
    <cfRule type="cellIs" dxfId="8412" priority="15224" operator="greaterThan">
      <formula>0</formula>
    </cfRule>
  </conditionalFormatting>
  <conditionalFormatting sqref="JX33:JX34">
    <cfRule type="cellIs" dxfId="8411" priority="15221" operator="lessThan">
      <formula>0</formula>
    </cfRule>
    <cfRule type="cellIs" dxfId="8410" priority="15222" operator="greaterThan">
      <formula>0</formula>
    </cfRule>
  </conditionalFormatting>
  <conditionalFormatting sqref="JX101">
    <cfRule type="cellIs" dxfId="8409" priority="15213" operator="lessThan">
      <formula>0</formula>
    </cfRule>
    <cfRule type="cellIs" dxfId="8408" priority="15214" operator="greaterThan">
      <formula>0</formula>
    </cfRule>
  </conditionalFormatting>
  <conditionalFormatting sqref="JX104">
    <cfRule type="cellIs" dxfId="8407" priority="15211" operator="lessThan">
      <formula>0</formula>
    </cfRule>
    <cfRule type="cellIs" dxfId="8406" priority="15212" operator="greaterThan">
      <formula>0</formula>
    </cfRule>
  </conditionalFormatting>
  <conditionalFormatting sqref="JX48:JX49">
    <cfRule type="cellIs" dxfId="8405" priority="15177" operator="lessThan">
      <formula>0</formula>
    </cfRule>
    <cfRule type="cellIs" dxfId="8404" priority="15178" operator="greaterThan">
      <formula>0</formula>
    </cfRule>
  </conditionalFormatting>
  <conditionalFormatting sqref="JZ98">
    <cfRule type="cellIs" dxfId="8403" priority="15112" operator="lessThan">
      <formula>0</formula>
    </cfRule>
    <cfRule type="cellIs" dxfId="8402" priority="15113" operator="greaterThan">
      <formula>0</formula>
    </cfRule>
  </conditionalFormatting>
  <conditionalFormatting sqref="JZ6 JZ9:JZ11">
    <cfRule type="cellIs" dxfId="8401" priority="15152" operator="lessThan">
      <formula>0</formula>
    </cfRule>
    <cfRule type="cellIs" dxfId="8400" priority="15153" operator="greaterThan">
      <formula>0</formula>
    </cfRule>
  </conditionalFormatting>
  <conditionalFormatting sqref="JZ43:JZ44">
    <cfRule type="cellIs" dxfId="8399" priority="15116" operator="lessThan">
      <formula>0</formula>
    </cfRule>
    <cfRule type="cellIs" dxfId="8398" priority="15117" operator="greaterThan">
      <formula>0</formula>
    </cfRule>
  </conditionalFormatting>
  <conditionalFormatting sqref="JZ11 JZ19 JZ3 JZ24:JZ32 JZ34:JZ42 JZ69:JZ79">
    <cfRule type="cellIs" dxfId="8397" priority="15162" operator="lessThan">
      <formula>0</formula>
    </cfRule>
    <cfRule type="cellIs" dxfId="8396" priority="15163" operator="greaterThan">
      <formula>0</formula>
    </cfRule>
  </conditionalFormatting>
  <conditionalFormatting sqref="JZ4:JZ5">
    <cfRule type="cellIs" dxfId="8395" priority="15154" operator="lessThan">
      <formula>0</formula>
    </cfRule>
    <cfRule type="cellIs" dxfId="8394" priority="15155" operator="greaterThan">
      <formula>0</formula>
    </cfRule>
  </conditionalFormatting>
  <conditionalFormatting sqref="JZ12:JZ13">
    <cfRule type="cellIs" dxfId="8393" priority="15150" operator="lessThan">
      <formula>0</formula>
    </cfRule>
    <cfRule type="cellIs" dxfId="8392" priority="15151" operator="greaterThan">
      <formula>0</formula>
    </cfRule>
  </conditionalFormatting>
  <conditionalFormatting sqref="JZ14:JZ19">
    <cfRule type="cellIs" dxfId="8391" priority="15148" operator="lessThan">
      <formula>0</formula>
    </cfRule>
    <cfRule type="cellIs" dxfId="8390" priority="15149" operator="greaterThan">
      <formula>0</formula>
    </cfRule>
  </conditionalFormatting>
  <conditionalFormatting sqref="JZ20:JZ22">
    <cfRule type="cellIs" dxfId="8389" priority="15146" operator="lessThan">
      <formula>0</formula>
    </cfRule>
    <cfRule type="cellIs" dxfId="8388" priority="15147" operator="greaterThan">
      <formula>0</formula>
    </cfRule>
  </conditionalFormatting>
  <conditionalFormatting sqref="JZ45:JZ46">
    <cfRule type="cellIs" dxfId="8387" priority="15160" operator="lessThan">
      <formula>0</formula>
    </cfRule>
    <cfRule type="cellIs" dxfId="8386" priority="15161" operator="greaterThan">
      <formula>0</formula>
    </cfRule>
  </conditionalFormatting>
  <conditionalFormatting sqref="JZ7">
    <cfRule type="cellIs" dxfId="8385" priority="15132" operator="lessThan">
      <formula>0</formula>
    </cfRule>
    <cfRule type="cellIs" dxfId="8384" priority="15133" operator="greaterThan">
      <formula>0</formula>
    </cfRule>
  </conditionalFormatting>
  <conditionalFormatting sqref="JZ7">
    <cfRule type="cellIs" dxfId="8383" priority="15130" operator="lessThan">
      <formula>0</formula>
    </cfRule>
    <cfRule type="cellIs" dxfId="8382" priority="15131" operator="greaterThan">
      <formula>0</formula>
    </cfRule>
  </conditionalFormatting>
  <conditionalFormatting sqref="JZ8">
    <cfRule type="cellIs" dxfId="8381" priority="15128" operator="lessThan">
      <formula>0</formula>
    </cfRule>
    <cfRule type="cellIs" dxfId="8380" priority="15129" operator="greaterThan">
      <formula>0</formula>
    </cfRule>
  </conditionalFormatting>
  <conditionalFormatting sqref="JZ47">
    <cfRule type="cellIs" dxfId="8379" priority="15126" operator="lessThan">
      <formula>0</formula>
    </cfRule>
    <cfRule type="cellIs" dxfId="8378" priority="15127" operator="greaterThan">
      <formula>0</formula>
    </cfRule>
  </conditionalFormatting>
  <conditionalFormatting sqref="JZ44">
    <cfRule type="cellIs" dxfId="8377" priority="15124" operator="lessThan">
      <formula>0</formula>
    </cfRule>
    <cfRule type="cellIs" dxfId="8376" priority="15125" operator="greaterThan">
      <formula>0</formula>
    </cfRule>
  </conditionalFormatting>
  <conditionalFormatting sqref="JZ23:JZ24">
    <cfRule type="cellIs" dxfId="8375" priority="15120" operator="lessThan">
      <formula>0</formula>
    </cfRule>
    <cfRule type="cellIs" dxfId="8374" priority="15121" operator="greaterThan">
      <formula>0</formula>
    </cfRule>
  </conditionalFormatting>
  <conditionalFormatting sqref="JZ33:JZ34">
    <cfRule type="cellIs" dxfId="8373" priority="15118" operator="lessThan">
      <formula>0</formula>
    </cfRule>
    <cfRule type="cellIs" dxfId="8372" priority="15119" operator="greaterThan">
      <formula>0</formula>
    </cfRule>
  </conditionalFormatting>
  <conditionalFormatting sqref="JZ101">
    <cfRule type="cellIs" dxfId="8371" priority="15110" operator="lessThan">
      <formula>0</formula>
    </cfRule>
    <cfRule type="cellIs" dxfId="8370" priority="15111" operator="greaterThan">
      <formula>0</formula>
    </cfRule>
  </conditionalFormatting>
  <conditionalFormatting sqref="JZ104">
    <cfRule type="cellIs" dxfId="8369" priority="15108" operator="lessThan">
      <formula>0</formula>
    </cfRule>
    <cfRule type="cellIs" dxfId="8368" priority="15109" operator="greaterThan">
      <formula>0</formula>
    </cfRule>
  </conditionalFormatting>
  <conditionalFormatting sqref="JZ48:JZ49">
    <cfRule type="cellIs" dxfId="8367" priority="15074" operator="lessThan">
      <formula>0</formula>
    </cfRule>
    <cfRule type="cellIs" dxfId="8366" priority="15075" operator="greaterThan">
      <formula>0</formula>
    </cfRule>
  </conditionalFormatting>
  <conditionalFormatting sqref="KB98">
    <cfRule type="cellIs" dxfId="8365" priority="15009" operator="lessThan">
      <formula>0</formula>
    </cfRule>
    <cfRule type="cellIs" dxfId="8364" priority="15010" operator="greaterThan">
      <formula>0</formula>
    </cfRule>
  </conditionalFormatting>
  <conditionalFormatting sqref="KB6 KB9:KB11">
    <cfRule type="cellIs" dxfId="8363" priority="15049" operator="lessThan">
      <formula>0</formula>
    </cfRule>
    <cfRule type="cellIs" dxfId="8362" priority="15050" operator="greaterThan">
      <formula>0</formula>
    </cfRule>
  </conditionalFormatting>
  <conditionalFormatting sqref="KB43:KB44">
    <cfRule type="cellIs" dxfId="8361" priority="15013" operator="lessThan">
      <formula>0</formula>
    </cfRule>
    <cfRule type="cellIs" dxfId="8360" priority="15014" operator="greaterThan">
      <formula>0</formula>
    </cfRule>
  </conditionalFormatting>
  <conditionalFormatting sqref="KB11 KB19 KB3 KB24:KB32 KB34:KB42 KB69:KB79">
    <cfRule type="cellIs" dxfId="8359" priority="15059" operator="lessThan">
      <formula>0</formula>
    </cfRule>
    <cfRule type="cellIs" dxfId="8358" priority="15060" operator="greaterThan">
      <formula>0</formula>
    </cfRule>
  </conditionalFormatting>
  <conditionalFormatting sqref="KB4:KB5">
    <cfRule type="cellIs" dxfId="8357" priority="15051" operator="lessThan">
      <formula>0</formula>
    </cfRule>
    <cfRule type="cellIs" dxfId="8356" priority="15052" operator="greaterThan">
      <formula>0</formula>
    </cfRule>
  </conditionalFormatting>
  <conditionalFormatting sqref="KB12:KB13">
    <cfRule type="cellIs" dxfId="8355" priority="15047" operator="lessThan">
      <formula>0</formula>
    </cfRule>
    <cfRule type="cellIs" dxfId="8354" priority="15048" operator="greaterThan">
      <formula>0</formula>
    </cfRule>
  </conditionalFormatting>
  <conditionalFormatting sqref="KB14:KB19">
    <cfRule type="cellIs" dxfId="8353" priority="15045" operator="lessThan">
      <formula>0</formula>
    </cfRule>
    <cfRule type="cellIs" dxfId="8352" priority="15046" operator="greaterThan">
      <formula>0</formula>
    </cfRule>
  </conditionalFormatting>
  <conditionalFormatting sqref="KB20:KB22">
    <cfRule type="cellIs" dxfId="8351" priority="15043" operator="lessThan">
      <formula>0</formula>
    </cfRule>
    <cfRule type="cellIs" dxfId="8350" priority="15044" operator="greaterThan">
      <formula>0</formula>
    </cfRule>
  </conditionalFormatting>
  <conditionalFormatting sqref="KB45:KB46">
    <cfRule type="cellIs" dxfId="8349" priority="15057" operator="lessThan">
      <formula>0</formula>
    </cfRule>
    <cfRule type="cellIs" dxfId="8348" priority="15058" operator="greaterThan">
      <formula>0</formula>
    </cfRule>
  </conditionalFormatting>
  <conditionalFormatting sqref="KB7">
    <cfRule type="cellIs" dxfId="8347" priority="15029" operator="lessThan">
      <formula>0</formula>
    </cfRule>
    <cfRule type="cellIs" dxfId="8346" priority="15030" operator="greaterThan">
      <formula>0</formula>
    </cfRule>
  </conditionalFormatting>
  <conditionalFormatting sqref="KB7">
    <cfRule type="cellIs" dxfId="8345" priority="15027" operator="lessThan">
      <formula>0</formula>
    </cfRule>
    <cfRule type="cellIs" dxfId="8344" priority="15028" operator="greaterThan">
      <formula>0</formula>
    </cfRule>
  </conditionalFormatting>
  <conditionalFormatting sqref="KB8">
    <cfRule type="cellIs" dxfId="8343" priority="15025" operator="lessThan">
      <formula>0</formula>
    </cfRule>
    <cfRule type="cellIs" dxfId="8342" priority="15026" operator="greaterThan">
      <formula>0</formula>
    </cfRule>
  </conditionalFormatting>
  <conditionalFormatting sqref="KB47">
    <cfRule type="cellIs" dxfId="8341" priority="15023" operator="lessThan">
      <formula>0</formula>
    </cfRule>
    <cfRule type="cellIs" dxfId="8340" priority="15024" operator="greaterThan">
      <formula>0</formula>
    </cfRule>
  </conditionalFormatting>
  <conditionalFormatting sqref="KB44">
    <cfRule type="cellIs" dxfId="8339" priority="15021" operator="lessThan">
      <formula>0</formula>
    </cfRule>
    <cfRule type="cellIs" dxfId="8338" priority="15022" operator="greaterThan">
      <formula>0</formula>
    </cfRule>
  </conditionalFormatting>
  <conditionalFormatting sqref="KB23:KB24">
    <cfRule type="cellIs" dxfId="8337" priority="15017" operator="lessThan">
      <formula>0</formula>
    </cfRule>
    <cfRule type="cellIs" dxfId="8336" priority="15018" operator="greaterThan">
      <formula>0</formula>
    </cfRule>
  </conditionalFormatting>
  <conditionalFormatting sqref="KB33:KB34">
    <cfRule type="cellIs" dxfId="8335" priority="15015" operator="lessThan">
      <formula>0</formula>
    </cfRule>
    <cfRule type="cellIs" dxfId="8334" priority="15016" operator="greaterThan">
      <formula>0</formula>
    </cfRule>
  </conditionalFormatting>
  <conditionalFormatting sqref="KB101">
    <cfRule type="cellIs" dxfId="8333" priority="15007" operator="lessThan">
      <formula>0</formula>
    </cfRule>
    <cfRule type="cellIs" dxfId="8332" priority="15008" operator="greaterThan">
      <formula>0</formula>
    </cfRule>
  </conditionalFormatting>
  <conditionalFormatting sqref="KB104">
    <cfRule type="cellIs" dxfId="8331" priority="15005" operator="lessThan">
      <formula>0</formula>
    </cfRule>
    <cfRule type="cellIs" dxfId="8330" priority="15006" operator="greaterThan">
      <formula>0</formula>
    </cfRule>
  </conditionalFormatting>
  <conditionalFormatting sqref="KB48:KB49">
    <cfRule type="cellIs" dxfId="8329" priority="14971" operator="lessThan">
      <formula>0</formula>
    </cfRule>
    <cfRule type="cellIs" dxfId="8328" priority="14972" operator="greaterThan">
      <formula>0</formula>
    </cfRule>
  </conditionalFormatting>
  <conditionalFormatting sqref="KD98">
    <cfRule type="cellIs" dxfId="8327" priority="14906" operator="lessThan">
      <formula>0</formula>
    </cfRule>
    <cfRule type="cellIs" dxfId="8326" priority="14907" operator="greaterThan">
      <formula>0</formula>
    </cfRule>
  </conditionalFormatting>
  <conditionalFormatting sqref="KD6 KD9:KD11">
    <cfRule type="cellIs" dxfId="8325" priority="14946" operator="lessThan">
      <formula>0</formula>
    </cfRule>
    <cfRule type="cellIs" dxfId="8324" priority="14947" operator="greaterThan">
      <formula>0</formula>
    </cfRule>
  </conditionalFormatting>
  <conditionalFormatting sqref="KD43:KD44">
    <cfRule type="cellIs" dxfId="8323" priority="14910" operator="lessThan">
      <formula>0</formula>
    </cfRule>
    <cfRule type="cellIs" dxfId="8322" priority="14911" operator="greaterThan">
      <formula>0</formula>
    </cfRule>
  </conditionalFormatting>
  <conditionalFormatting sqref="KD11 KD19 KD3 KD24:KD32 KD34:KD42 KD69:KD79">
    <cfRule type="cellIs" dxfId="8321" priority="14956" operator="lessThan">
      <formula>0</formula>
    </cfRule>
    <cfRule type="cellIs" dxfId="8320" priority="14957" operator="greaterThan">
      <formula>0</formula>
    </cfRule>
  </conditionalFormatting>
  <conditionalFormatting sqref="KD4:KD5">
    <cfRule type="cellIs" dxfId="8319" priority="14948" operator="lessThan">
      <formula>0</formula>
    </cfRule>
    <cfRule type="cellIs" dxfId="8318" priority="14949" operator="greaterThan">
      <formula>0</formula>
    </cfRule>
  </conditionalFormatting>
  <conditionalFormatting sqref="KD12:KD13">
    <cfRule type="cellIs" dxfId="8317" priority="14944" operator="lessThan">
      <formula>0</formula>
    </cfRule>
    <cfRule type="cellIs" dxfId="8316" priority="14945" operator="greaterThan">
      <formula>0</formula>
    </cfRule>
  </conditionalFormatting>
  <conditionalFormatting sqref="KD14:KD19">
    <cfRule type="cellIs" dxfId="8315" priority="14942" operator="lessThan">
      <formula>0</formula>
    </cfRule>
    <cfRule type="cellIs" dxfId="8314" priority="14943" operator="greaterThan">
      <formula>0</formula>
    </cfRule>
  </conditionalFormatting>
  <conditionalFormatting sqref="KD20:KD22">
    <cfRule type="cellIs" dxfId="8313" priority="14940" operator="lessThan">
      <formula>0</formula>
    </cfRule>
    <cfRule type="cellIs" dxfId="8312" priority="14941" operator="greaterThan">
      <formula>0</formula>
    </cfRule>
  </conditionalFormatting>
  <conditionalFormatting sqref="KD45:KD46">
    <cfRule type="cellIs" dxfId="8311" priority="14954" operator="lessThan">
      <formula>0</formula>
    </cfRule>
    <cfRule type="cellIs" dxfId="8310" priority="14955" operator="greaterThan">
      <formula>0</formula>
    </cfRule>
  </conditionalFormatting>
  <conditionalFormatting sqref="KD7">
    <cfRule type="cellIs" dxfId="8309" priority="14926" operator="lessThan">
      <formula>0</formula>
    </cfRule>
    <cfRule type="cellIs" dxfId="8308" priority="14927" operator="greaterThan">
      <formula>0</formula>
    </cfRule>
  </conditionalFormatting>
  <conditionalFormatting sqref="KD7">
    <cfRule type="cellIs" dxfId="8307" priority="14924" operator="lessThan">
      <formula>0</formula>
    </cfRule>
    <cfRule type="cellIs" dxfId="8306" priority="14925" operator="greaterThan">
      <formula>0</formula>
    </cfRule>
  </conditionalFormatting>
  <conditionalFormatting sqref="KD8">
    <cfRule type="cellIs" dxfId="8305" priority="14922" operator="lessThan">
      <formula>0</formula>
    </cfRule>
    <cfRule type="cellIs" dxfId="8304" priority="14923" operator="greaterThan">
      <formula>0</formula>
    </cfRule>
  </conditionalFormatting>
  <conditionalFormatting sqref="KD47">
    <cfRule type="cellIs" dxfId="8303" priority="14920" operator="lessThan">
      <formula>0</formula>
    </cfRule>
    <cfRule type="cellIs" dxfId="8302" priority="14921" operator="greaterThan">
      <formula>0</formula>
    </cfRule>
  </conditionalFormatting>
  <conditionalFormatting sqref="KD44">
    <cfRule type="cellIs" dxfId="8301" priority="14918" operator="lessThan">
      <formula>0</formula>
    </cfRule>
    <cfRule type="cellIs" dxfId="8300" priority="14919" operator="greaterThan">
      <formula>0</formula>
    </cfRule>
  </conditionalFormatting>
  <conditionalFormatting sqref="KD23:KD24">
    <cfRule type="cellIs" dxfId="8299" priority="14914" operator="lessThan">
      <formula>0</formula>
    </cfRule>
    <cfRule type="cellIs" dxfId="8298" priority="14915" operator="greaterThan">
      <formula>0</formula>
    </cfRule>
  </conditionalFormatting>
  <conditionalFormatting sqref="KD33:KD34">
    <cfRule type="cellIs" dxfId="8297" priority="14912" operator="lessThan">
      <formula>0</formula>
    </cfRule>
    <cfRule type="cellIs" dxfId="8296" priority="14913" operator="greaterThan">
      <formula>0</formula>
    </cfRule>
  </conditionalFormatting>
  <conditionalFormatting sqref="KD101">
    <cfRule type="cellIs" dxfId="8295" priority="14904" operator="lessThan">
      <formula>0</formula>
    </cfRule>
    <cfRule type="cellIs" dxfId="8294" priority="14905" operator="greaterThan">
      <formula>0</formula>
    </cfRule>
  </conditionalFormatting>
  <conditionalFormatting sqref="KD104">
    <cfRule type="cellIs" dxfId="8293" priority="14902" operator="lessThan">
      <formula>0</formula>
    </cfRule>
    <cfRule type="cellIs" dxfId="8292" priority="14903" operator="greaterThan">
      <formula>0</formula>
    </cfRule>
  </conditionalFormatting>
  <conditionalFormatting sqref="KD48:KD49">
    <cfRule type="cellIs" dxfId="8291" priority="14868" operator="lessThan">
      <formula>0</formula>
    </cfRule>
    <cfRule type="cellIs" dxfId="8290" priority="14869" operator="greaterThan">
      <formula>0</formula>
    </cfRule>
  </conditionalFormatting>
  <conditionalFormatting sqref="KF98">
    <cfRule type="cellIs" dxfId="8289" priority="14803" operator="lessThan">
      <formula>0</formula>
    </cfRule>
    <cfRule type="cellIs" dxfId="8288" priority="14804" operator="greaterThan">
      <formula>0</formula>
    </cfRule>
  </conditionalFormatting>
  <conditionalFormatting sqref="KF6 KF9:KF11">
    <cfRule type="cellIs" dxfId="8287" priority="14843" operator="lessThan">
      <formula>0</formula>
    </cfRule>
    <cfRule type="cellIs" dxfId="8286" priority="14844" operator="greaterThan">
      <formula>0</formula>
    </cfRule>
  </conditionalFormatting>
  <conditionalFormatting sqref="KF43:KF44">
    <cfRule type="cellIs" dxfId="8285" priority="14807" operator="lessThan">
      <formula>0</formula>
    </cfRule>
    <cfRule type="cellIs" dxfId="8284" priority="14808" operator="greaterThan">
      <formula>0</formula>
    </cfRule>
  </conditionalFormatting>
  <conditionalFormatting sqref="KF11 KF19 KF3 KF24:KF32 KF34:KF42 KF69:KF79">
    <cfRule type="cellIs" dxfId="8283" priority="14853" operator="lessThan">
      <formula>0</formula>
    </cfRule>
    <cfRule type="cellIs" dxfId="8282" priority="14854" operator="greaterThan">
      <formula>0</formula>
    </cfRule>
  </conditionalFormatting>
  <conditionalFormatting sqref="KF4:KF5">
    <cfRule type="cellIs" dxfId="8281" priority="14845" operator="lessThan">
      <formula>0</formula>
    </cfRule>
    <cfRule type="cellIs" dxfId="8280" priority="14846" operator="greaterThan">
      <formula>0</formula>
    </cfRule>
  </conditionalFormatting>
  <conditionalFormatting sqref="KF12:KF13">
    <cfRule type="cellIs" dxfId="8279" priority="14841" operator="lessThan">
      <formula>0</formula>
    </cfRule>
    <cfRule type="cellIs" dxfId="8278" priority="14842" operator="greaterThan">
      <formula>0</formula>
    </cfRule>
  </conditionalFormatting>
  <conditionalFormatting sqref="KF14:KF19">
    <cfRule type="cellIs" dxfId="8277" priority="14839" operator="lessThan">
      <formula>0</formula>
    </cfRule>
    <cfRule type="cellIs" dxfId="8276" priority="14840" operator="greaterThan">
      <formula>0</formula>
    </cfRule>
  </conditionalFormatting>
  <conditionalFormatting sqref="KF20:KF22">
    <cfRule type="cellIs" dxfId="8275" priority="14837" operator="lessThan">
      <formula>0</formula>
    </cfRule>
    <cfRule type="cellIs" dxfId="8274" priority="14838" operator="greaterThan">
      <formula>0</formula>
    </cfRule>
  </conditionalFormatting>
  <conditionalFormatting sqref="KF45:KF46">
    <cfRule type="cellIs" dxfId="8273" priority="14851" operator="lessThan">
      <formula>0</formula>
    </cfRule>
    <cfRule type="cellIs" dxfId="8272" priority="14852" operator="greaterThan">
      <formula>0</formula>
    </cfRule>
  </conditionalFormatting>
  <conditionalFormatting sqref="KF7">
    <cfRule type="cellIs" dxfId="8271" priority="14823" operator="lessThan">
      <formula>0</formula>
    </cfRule>
    <cfRule type="cellIs" dxfId="8270" priority="14824" operator="greaterThan">
      <formula>0</formula>
    </cfRule>
  </conditionalFormatting>
  <conditionalFormatting sqref="KF7">
    <cfRule type="cellIs" dxfId="8269" priority="14821" operator="lessThan">
      <formula>0</formula>
    </cfRule>
    <cfRule type="cellIs" dxfId="8268" priority="14822" operator="greaterThan">
      <formula>0</formula>
    </cfRule>
  </conditionalFormatting>
  <conditionalFormatting sqref="KF8">
    <cfRule type="cellIs" dxfId="8267" priority="14819" operator="lessThan">
      <formula>0</formula>
    </cfRule>
    <cfRule type="cellIs" dxfId="8266" priority="14820" operator="greaterThan">
      <formula>0</formula>
    </cfRule>
  </conditionalFormatting>
  <conditionalFormatting sqref="KF47">
    <cfRule type="cellIs" dxfId="8265" priority="14817" operator="lessThan">
      <formula>0</formula>
    </cfRule>
    <cfRule type="cellIs" dxfId="8264" priority="14818" operator="greaterThan">
      <formula>0</formula>
    </cfRule>
  </conditionalFormatting>
  <conditionalFormatting sqref="KF44">
    <cfRule type="cellIs" dxfId="8263" priority="14815" operator="lessThan">
      <formula>0</formula>
    </cfRule>
    <cfRule type="cellIs" dxfId="8262" priority="14816" operator="greaterThan">
      <formula>0</formula>
    </cfRule>
  </conditionalFormatting>
  <conditionalFormatting sqref="KF23:KF24">
    <cfRule type="cellIs" dxfId="8261" priority="14811" operator="lessThan">
      <formula>0</formula>
    </cfRule>
    <cfRule type="cellIs" dxfId="8260" priority="14812" operator="greaterThan">
      <formula>0</formula>
    </cfRule>
  </conditionalFormatting>
  <conditionalFormatting sqref="KF33:KF34">
    <cfRule type="cellIs" dxfId="8259" priority="14809" operator="lessThan">
      <formula>0</formula>
    </cfRule>
    <cfRule type="cellIs" dxfId="8258" priority="14810" operator="greaterThan">
      <formula>0</formula>
    </cfRule>
  </conditionalFormatting>
  <conditionalFormatting sqref="KF101">
    <cfRule type="cellIs" dxfId="8257" priority="14801" operator="lessThan">
      <formula>0</formula>
    </cfRule>
    <cfRule type="cellIs" dxfId="8256" priority="14802" operator="greaterThan">
      <formula>0</formula>
    </cfRule>
  </conditionalFormatting>
  <conditionalFormatting sqref="KF104">
    <cfRule type="cellIs" dxfId="8255" priority="14799" operator="lessThan">
      <formula>0</formula>
    </cfRule>
    <cfRule type="cellIs" dxfId="8254" priority="14800" operator="greaterThan">
      <formula>0</formula>
    </cfRule>
  </conditionalFormatting>
  <conditionalFormatting sqref="KF48:KF49">
    <cfRule type="cellIs" dxfId="8253" priority="14765" operator="lessThan">
      <formula>0</formula>
    </cfRule>
    <cfRule type="cellIs" dxfId="8252" priority="14766" operator="greaterThan">
      <formula>0</formula>
    </cfRule>
  </conditionalFormatting>
  <conditionalFormatting sqref="KH98">
    <cfRule type="cellIs" dxfId="8251" priority="14700" operator="lessThan">
      <formula>0</formula>
    </cfRule>
    <cfRule type="cellIs" dxfId="8250" priority="14701" operator="greaterThan">
      <formula>0</formula>
    </cfRule>
  </conditionalFormatting>
  <conditionalFormatting sqref="KH6 KH9:KH11">
    <cfRule type="cellIs" dxfId="8249" priority="14740" operator="lessThan">
      <formula>0</formula>
    </cfRule>
    <cfRule type="cellIs" dxfId="8248" priority="14741" operator="greaterThan">
      <formula>0</formula>
    </cfRule>
  </conditionalFormatting>
  <conditionalFormatting sqref="KH43:KH44">
    <cfRule type="cellIs" dxfId="8247" priority="14704" operator="lessThan">
      <formula>0</formula>
    </cfRule>
    <cfRule type="cellIs" dxfId="8246" priority="14705" operator="greaterThan">
      <formula>0</formula>
    </cfRule>
  </conditionalFormatting>
  <conditionalFormatting sqref="KH11 KH19 KH3 KH24:KH32 KH34:KH42 KH69:KH79">
    <cfRule type="cellIs" dxfId="8245" priority="14750" operator="lessThan">
      <formula>0</formula>
    </cfRule>
    <cfRule type="cellIs" dxfId="8244" priority="14751" operator="greaterThan">
      <formula>0</formula>
    </cfRule>
  </conditionalFormatting>
  <conditionalFormatting sqref="KH4:KH5">
    <cfRule type="cellIs" dxfId="8243" priority="14742" operator="lessThan">
      <formula>0</formula>
    </cfRule>
    <cfRule type="cellIs" dxfId="8242" priority="14743" operator="greaterThan">
      <formula>0</formula>
    </cfRule>
  </conditionalFormatting>
  <conditionalFormatting sqref="KH12:KH13">
    <cfRule type="cellIs" dxfId="8241" priority="14738" operator="lessThan">
      <formula>0</formula>
    </cfRule>
    <cfRule type="cellIs" dxfId="8240" priority="14739" operator="greaterThan">
      <formula>0</formula>
    </cfRule>
  </conditionalFormatting>
  <conditionalFormatting sqref="KH14:KH19">
    <cfRule type="cellIs" dxfId="8239" priority="14736" operator="lessThan">
      <formula>0</formula>
    </cfRule>
    <cfRule type="cellIs" dxfId="8238" priority="14737" operator="greaterThan">
      <formula>0</formula>
    </cfRule>
  </conditionalFormatting>
  <conditionalFormatting sqref="KH20:KH22">
    <cfRule type="cellIs" dxfId="8237" priority="14734" operator="lessThan">
      <formula>0</formula>
    </cfRule>
    <cfRule type="cellIs" dxfId="8236" priority="14735" operator="greaterThan">
      <formula>0</formula>
    </cfRule>
  </conditionalFormatting>
  <conditionalFormatting sqref="KH45:KH46">
    <cfRule type="cellIs" dxfId="8235" priority="14748" operator="lessThan">
      <formula>0</formula>
    </cfRule>
    <cfRule type="cellIs" dxfId="8234" priority="14749" operator="greaterThan">
      <formula>0</formula>
    </cfRule>
  </conditionalFormatting>
  <conditionalFormatting sqref="KH7">
    <cfRule type="cellIs" dxfId="8233" priority="14720" operator="lessThan">
      <formula>0</formula>
    </cfRule>
    <cfRule type="cellIs" dxfId="8232" priority="14721" operator="greaterThan">
      <formula>0</formula>
    </cfRule>
  </conditionalFormatting>
  <conditionalFormatting sqref="KH7">
    <cfRule type="cellIs" dxfId="8231" priority="14718" operator="lessThan">
      <formula>0</formula>
    </cfRule>
    <cfRule type="cellIs" dxfId="8230" priority="14719" operator="greaterThan">
      <formula>0</formula>
    </cfRule>
  </conditionalFormatting>
  <conditionalFormatting sqref="KH8">
    <cfRule type="cellIs" dxfId="8229" priority="14716" operator="lessThan">
      <formula>0</formula>
    </cfRule>
    <cfRule type="cellIs" dxfId="8228" priority="14717" operator="greaterThan">
      <formula>0</formula>
    </cfRule>
  </conditionalFormatting>
  <conditionalFormatting sqref="KH47">
    <cfRule type="cellIs" dxfId="8227" priority="14714" operator="lessThan">
      <formula>0</formula>
    </cfRule>
    <cfRule type="cellIs" dxfId="8226" priority="14715" operator="greaterThan">
      <formula>0</formula>
    </cfRule>
  </conditionalFormatting>
  <conditionalFormatting sqref="KH44">
    <cfRule type="cellIs" dxfId="8225" priority="14712" operator="lessThan">
      <formula>0</formula>
    </cfRule>
    <cfRule type="cellIs" dxfId="8224" priority="14713" operator="greaterThan">
      <formula>0</formula>
    </cfRule>
  </conditionalFormatting>
  <conditionalFormatting sqref="KH23:KH24">
    <cfRule type="cellIs" dxfId="8223" priority="14708" operator="lessThan">
      <formula>0</formula>
    </cfRule>
    <cfRule type="cellIs" dxfId="8222" priority="14709" operator="greaterThan">
      <formula>0</formula>
    </cfRule>
  </conditionalFormatting>
  <conditionalFormatting sqref="KH33:KH34">
    <cfRule type="cellIs" dxfId="8221" priority="14706" operator="lessThan">
      <formula>0</formula>
    </cfRule>
    <cfRule type="cellIs" dxfId="8220" priority="14707" operator="greaterThan">
      <formula>0</formula>
    </cfRule>
  </conditionalFormatting>
  <conditionalFormatting sqref="KH101">
    <cfRule type="cellIs" dxfId="8219" priority="14698" operator="lessThan">
      <formula>0</formula>
    </cfRule>
    <cfRule type="cellIs" dxfId="8218" priority="14699" operator="greaterThan">
      <formula>0</formula>
    </cfRule>
  </conditionalFormatting>
  <conditionalFormatting sqref="KH104">
    <cfRule type="cellIs" dxfId="8217" priority="14696" operator="lessThan">
      <formula>0</formula>
    </cfRule>
    <cfRule type="cellIs" dxfId="8216" priority="14697" operator="greaterThan">
      <formula>0</formula>
    </cfRule>
  </conditionalFormatting>
  <conditionalFormatting sqref="KH48:KH49">
    <cfRule type="cellIs" dxfId="8215" priority="14662" operator="lessThan">
      <formula>0</formula>
    </cfRule>
    <cfRule type="cellIs" dxfId="8214" priority="14663" operator="greaterThan">
      <formula>0</formula>
    </cfRule>
  </conditionalFormatting>
  <conditionalFormatting sqref="KJ98">
    <cfRule type="cellIs" dxfId="8213" priority="14505" operator="lessThan">
      <formula>0</formula>
    </cfRule>
    <cfRule type="cellIs" dxfId="8212" priority="14506" operator="greaterThan">
      <formula>0</formula>
    </cfRule>
  </conditionalFormatting>
  <conditionalFormatting sqref="KJ6 KJ9:KJ11">
    <cfRule type="cellIs" dxfId="8211" priority="14545" operator="lessThan">
      <formula>0</formula>
    </cfRule>
    <cfRule type="cellIs" dxfId="8210" priority="14546" operator="greaterThan">
      <formula>0</formula>
    </cfRule>
  </conditionalFormatting>
  <conditionalFormatting sqref="KJ43:KJ44">
    <cfRule type="cellIs" dxfId="8209" priority="14509" operator="lessThan">
      <formula>0</formula>
    </cfRule>
    <cfRule type="cellIs" dxfId="8208" priority="14510" operator="greaterThan">
      <formula>0</formula>
    </cfRule>
  </conditionalFormatting>
  <conditionalFormatting sqref="KJ11 KJ19 KJ3 KJ24:KJ32 KJ34:KJ42 KJ69:KJ79">
    <cfRule type="cellIs" dxfId="8207" priority="14555" operator="lessThan">
      <formula>0</formula>
    </cfRule>
    <cfRule type="cellIs" dxfId="8206" priority="14556" operator="greaterThan">
      <formula>0</formula>
    </cfRule>
  </conditionalFormatting>
  <conditionalFormatting sqref="KJ4:KJ5">
    <cfRule type="cellIs" dxfId="8205" priority="14547" operator="lessThan">
      <formula>0</formula>
    </cfRule>
    <cfRule type="cellIs" dxfId="8204" priority="14548" operator="greaterThan">
      <formula>0</formula>
    </cfRule>
  </conditionalFormatting>
  <conditionalFormatting sqref="KJ12:KJ13">
    <cfRule type="cellIs" dxfId="8203" priority="14543" operator="lessThan">
      <formula>0</formula>
    </cfRule>
    <cfRule type="cellIs" dxfId="8202" priority="14544" operator="greaterThan">
      <formula>0</formula>
    </cfRule>
  </conditionalFormatting>
  <conditionalFormatting sqref="KJ14:KJ19">
    <cfRule type="cellIs" dxfId="8201" priority="14541" operator="lessThan">
      <formula>0</formula>
    </cfRule>
    <cfRule type="cellIs" dxfId="8200" priority="14542" operator="greaterThan">
      <formula>0</formula>
    </cfRule>
  </conditionalFormatting>
  <conditionalFormatting sqref="KJ20:KJ22">
    <cfRule type="cellIs" dxfId="8199" priority="14539" operator="lessThan">
      <formula>0</formula>
    </cfRule>
    <cfRule type="cellIs" dxfId="8198" priority="14540" operator="greaterThan">
      <formula>0</formula>
    </cfRule>
  </conditionalFormatting>
  <conditionalFormatting sqref="KJ45:KJ46">
    <cfRule type="cellIs" dxfId="8197" priority="14553" operator="lessThan">
      <formula>0</formula>
    </cfRule>
    <cfRule type="cellIs" dxfId="8196" priority="14554" operator="greaterThan">
      <formula>0</formula>
    </cfRule>
  </conditionalFormatting>
  <conditionalFormatting sqref="KJ7">
    <cfRule type="cellIs" dxfId="8195" priority="14525" operator="lessThan">
      <formula>0</formula>
    </cfRule>
    <cfRule type="cellIs" dxfId="8194" priority="14526" operator="greaterThan">
      <formula>0</formula>
    </cfRule>
  </conditionalFormatting>
  <conditionalFormatting sqref="KJ7">
    <cfRule type="cellIs" dxfId="8193" priority="14523" operator="lessThan">
      <formula>0</formula>
    </cfRule>
    <cfRule type="cellIs" dxfId="8192" priority="14524" operator="greaterThan">
      <formula>0</formula>
    </cfRule>
  </conditionalFormatting>
  <conditionalFormatting sqref="KJ8">
    <cfRule type="cellIs" dxfId="8191" priority="14521" operator="lessThan">
      <formula>0</formula>
    </cfRule>
    <cfRule type="cellIs" dxfId="8190" priority="14522" operator="greaterThan">
      <formula>0</formula>
    </cfRule>
  </conditionalFormatting>
  <conditionalFormatting sqref="KJ47">
    <cfRule type="cellIs" dxfId="8189" priority="14519" operator="lessThan">
      <formula>0</formula>
    </cfRule>
    <cfRule type="cellIs" dxfId="8188" priority="14520" operator="greaterThan">
      <formula>0</formula>
    </cfRule>
  </conditionalFormatting>
  <conditionalFormatting sqref="KJ44">
    <cfRule type="cellIs" dxfId="8187" priority="14517" operator="lessThan">
      <formula>0</formula>
    </cfRule>
    <cfRule type="cellIs" dxfId="8186" priority="14518" operator="greaterThan">
      <formula>0</formula>
    </cfRule>
  </conditionalFormatting>
  <conditionalFormatting sqref="KJ23:KJ24">
    <cfRule type="cellIs" dxfId="8185" priority="14513" operator="lessThan">
      <formula>0</formula>
    </cfRule>
    <cfRule type="cellIs" dxfId="8184" priority="14514" operator="greaterThan">
      <formula>0</formula>
    </cfRule>
  </conditionalFormatting>
  <conditionalFormatting sqref="KJ33:KJ34">
    <cfRule type="cellIs" dxfId="8183" priority="14511" operator="lessThan">
      <formula>0</formula>
    </cfRule>
    <cfRule type="cellIs" dxfId="8182" priority="14512" operator="greaterThan">
      <formula>0</formula>
    </cfRule>
  </conditionalFormatting>
  <conditionalFormatting sqref="KJ101">
    <cfRule type="cellIs" dxfId="8181" priority="14503" operator="lessThan">
      <formula>0</formula>
    </cfRule>
    <cfRule type="cellIs" dxfId="8180" priority="14504" operator="greaterThan">
      <formula>0</formula>
    </cfRule>
  </conditionalFormatting>
  <conditionalFormatting sqref="KJ104">
    <cfRule type="cellIs" dxfId="8179" priority="14501" operator="lessThan">
      <formula>0</formula>
    </cfRule>
    <cfRule type="cellIs" dxfId="8178" priority="14502" operator="greaterThan">
      <formula>0</formula>
    </cfRule>
  </conditionalFormatting>
  <conditionalFormatting sqref="KJ48:KJ49">
    <cfRule type="cellIs" dxfId="8177" priority="14467" operator="lessThan">
      <formula>0</formula>
    </cfRule>
    <cfRule type="cellIs" dxfId="8176" priority="14468" operator="greaterThan">
      <formula>0</formula>
    </cfRule>
  </conditionalFormatting>
  <conditionalFormatting sqref="KL98">
    <cfRule type="cellIs" dxfId="8175" priority="14386" operator="lessThan">
      <formula>0</formula>
    </cfRule>
    <cfRule type="cellIs" dxfId="8174" priority="14387" operator="greaterThan">
      <formula>0</formula>
    </cfRule>
  </conditionalFormatting>
  <conditionalFormatting sqref="KL6 KL9:KL11">
    <cfRule type="cellIs" dxfId="8173" priority="14426" operator="lessThan">
      <formula>0</formula>
    </cfRule>
    <cfRule type="cellIs" dxfId="8172" priority="14427" operator="greaterThan">
      <formula>0</formula>
    </cfRule>
  </conditionalFormatting>
  <conditionalFormatting sqref="KL43:KL44">
    <cfRule type="cellIs" dxfId="8171" priority="14390" operator="lessThan">
      <formula>0</formula>
    </cfRule>
    <cfRule type="cellIs" dxfId="8170" priority="14391" operator="greaterThan">
      <formula>0</formula>
    </cfRule>
  </conditionalFormatting>
  <conditionalFormatting sqref="KL11 KL19 KL3 KL24:KL32 KL34:KL42 KL69:KL79">
    <cfRule type="cellIs" dxfId="8169" priority="14436" operator="lessThan">
      <formula>0</formula>
    </cfRule>
    <cfRule type="cellIs" dxfId="8168" priority="14437" operator="greaterThan">
      <formula>0</formula>
    </cfRule>
  </conditionalFormatting>
  <conditionalFormatting sqref="KL4:KL5">
    <cfRule type="cellIs" dxfId="8167" priority="14428" operator="lessThan">
      <formula>0</formula>
    </cfRule>
    <cfRule type="cellIs" dxfId="8166" priority="14429" operator="greaterThan">
      <formula>0</formula>
    </cfRule>
  </conditionalFormatting>
  <conditionalFormatting sqref="KL12:KL13">
    <cfRule type="cellIs" dxfId="8165" priority="14424" operator="lessThan">
      <formula>0</formula>
    </cfRule>
    <cfRule type="cellIs" dxfId="8164" priority="14425" operator="greaterThan">
      <formula>0</formula>
    </cfRule>
  </conditionalFormatting>
  <conditionalFormatting sqref="KL14:KL19">
    <cfRule type="cellIs" dxfId="8163" priority="14422" operator="lessThan">
      <formula>0</formula>
    </cfRule>
    <cfRule type="cellIs" dxfId="8162" priority="14423" operator="greaterThan">
      <formula>0</formula>
    </cfRule>
  </conditionalFormatting>
  <conditionalFormatting sqref="KL20:KL22">
    <cfRule type="cellIs" dxfId="8161" priority="14420" operator="lessThan">
      <formula>0</formula>
    </cfRule>
    <cfRule type="cellIs" dxfId="8160" priority="14421" operator="greaterThan">
      <formula>0</formula>
    </cfRule>
  </conditionalFormatting>
  <conditionalFormatting sqref="KL45:KL46">
    <cfRule type="cellIs" dxfId="8159" priority="14434" operator="lessThan">
      <formula>0</formula>
    </cfRule>
    <cfRule type="cellIs" dxfId="8158" priority="14435" operator="greaterThan">
      <formula>0</formula>
    </cfRule>
  </conditionalFormatting>
  <conditionalFormatting sqref="KL7">
    <cfRule type="cellIs" dxfId="8157" priority="14406" operator="lessThan">
      <formula>0</formula>
    </cfRule>
    <cfRule type="cellIs" dxfId="8156" priority="14407" operator="greaterThan">
      <formula>0</formula>
    </cfRule>
  </conditionalFormatting>
  <conditionalFormatting sqref="KL7">
    <cfRule type="cellIs" dxfId="8155" priority="14404" operator="lessThan">
      <formula>0</formula>
    </cfRule>
    <cfRule type="cellIs" dxfId="8154" priority="14405" operator="greaterThan">
      <formula>0</formula>
    </cfRule>
  </conditionalFormatting>
  <conditionalFormatting sqref="KL8">
    <cfRule type="cellIs" dxfId="8153" priority="14402" operator="lessThan">
      <formula>0</formula>
    </cfRule>
    <cfRule type="cellIs" dxfId="8152" priority="14403" operator="greaterThan">
      <formula>0</formula>
    </cfRule>
  </conditionalFormatting>
  <conditionalFormatting sqref="KL47">
    <cfRule type="cellIs" dxfId="8151" priority="14400" operator="lessThan">
      <formula>0</formula>
    </cfRule>
    <cfRule type="cellIs" dxfId="8150" priority="14401" operator="greaterThan">
      <formula>0</formula>
    </cfRule>
  </conditionalFormatting>
  <conditionalFormatting sqref="KL44">
    <cfRule type="cellIs" dxfId="8149" priority="14398" operator="lessThan">
      <formula>0</formula>
    </cfRule>
    <cfRule type="cellIs" dxfId="8148" priority="14399" operator="greaterThan">
      <formula>0</formula>
    </cfRule>
  </conditionalFormatting>
  <conditionalFormatting sqref="KL23:KL24">
    <cfRule type="cellIs" dxfId="8147" priority="14394" operator="lessThan">
      <formula>0</formula>
    </cfRule>
    <cfRule type="cellIs" dxfId="8146" priority="14395" operator="greaterThan">
      <formula>0</formula>
    </cfRule>
  </conditionalFormatting>
  <conditionalFormatting sqref="KL33:KL34">
    <cfRule type="cellIs" dxfId="8145" priority="14392" operator="lessThan">
      <formula>0</formula>
    </cfRule>
    <cfRule type="cellIs" dxfId="8144" priority="14393" operator="greaterThan">
      <formula>0</formula>
    </cfRule>
  </conditionalFormatting>
  <conditionalFormatting sqref="KL101">
    <cfRule type="cellIs" dxfId="8143" priority="14384" operator="lessThan">
      <formula>0</formula>
    </cfRule>
    <cfRule type="cellIs" dxfId="8142" priority="14385" operator="greaterThan">
      <formula>0</formula>
    </cfRule>
  </conditionalFormatting>
  <conditionalFormatting sqref="KL104">
    <cfRule type="cellIs" dxfId="8141" priority="14382" operator="lessThan">
      <formula>0</formula>
    </cfRule>
    <cfRule type="cellIs" dxfId="8140" priority="14383" operator="greaterThan">
      <formula>0</formula>
    </cfRule>
  </conditionalFormatting>
  <conditionalFormatting sqref="KL48:KL49">
    <cfRule type="cellIs" dxfId="8139" priority="14348" operator="lessThan">
      <formula>0</formula>
    </cfRule>
    <cfRule type="cellIs" dxfId="8138" priority="14349" operator="greaterThan">
      <formula>0</formula>
    </cfRule>
  </conditionalFormatting>
  <conditionalFormatting sqref="KN98">
    <cfRule type="cellIs" dxfId="8137" priority="14283" operator="lessThan">
      <formula>0</formula>
    </cfRule>
    <cfRule type="cellIs" dxfId="8136" priority="14284" operator="greaterThan">
      <formula>0</formula>
    </cfRule>
  </conditionalFormatting>
  <conditionalFormatting sqref="KN6 KN9:KN11">
    <cfRule type="cellIs" dxfId="8135" priority="14323" operator="lessThan">
      <formula>0</formula>
    </cfRule>
    <cfRule type="cellIs" dxfId="8134" priority="14324" operator="greaterThan">
      <formula>0</formula>
    </cfRule>
  </conditionalFormatting>
  <conditionalFormatting sqref="KN43:KN44">
    <cfRule type="cellIs" dxfId="8133" priority="14287" operator="lessThan">
      <formula>0</formula>
    </cfRule>
    <cfRule type="cellIs" dxfId="8132" priority="14288" operator="greaterThan">
      <formula>0</formula>
    </cfRule>
  </conditionalFormatting>
  <conditionalFormatting sqref="KN11 KN19 KN3 KN24:KN32 KN34:KN42 KN69:KN79">
    <cfRule type="cellIs" dxfId="8131" priority="14333" operator="lessThan">
      <formula>0</formula>
    </cfRule>
    <cfRule type="cellIs" dxfId="8130" priority="14334" operator="greaterThan">
      <formula>0</formula>
    </cfRule>
  </conditionalFormatting>
  <conditionalFormatting sqref="KN4:KN5">
    <cfRule type="cellIs" dxfId="8129" priority="14325" operator="lessThan">
      <formula>0</formula>
    </cfRule>
    <cfRule type="cellIs" dxfId="8128" priority="14326" operator="greaterThan">
      <formula>0</formula>
    </cfRule>
  </conditionalFormatting>
  <conditionalFormatting sqref="KN12:KN13">
    <cfRule type="cellIs" dxfId="8127" priority="14321" operator="lessThan">
      <formula>0</formula>
    </cfRule>
    <cfRule type="cellIs" dxfId="8126" priority="14322" operator="greaterThan">
      <formula>0</formula>
    </cfRule>
  </conditionalFormatting>
  <conditionalFormatting sqref="KN14:KN19">
    <cfRule type="cellIs" dxfId="8125" priority="14319" operator="lessThan">
      <formula>0</formula>
    </cfRule>
    <cfRule type="cellIs" dxfId="8124" priority="14320" operator="greaterThan">
      <formula>0</formula>
    </cfRule>
  </conditionalFormatting>
  <conditionalFormatting sqref="KN20:KN22">
    <cfRule type="cellIs" dxfId="8123" priority="14317" operator="lessThan">
      <formula>0</formula>
    </cfRule>
    <cfRule type="cellIs" dxfId="8122" priority="14318" operator="greaterThan">
      <formula>0</formula>
    </cfRule>
  </conditionalFormatting>
  <conditionalFormatting sqref="KN45:KN46">
    <cfRule type="cellIs" dxfId="8121" priority="14331" operator="lessThan">
      <formula>0</formula>
    </cfRule>
    <cfRule type="cellIs" dxfId="8120" priority="14332" operator="greaterThan">
      <formula>0</formula>
    </cfRule>
  </conditionalFormatting>
  <conditionalFormatting sqref="KN7">
    <cfRule type="cellIs" dxfId="8119" priority="14303" operator="lessThan">
      <formula>0</formula>
    </cfRule>
    <cfRule type="cellIs" dxfId="8118" priority="14304" operator="greaterThan">
      <formula>0</formula>
    </cfRule>
  </conditionalFormatting>
  <conditionalFormatting sqref="KN7">
    <cfRule type="cellIs" dxfId="8117" priority="14301" operator="lessThan">
      <formula>0</formula>
    </cfRule>
    <cfRule type="cellIs" dxfId="8116" priority="14302" operator="greaterThan">
      <formula>0</formula>
    </cfRule>
  </conditionalFormatting>
  <conditionalFormatting sqref="KN8">
    <cfRule type="cellIs" dxfId="8115" priority="14299" operator="lessThan">
      <formula>0</formula>
    </cfRule>
    <cfRule type="cellIs" dxfId="8114" priority="14300" operator="greaterThan">
      <formula>0</formula>
    </cfRule>
  </conditionalFormatting>
  <conditionalFormatting sqref="KN47">
    <cfRule type="cellIs" dxfId="8113" priority="14297" operator="lessThan">
      <formula>0</formula>
    </cfRule>
    <cfRule type="cellIs" dxfId="8112" priority="14298" operator="greaterThan">
      <formula>0</formula>
    </cfRule>
  </conditionalFormatting>
  <conditionalFormatting sqref="KN44">
    <cfRule type="cellIs" dxfId="8111" priority="14295" operator="lessThan">
      <formula>0</formula>
    </cfRule>
    <cfRule type="cellIs" dxfId="8110" priority="14296" operator="greaterThan">
      <formula>0</formula>
    </cfRule>
  </conditionalFormatting>
  <conditionalFormatting sqref="KN23:KN24">
    <cfRule type="cellIs" dxfId="8109" priority="14291" operator="lessThan">
      <formula>0</formula>
    </cfRule>
    <cfRule type="cellIs" dxfId="8108" priority="14292" operator="greaterThan">
      <formula>0</formula>
    </cfRule>
  </conditionalFormatting>
  <conditionalFormatting sqref="KN33:KN34">
    <cfRule type="cellIs" dxfId="8107" priority="14289" operator="lessThan">
      <formula>0</formula>
    </cfRule>
    <cfRule type="cellIs" dxfId="8106" priority="14290" operator="greaterThan">
      <formula>0</formula>
    </cfRule>
  </conditionalFormatting>
  <conditionalFormatting sqref="KN101">
    <cfRule type="cellIs" dxfId="8105" priority="14281" operator="lessThan">
      <formula>0</formula>
    </cfRule>
    <cfRule type="cellIs" dxfId="8104" priority="14282" operator="greaterThan">
      <formula>0</formula>
    </cfRule>
  </conditionalFormatting>
  <conditionalFormatting sqref="KN104">
    <cfRule type="cellIs" dxfId="8103" priority="14279" operator="lessThan">
      <formula>0</formula>
    </cfRule>
    <cfRule type="cellIs" dxfId="8102" priority="14280" operator="greaterThan">
      <formula>0</formula>
    </cfRule>
  </conditionalFormatting>
  <conditionalFormatting sqref="KN48:KN49">
    <cfRule type="cellIs" dxfId="8101" priority="14245" operator="lessThan">
      <formula>0</formula>
    </cfRule>
    <cfRule type="cellIs" dxfId="8100" priority="14246" operator="greaterThan">
      <formula>0</formula>
    </cfRule>
  </conditionalFormatting>
  <conditionalFormatting sqref="KP98">
    <cfRule type="cellIs" dxfId="8099" priority="14180" operator="lessThan">
      <formula>0</formula>
    </cfRule>
    <cfRule type="cellIs" dxfId="8098" priority="14181" operator="greaterThan">
      <formula>0</formula>
    </cfRule>
  </conditionalFormatting>
  <conditionalFormatting sqref="KP6 KP9:KP11">
    <cfRule type="cellIs" dxfId="8097" priority="14220" operator="lessThan">
      <formula>0</formula>
    </cfRule>
    <cfRule type="cellIs" dxfId="8096" priority="14221" operator="greaterThan">
      <formula>0</formula>
    </cfRule>
  </conditionalFormatting>
  <conditionalFormatting sqref="KP43:KP44">
    <cfRule type="cellIs" dxfId="8095" priority="14184" operator="lessThan">
      <formula>0</formula>
    </cfRule>
    <cfRule type="cellIs" dxfId="8094" priority="14185" operator="greaterThan">
      <formula>0</formula>
    </cfRule>
  </conditionalFormatting>
  <conditionalFormatting sqref="KP11 KP19 KP3 KP24:KP32 KP34:KP42 KP69:KP79">
    <cfRule type="cellIs" dxfId="8093" priority="14230" operator="lessThan">
      <formula>0</formula>
    </cfRule>
    <cfRule type="cellIs" dxfId="8092" priority="14231" operator="greaterThan">
      <formula>0</formula>
    </cfRule>
  </conditionalFormatting>
  <conditionalFormatting sqref="KP4:KP5">
    <cfRule type="cellIs" dxfId="8091" priority="14222" operator="lessThan">
      <formula>0</formula>
    </cfRule>
    <cfRule type="cellIs" dxfId="8090" priority="14223" operator="greaterThan">
      <formula>0</formula>
    </cfRule>
  </conditionalFormatting>
  <conditionalFormatting sqref="KP12:KP13">
    <cfRule type="cellIs" dxfId="8089" priority="14218" operator="lessThan">
      <formula>0</formula>
    </cfRule>
    <cfRule type="cellIs" dxfId="8088" priority="14219" operator="greaterThan">
      <formula>0</formula>
    </cfRule>
  </conditionalFormatting>
  <conditionalFormatting sqref="KP14:KP19">
    <cfRule type="cellIs" dxfId="8087" priority="14216" operator="lessThan">
      <formula>0</formula>
    </cfRule>
    <cfRule type="cellIs" dxfId="8086" priority="14217" operator="greaterThan">
      <formula>0</formula>
    </cfRule>
  </conditionalFormatting>
  <conditionalFormatting sqref="KP20:KP22">
    <cfRule type="cellIs" dxfId="8085" priority="14214" operator="lessThan">
      <formula>0</formula>
    </cfRule>
    <cfRule type="cellIs" dxfId="8084" priority="14215" operator="greaterThan">
      <formula>0</formula>
    </cfRule>
  </conditionalFormatting>
  <conditionalFormatting sqref="KP45:KP46">
    <cfRule type="cellIs" dxfId="8083" priority="14228" operator="lessThan">
      <formula>0</formula>
    </cfRule>
    <cfRule type="cellIs" dxfId="8082" priority="14229" operator="greaterThan">
      <formula>0</formula>
    </cfRule>
  </conditionalFormatting>
  <conditionalFormatting sqref="KP7">
    <cfRule type="cellIs" dxfId="8081" priority="14200" operator="lessThan">
      <formula>0</formula>
    </cfRule>
    <cfRule type="cellIs" dxfId="8080" priority="14201" operator="greaterThan">
      <formula>0</formula>
    </cfRule>
  </conditionalFormatting>
  <conditionalFormatting sqref="KP7">
    <cfRule type="cellIs" dxfId="8079" priority="14198" operator="lessThan">
      <formula>0</formula>
    </cfRule>
    <cfRule type="cellIs" dxfId="8078" priority="14199" operator="greaterThan">
      <formula>0</formula>
    </cfRule>
  </conditionalFormatting>
  <conditionalFormatting sqref="KP8">
    <cfRule type="cellIs" dxfId="8077" priority="14196" operator="lessThan">
      <formula>0</formula>
    </cfRule>
    <cfRule type="cellIs" dxfId="8076" priority="14197" operator="greaterThan">
      <formula>0</formula>
    </cfRule>
  </conditionalFormatting>
  <conditionalFormatting sqref="KP47">
    <cfRule type="cellIs" dxfId="8075" priority="14194" operator="lessThan">
      <formula>0</formula>
    </cfRule>
    <cfRule type="cellIs" dxfId="8074" priority="14195" operator="greaterThan">
      <formula>0</formula>
    </cfRule>
  </conditionalFormatting>
  <conditionalFormatting sqref="KP44">
    <cfRule type="cellIs" dxfId="8073" priority="14192" operator="lessThan">
      <formula>0</formula>
    </cfRule>
    <cfRule type="cellIs" dxfId="8072" priority="14193" operator="greaterThan">
      <formula>0</formula>
    </cfRule>
  </conditionalFormatting>
  <conditionalFormatting sqref="KP23:KP24">
    <cfRule type="cellIs" dxfId="8071" priority="14188" operator="lessThan">
      <formula>0</formula>
    </cfRule>
    <cfRule type="cellIs" dxfId="8070" priority="14189" operator="greaterThan">
      <formula>0</formula>
    </cfRule>
  </conditionalFormatting>
  <conditionalFormatting sqref="KP33:KP34">
    <cfRule type="cellIs" dxfId="8069" priority="14186" operator="lessThan">
      <formula>0</formula>
    </cfRule>
    <cfRule type="cellIs" dxfId="8068" priority="14187" operator="greaterThan">
      <formula>0</formula>
    </cfRule>
  </conditionalFormatting>
  <conditionalFormatting sqref="KP101">
    <cfRule type="cellIs" dxfId="8067" priority="14178" operator="lessThan">
      <formula>0</formula>
    </cfRule>
    <cfRule type="cellIs" dxfId="8066" priority="14179" operator="greaterThan">
      <formula>0</formula>
    </cfRule>
  </conditionalFormatting>
  <conditionalFormatting sqref="KP104">
    <cfRule type="cellIs" dxfId="8065" priority="14176" operator="lessThan">
      <formula>0</formula>
    </cfRule>
    <cfRule type="cellIs" dxfId="8064" priority="14177" operator="greaterThan">
      <formula>0</formula>
    </cfRule>
  </conditionalFormatting>
  <conditionalFormatting sqref="KP48:KP49">
    <cfRule type="cellIs" dxfId="8063" priority="14142" operator="lessThan">
      <formula>0</formula>
    </cfRule>
    <cfRule type="cellIs" dxfId="8062" priority="14143" operator="greaterThan">
      <formula>0</formula>
    </cfRule>
  </conditionalFormatting>
  <conditionalFormatting sqref="KR98">
    <cfRule type="cellIs" dxfId="8061" priority="14077" operator="lessThan">
      <formula>0</formula>
    </cfRule>
    <cfRule type="cellIs" dxfId="8060" priority="14078" operator="greaterThan">
      <formula>0</formula>
    </cfRule>
  </conditionalFormatting>
  <conditionalFormatting sqref="KR6 KR9:KR11">
    <cfRule type="cellIs" dxfId="8059" priority="14117" operator="lessThan">
      <formula>0</formula>
    </cfRule>
    <cfRule type="cellIs" dxfId="8058" priority="14118" operator="greaterThan">
      <formula>0</formula>
    </cfRule>
  </conditionalFormatting>
  <conditionalFormatting sqref="KR43:KR44">
    <cfRule type="cellIs" dxfId="8057" priority="14081" operator="lessThan">
      <formula>0</formula>
    </cfRule>
    <cfRule type="cellIs" dxfId="8056" priority="14082" operator="greaterThan">
      <formula>0</formula>
    </cfRule>
  </conditionalFormatting>
  <conditionalFormatting sqref="KR11 KR19 KR3 KR24:KR32 KR34:KR42 KR69:KR79">
    <cfRule type="cellIs" dxfId="8055" priority="14127" operator="lessThan">
      <formula>0</formula>
    </cfRule>
    <cfRule type="cellIs" dxfId="8054" priority="14128" operator="greaterThan">
      <formula>0</formula>
    </cfRule>
  </conditionalFormatting>
  <conditionalFormatting sqref="KR4:KR5">
    <cfRule type="cellIs" dxfId="8053" priority="14119" operator="lessThan">
      <formula>0</formula>
    </cfRule>
    <cfRule type="cellIs" dxfId="8052" priority="14120" operator="greaterThan">
      <formula>0</formula>
    </cfRule>
  </conditionalFormatting>
  <conditionalFormatting sqref="KR12:KR13">
    <cfRule type="cellIs" dxfId="8051" priority="14115" operator="lessThan">
      <formula>0</formula>
    </cfRule>
    <cfRule type="cellIs" dxfId="8050" priority="14116" operator="greaterThan">
      <formula>0</formula>
    </cfRule>
  </conditionalFormatting>
  <conditionalFormatting sqref="KR14:KR19">
    <cfRule type="cellIs" dxfId="8049" priority="14113" operator="lessThan">
      <formula>0</formula>
    </cfRule>
    <cfRule type="cellIs" dxfId="8048" priority="14114" operator="greaterThan">
      <formula>0</formula>
    </cfRule>
  </conditionalFormatting>
  <conditionalFormatting sqref="KR20:KR22">
    <cfRule type="cellIs" dxfId="8047" priority="14111" operator="lessThan">
      <formula>0</formula>
    </cfRule>
    <cfRule type="cellIs" dxfId="8046" priority="14112" operator="greaterThan">
      <formula>0</formula>
    </cfRule>
  </conditionalFormatting>
  <conditionalFormatting sqref="KR45:KR46">
    <cfRule type="cellIs" dxfId="8045" priority="14125" operator="lessThan">
      <formula>0</formula>
    </cfRule>
    <cfRule type="cellIs" dxfId="8044" priority="14126" operator="greaterThan">
      <formula>0</formula>
    </cfRule>
  </conditionalFormatting>
  <conditionalFormatting sqref="KR7">
    <cfRule type="cellIs" dxfId="8043" priority="14097" operator="lessThan">
      <formula>0</formula>
    </cfRule>
    <cfRule type="cellIs" dxfId="8042" priority="14098" operator="greaterThan">
      <formula>0</formula>
    </cfRule>
  </conditionalFormatting>
  <conditionalFormatting sqref="KR7">
    <cfRule type="cellIs" dxfId="8041" priority="14095" operator="lessThan">
      <formula>0</formula>
    </cfRule>
    <cfRule type="cellIs" dxfId="8040" priority="14096" operator="greaterThan">
      <formula>0</formula>
    </cfRule>
  </conditionalFormatting>
  <conditionalFormatting sqref="KR8">
    <cfRule type="cellIs" dxfId="8039" priority="14093" operator="lessThan">
      <formula>0</formula>
    </cfRule>
    <cfRule type="cellIs" dxfId="8038" priority="14094" operator="greaterThan">
      <formula>0</formula>
    </cfRule>
  </conditionalFormatting>
  <conditionalFormatting sqref="KR47">
    <cfRule type="cellIs" dxfId="8037" priority="14091" operator="lessThan">
      <formula>0</formula>
    </cfRule>
    <cfRule type="cellIs" dxfId="8036" priority="14092" operator="greaterThan">
      <formula>0</formula>
    </cfRule>
  </conditionalFormatting>
  <conditionalFormatting sqref="KR44">
    <cfRule type="cellIs" dxfId="8035" priority="14089" operator="lessThan">
      <formula>0</formula>
    </cfRule>
    <cfRule type="cellIs" dxfId="8034" priority="14090" operator="greaterThan">
      <formula>0</formula>
    </cfRule>
  </conditionalFormatting>
  <conditionalFormatting sqref="KR23:KR24">
    <cfRule type="cellIs" dxfId="8033" priority="14085" operator="lessThan">
      <formula>0</formula>
    </cfRule>
    <cfRule type="cellIs" dxfId="8032" priority="14086" operator="greaterThan">
      <formula>0</formula>
    </cfRule>
  </conditionalFormatting>
  <conditionalFormatting sqref="KR33:KR34">
    <cfRule type="cellIs" dxfId="8031" priority="14083" operator="lessThan">
      <formula>0</formula>
    </cfRule>
    <cfRule type="cellIs" dxfId="8030" priority="14084" operator="greaterThan">
      <formula>0</formula>
    </cfRule>
  </conditionalFormatting>
  <conditionalFormatting sqref="KR101">
    <cfRule type="cellIs" dxfId="8029" priority="14075" operator="lessThan">
      <formula>0</formula>
    </cfRule>
    <cfRule type="cellIs" dxfId="8028" priority="14076" operator="greaterThan">
      <formula>0</formula>
    </cfRule>
  </conditionalFormatting>
  <conditionalFormatting sqref="KR104">
    <cfRule type="cellIs" dxfId="8027" priority="14073" operator="lessThan">
      <formula>0</formula>
    </cfRule>
    <cfRule type="cellIs" dxfId="8026" priority="14074" operator="greaterThan">
      <formula>0</formula>
    </cfRule>
  </conditionalFormatting>
  <conditionalFormatting sqref="KR48:KR49">
    <cfRule type="cellIs" dxfId="8025" priority="14039" operator="lessThan">
      <formula>0</formula>
    </cfRule>
    <cfRule type="cellIs" dxfId="8024" priority="14040" operator="greaterThan">
      <formula>0</formula>
    </cfRule>
  </conditionalFormatting>
  <conditionalFormatting sqref="KT98">
    <cfRule type="cellIs" dxfId="8023" priority="13974" operator="lessThan">
      <formula>0</formula>
    </cfRule>
    <cfRule type="cellIs" dxfId="8022" priority="13975" operator="greaterThan">
      <formula>0</formula>
    </cfRule>
  </conditionalFormatting>
  <conditionalFormatting sqref="KT6 KT9:KT11">
    <cfRule type="cellIs" dxfId="8021" priority="14014" operator="lessThan">
      <formula>0</formula>
    </cfRule>
    <cfRule type="cellIs" dxfId="8020" priority="14015" operator="greaterThan">
      <formula>0</formula>
    </cfRule>
  </conditionalFormatting>
  <conditionalFormatting sqref="KT43:KT44">
    <cfRule type="cellIs" dxfId="8019" priority="13978" operator="lessThan">
      <formula>0</formula>
    </cfRule>
    <cfRule type="cellIs" dxfId="8018" priority="13979" operator="greaterThan">
      <formula>0</formula>
    </cfRule>
  </conditionalFormatting>
  <conditionalFormatting sqref="KT11 KT19 KT3 KT24:KT32 KT34:KT42 KT69:KT79">
    <cfRule type="cellIs" dxfId="8017" priority="14024" operator="lessThan">
      <formula>0</formula>
    </cfRule>
    <cfRule type="cellIs" dxfId="8016" priority="14025" operator="greaterThan">
      <formula>0</formula>
    </cfRule>
  </conditionalFormatting>
  <conditionalFormatting sqref="KT4:KT5">
    <cfRule type="cellIs" dxfId="8015" priority="14016" operator="lessThan">
      <formula>0</formula>
    </cfRule>
    <cfRule type="cellIs" dxfId="8014" priority="14017" operator="greaterThan">
      <formula>0</formula>
    </cfRule>
  </conditionalFormatting>
  <conditionalFormatting sqref="KT12:KT13">
    <cfRule type="cellIs" dxfId="8013" priority="14012" operator="lessThan">
      <formula>0</formula>
    </cfRule>
    <cfRule type="cellIs" dxfId="8012" priority="14013" operator="greaterThan">
      <formula>0</formula>
    </cfRule>
  </conditionalFormatting>
  <conditionalFormatting sqref="KT14:KT19">
    <cfRule type="cellIs" dxfId="8011" priority="14010" operator="lessThan">
      <formula>0</formula>
    </cfRule>
    <cfRule type="cellIs" dxfId="8010" priority="14011" operator="greaterThan">
      <formula>0</formula>
    </cfRule>
  </conditionalFormatting>
  <conditionalFormatting sqref="KT20:KT22">
    <cfRule type="cellIs" dxfId="8009" priority="14008" operator="lessThan">
      <formula>0</formula>
    </cfRule>
    <cfRule type="cellIs" dxfId="8008" priority="14009" operator="greaterThan">
      <formula>0</formula>
    </cfRule>
  </conditionalFormatting>
  <conditionalFormatting sqref="KT45:KT46">
    <cfRule type="cellIs" dxfId="8007" priority="14022" operator="lessThan">
      <formula>0</formula>
    </cfRule>
    <cfRule type="cellIs" dxfId="8006" priority="14023" operator="greaterThan">
      <formula>0</formula>
    </cfRule>
  </conditionalFormatting>
  <conditionalFormatting sqref="KT7">
    <cfRule type="cellIs" dxfId="8005" priority="13994" operator="lessThan">
      <formula>0</formula>
    </cfRule>
    <cfRule type="cellIs" dxfId="8004" priority="13995" operator="greaterThan">
      <formula>0</formula>
    </cfRule>
  </conditionalFormatting>
  <conditionalFormatting sqref="KT7">
    <cfRule type="cellIs" dxfId="8003" priority="13992" operator="lessThan">
      <formula>0</formula>
    </cfRule>
    <cfRule type="cellIs" dxfId="8002" priority="13993" operator="greaterThan">
      <formula>0</formula>
    </cfRule>
  </conditionalFormatting>
  <conditionalFormatting sqref="KT8">
    <cfRule type="cellIs" dxfId="8001" priority="13990" operator="lessThan">
      <formula>0</formula>
    </cfRule>
    <cfRule type="cellIs" dxfId="8000" priority="13991" operator="greaterThan">
      <formula>0</formula>
    </cfRule>
  </conditionalFormatting>
  <conditionalFormatting sqref="KT47">
    <cfRule type="cellIs" dxfId="7999" priority="13988" operator="lessThan">
      <formula>0</formula>
    </cfRule>
    <cfRule type="cellIs" dxfId="7998" priority="13989" operator="greaterThan">
      <formula>0</formula>
    </cfRule>
  </conditionalFormatting>
  <conditionalFormatting sqref="KT44">
    <cfRule type="cellIs" dxfId="7997" priority="13986" operator="lessThan">
      <formula>0</formula>
    </cfRule>
    <cfRule type="cellIs" dxfId="7996" priority="13987" operator="greaterThan">
      <formula>0</formula>
    </cfRule>
  </conditionalFormatting>
  <conditionalFormatting sqref="KT23:KT24">
    <cfRule type="cellIs" dxfId="7995" priority="13982" operator="lessThan">
      <formula>0</formula>
    </cfRule>
    <cfRule type="cellIs" dxfId="7994" priority="13983" operator="greaterThan">
      <formula>0</formula>
    </cfRule>
  </conditionalFormatting>
  <conditionalFormatting sqref="KT33:KT34">
    <cfRule type="cellIs" dxfId="7993" priority="13980" operator="lessThan">
      <formula>0</formula>
    </cfRule>
    <cfRule type="cellIs" dxfId="7992" priority="13981" operator="greaterThan">
      <formula>0</formula>
    </cfRule>
  </conditionalFormatting>
  <conditionalFormatting sqref="KT101">
    <cfRule type="cellIs" dxfId="7991" priority="13972" operator="lessThan">
      <formula>0</formula>
    </cfRule>
    <cfRule type="cellIs" dxfId="7990" priority="13973" operator="greaterThan">
      <formula>0</formula>
    </cfRule>
  </conditionalFormatting>
  <conditionalFormatting sqref="KT104">
    <cfRule type="cellIs" dxfId="7989" priority="13970" operator="lessThan">
      <formula>0</formula>
    </cfRule>
    <cfRule type="cellIs" dxfId="7988" priority="13971" operator="greaterThan">
      <formula>0</formula>
    </cfRule>
  </conditionalFormatting>
  <conditionalFormatting sqref="KT48:KT49">
    <cfRule type="cellIs" dxfId="7987" priority="13936" operator="lessThan">
      <formula>0</formula>
    </cfRule>
    <cfRule type="cellIs" dxfId="7986" priority="13937" operator="greaterThan">
      <formula>0</formula>
    </cfRule>
  </conditionalFormatting>
  <conditionalFormatting sqref="KV98">
    <cfRule type="cellIs" dxfId="7985" priority="13871" operator="lessThan">
      <formula>0</formula>
    </cfRule>
    <cfRule type="cellIs" dxfId="7984" priority="13872" operator="greaterThan">
      <formula>0</formula>
    </cfRule>
  </conditionalFormatting>
  <conditionalFormatting sqref="KV6 KV9:KV11">
    <cfRule type="cellIs" dxfId="7983" priority="13911" operator="lessThan">
      <formula>0</formula>
    </cfRule>
    <cfRule type="cellIs" dxfId="7982" priority="13912" operator="greaterThan">
      <formula>0</formula>
    </cfRule>
  </conditionalFormatting>
  <conditionalFormatting sqref="KV43:KV44">
    <cfRule type="cellIs" dxfId="7981" priority="13875" operator="lessThan">
      <formula>0</formula>
    </cfRule>
    <cfRule type="cellIs" dxfId="7980" priority="13876" operator="greaterThan">
      <formula>0</formula>
    </cfRule>
  </conditionalFormatting>
  <conditionalFormatting sqref="KV11 KV19 KV3 KV24:KV32 KV34:KV42 KV69:KV79">
    <cfRule type="cellIs" dxfId="7979" priority="13921" operator="lessThan">
      <formula>0</formula>
    </cfRule>
    <cfRule type="cellIs" dxfId="7978" priority="13922" operator="greaterThan">
      <formula>0</formula>
    </cfRule>
  </conditionalFormatting>
  <conditionalFormatting sqref="KV4:KV5">
    <cfRule type="cellIs" dxfId="7977" priority="13913" operator="lessThan">
      <formula>0</formula>
    </cfRule>
    <cfRule type="cellIs" dxfId="7976" priority="13914" operator="greaterThan">
      <formula>0</formula>
    </cfRule>
  </conditionalFormatting>
  <conditionalFormatting sqref="KV12:KV13">
    <cfRule type="cellIs" dxfId="7975" priority="13909" operator="lessThan">
      <formula>0</formula>
    </cfRule>
    <cfRule type="cellIs" dxfId="7974" priority="13910" operator="greaterThan">
      <formula>0</formula>
    </cfRule>
  </conditionalFormatting>
  <conditionalFormatting sqref="KV14:KV19">
    <cfRule type="cellIs" dxfId="7973" priority="13907" operator="lessThan">
      <formula>0</formula>
    </cfRule>
    <cfRule type="cellIs" dxfId="7972" priority="13908" operator="greaterThan">
      <formula>0</formula>
    </cfRule>
  </conditionalFormatting>
  <conditionalFormatting sqref="KV20:KV22">
    <cfRule type="cellIs" dxfId="7971" priority="13905" operator="lessThan">
      <formula>0</formula>
    </cfRule>
    <cfRule type="cellIs" dxfId="7970" priority="13906" operator="greaterThan">
      <formula>0</formula>
    </cfRule>
  </conditionalFormatting>
  <conditionalFormatting sqref="KV45:KV46">
    <cfRule type="cellIs" dxfId="7969" priority="13919" operator="lessThan">
      <formula>0</formula>
    </cfRule>
    <cfRule type="cellIs" dxfId="7968" priority="13920" operator="greaterThan">
      <formula>0</formula>
    </cfRule>
  </conditionalFormatting>
  <conditionalFormatting sqref="KV7">
    <cfRule type="cellIs" dxfId="7967" priority="13891" operator="lessThan">
      <formula>0</formula>
    </cfRule>
    <cfRule type="cellIs" dxfId="7966" priority="13892" operator="greaterThan">
      <formula>0</formula>
    </cfRule>
  </conditionalFormatting>
  <conditionalFormatting sqref="KV7">
    <cfRule type="cellIs" dxfId="7965" priority="13889" operator="lessThan">
      <formula>0</formula>
    </cfRule>
    <cfRule type="cellIs" dxfId="7964" priority="13890" operator="greaterThan">
      <formula>0</formula>
    </cfRule>
  </conditionalFormatting>
  <conditionalFormatting sqref="KV8">
    <cfRule type="cellIs" dxfId="7963" priority="13887" operator="lessThan">
      <formula>0</formula>
    </cfRule>
    <cfRule type="cellIs" dxfId="7962" priority="13888" operator="greaterThan">
      <formula>0</formula>
    </cfRule>
  </conditionalFormatting>
  <conditionalFormatting sqref="KV47">
    <cfRule type="cellIs" dxfId="7961" priority="13885" operator="lessThan">
      <formula>0</formula>
    </cfRule>
    <cfRule type="cellIs" dxfId="7960" priority="13886" operator="greaterThan">
      <formula>0</formula>
    </cfRule>
  </conditionalFormatting>
  <conditionalFormatting sqref="KV44">
    <cfRule type="cellIs" dxfId="7959" priority="13883" operator="lessThan">
      <formula>0</formula>
    </cfRule>
    <cfRule type="cellIs" dxfId="7958" priority="13884" operator="greaterThan">
      <formula>0</formula>
    </cfRule>
  </conditionalFormatting>
  <conditionalFormatting sqref="KV23:KV24">
    <cfRule type="cellIs" dxfId="7957" priority="13879" operator="lessThan">
      <formula>0</formula>
    </cfRule>
    <cfRule type="cellIs" dxfId="7956" priority="13880" operator="greaterThan">
      <formula>0</formula>
    </cfRule>
  </conditionalFormatting>
  <conditionalFormatting sqref="KV33:KV34">
    <cfRule type="cellIs" dxfId="7955" priority="13877" operator="lessThan">
      <formula>0</formula>
    </cfRule>
    <cfRule type="cellIs" dxfId="7954" priority="13878" operator="greaterThan">
      <formula>0</formula>
    </cfRule>
  </conditionalFormatting>
  <conditionalFormatting sqref="KV101">
    <cfRule type="cellIs" dxfId="7953" priority="13869" operator="lessThan">
      <formula>0</formula>
    </cfRule>
    <cfRule type="cellIs" dxfId="7952" priority="13870" operator="greaterThan">
      <formula>0</formula>
    </cfRule>
  </conditionalFormatting>
  <conditionalFormatting sqref="KV104">
    <cfRule type="cellIs" dxfId="7951" priority="13867" operator="lessThan">
      <formula>0</formula>
    </cfRule>
    <cfRule type="cellIs" dxfId="7950" priority="13868" operator="greaterThan">
      <formula>0</formula>
    </cfRule>
  </conditionalFormatting>
  <conditionalFormatting sqref="KV48:KV49">
    <cfRule type="cellIs" dxfId="7949" priority="13833" operator="lessThan">
      <formula>0</formula>
    </cfRule>
    <cfRule type="cellIs" dxfId="7948" priority="13834" operator="greaterThan">
      <formula>0</formula>
    </cfRule>
  </conditionalFormatting>
  <conditionalFormatting sqref="KX98">
    <cfRule type="cellIs" dxfId="7947" priority="13768" operator="lessThan">
      <formula>0</formula>
    </cfRule>
    <cfRule type="cellIs" dxfId="7946" priority="13769" operator="greaterThan">
      <formula>0</formula>
    </cfRule>
  </conditionalFormatting>
  <conditionalFormatting sqref="KX6 KX9:KX11">
    <cfRule type="cellIs" dxfId="7945" priority="13808" operator="lessThan">
      <formula>0</formula>
    </cfRule>
    <cfRule type="cellIs" dxfId="7944" priority="13809" operator="greaterThan">
      <formula>0</formula>
    </cfRule>
  </conditionalFormatting>
  <conditionalFormatting sqref="KX43:KX44">
    <cfRule type="cellIs" dxfId="7943" priority="13772" operator="lessThan">
      <formula>0</formula>
    </cfRule>
    <cfRule type="cellIs" dxfId="7942" priority="13773" operator="greaterThan">
      <formula>0</formula>
    </cfRule>
  </conditionalFormatting>
  <conditionalFormatting sqref="KX11 KX19 KX3 KX24:KX32 KX34:KX42 KX69:KX79">
    <cfRule type="cellIs" dxfId="7941" priority="13818" operator="lessThan">
      <formula>0</formula>
    </cfRule>
    <cfRule type="cellIs" dxfId="7940" priority="13819" operator="greaterThan">
      <formula>0</formula>
    </cfRule>
  </conditionalFormatting>
  <conditionalFormatting sqref="KX4:KX5">
    <cfRule type="cellIs" dxfId="7939" priority="13810" operator="lessThan">
      <formula>0</formula>
    </cfRule>
    <cfRule type="cellIs" dxfId="7938" priority="13811" operator="greaterThan">
      <formula>0</formula>
    </cfRule>
  </conditionalFormatting>
  <conditionalFormatting sqref="KX12:KX13">
    <cfRule type="cellIs" dxfId="7937" priority="13806" operator="lessThan">
      <formula>0</formula>
    </cfRule>
    <cfRule type="cellIs" dxfId="7936" priority="13807" operator="greaterThan">
      <formula>0</formula>
    </cfRule>
  </conditionalFormatting>
  <conditionalFormatting sqref="KX14:KX19">
    <cfRule type="cellIs" dxfId="7935" priority="13804" operator="lessThan">
      <formula>0</formula>
    </cfRule>
    <cfRule type="cellIs" dxfId="7934" priority="13805" operator="greaterThan">
      <formula>0</formula>
    </cfRule>
  </conditionalFormatting>
  <conditionalFormatting sqref="KX20:KX22">
    <cfRule type="cellIs" dxfId="7933" priority="13802" operator="lessThan">
      <formula>0</formula>
    </cfRule>
    <cfRule type="cellIs" dxfId="7932" priority="13803" operator="greaterThan">
      <formula>0</formula>
    </cfRule>
  </conditionalFormatting>
  <conditionalFormatting sqref="KX45:KX46">
    <cfRule type="cellIs" dxfId="7931" priority="13816" operator="lessThan">
      <formula>0</formula>
    </cfRule>
    <cfRule type="cellIs" dxfId="7930" priority="13817" operator="greaterThan">
      <formula>0</formula>
    </cfRule>
  </conditionalFormatting>
  <conditionalFormatting sqref="KX7">
    <cfRule type="cellIs" dxfId="7929" priority="13788" operator="lessThan">
      <formula>0</formula>
    </cfRule>
    <cfRule type="cellIs" dxfId="7928" priority="13789" operator="greaterThan">
      <formula>0</formula>
    </cfRule>
  </conditionalFormatting>
  <conditionalFormatting sqref="KX7">
    <cfRule type="cellIs" dxfId="7927" priority="13786" operator="lessThan">
      <formula>0</formula>
    </cfRule>
    <cfRule type="cellIs" dxfId="7926" priority="13787" operator="greaterThan">
      <formula>0</formula>
    </cfRule>
  </conditionalFormatting>
  <conditionalFormatting sqref="KX8">
    <cfRule type="cellIs" dxfId="7925" priority="13784" operator="lessThan">
      <formula>0</formula>
    </cfRule>
    <cfRule type="cellIs" dxfId="7924" priority="13785" operator="greaterThan">
      <formula>0</formula>
    </cfRule>
  </conditionalFormatting>
  <conditionalFormatting sqref="KX47">
    <cfRule type="cellIs" dxfId="7923" priority="13782" operator="lessThan">
      <formula>0</formula>
    </cfRule>
    <cfRule type="cellIs" dxfId="7922" priority="13783" operator="greaterThan">
      <formula>0</formula>
    </cfRule>
  </conditionalFormatting>
  <conditionalFormatting sqref="KX44">
    <cfRule type="cellIs" dxfId="7921" priority="13780" operator="lessThan">
      <formula>0</formula>
    </cfRule>
    <cfRule type="cellIs" dxfId="7920" priority="13781" operator="greaterThan">
      <formula>0</formula>
    </cfRule>
  </conditionalFormatting>
  <conditionalFormatting sqref="KX23:KX24">
    <cfRule type="cellIs" dxfId="7919" priority="13776" operator="lessThan">
      <formula>0</formula>
    </cfRule>
    <cfRule type="cellIs" dxfId="7918" priority="13777" operator="greaterThan">
      <formula>0</formula>
    </cfRule>
  </conditionalFormatting>
  <conditionalFormatting sqref="KX33:KX34">
    <cfRule type="cellIs" dxfId="7917" priority="13774" operator="lessThan">
      <formula>0</formula>
    </cfRule>
    <cfRule type="cellIs" dxfId="7916" priority="13775" operator="greaterThan">
      <formula>0</formula>
    </cfRule>
  </conditionalFormatting>
  <conditionalFormatting sqref="KX101">
    <cfRule type="cellIs" dxfId="7915" priority="13766" operator="lessThan">
      <formula>0</formula>
    </cfRule>
    <cfRule type="cellIs" dxfId="7914" priority="13767" operator="greaterThan">
      <formula>0</formula>
    </cfRule>
  </conditionalFormatting>
  <conditionalFormatting sqref="KX104">
    <cfRule type="cellIs" dxfId="7913" priority="13764" operator="lessThan">
      <formula>0</formula>
    </cfRule>
    <cfRule type="cellIs" dxfId="7912" priority="13765" operator="greaterThan">
      <formula>0</formula>
    </cfRule>
  </conditionalFormatting>
  <conditionalFormatting sqref="KX48:KX49">
    <cfRule type="cellIs" dxfId="7911" priority="13730" operator="lessThan">
      <formula>0</formula>
    </cfRule>
    <cfRule type="cellIs" dxfId="7910" priority="13731" operator="greaterThan">
      <formula>0</formula>
    </cfRule>
  </conditionalFormatting>
  <conditionalFormatting sqref="KZ98">
    <cfRule type="cellIs" dxfId="7909" priority="13665" operator="lessThan">
      <formula>0</formula>
    </cfRule>
    <cfRule type="cellIs" dxfId="7908" priority="13666" operator="greaterThan">
      <formula>0</formula>
    </cfRule>
  </conditionalFormatting>
  <conditionalFormatting sqref="KZ6 KZ9:KZ11">
    <cfRule type="cellIs" dxfId="7907" priority="13705" operator="lessThan">
      <formula>0</formula>
    </cfRule>
    <cfRule type="cellIs" dxfId="7906" priority="13706" operator="greaterThan">
      <formula>0</formula>
    </cfRule>
  </conditionalFormatting>
  <conditionalFormatting sqref="KZ43:KZ44">
    <cfRule type="cellIs" dxfId="7905" priority="13669" operator="lessThan">
      <formula>0</formula>
    </cfRule>
    <cfRule type="cellIs" dxfId="7904" priority="13670" operator="greaterThan">
      <formula>0</formula>
    </cfRule>
  </conditionalFormatting>
  <conditionalFormatting sqref="KZ11 KZ19 KZ3 KZ24:KZ32 KZ34:KZ42 KZ69:KZ79">
    <cfRule type="cellIs" dxfId="7903" priority="13715" operator="lessThan">
      <formula>0</formula>
    </cfRule>
    <cfRule type="cellIs" dxfId="7902" priority="13716" operator="greaterThan">
      <formula>0</formula>
    </cfRule>
  </conditionalFormatting>
  <conditionalFormatting sqref="KZ4:KZ5">
    <cfRule type="cellIs" dxfId="7901" priority="13707" operator="lessThan">
      <formula>0</formula>
    </cfRule>
    <cfRule type="cellIs" dxfId="7900" priority="13708" operator="greaterThan">
      <formula>0</formula>
    </cfRule>
  </conditionalFormatting>
  <conditionalFormatting sqref="KZ12:KZ13">
    <cfRule type="cellIs" dxfId="7899" priority="13703" operator="lessThan">
      <formula>0</formula>
    </cfRule>
    <cfRule type="cellIs" dxfId="7898" priority="13704" operator="greaterThan">
      <formula>0</formula>
    </cfRule>
  </conditionalFormatting>
  <conditionalFormatting sqref="KZ14:KZ19">
    <cfRule type="cellIs" dxfId="7897" priority="13701" operator="lessThan">
      <formula>0</formula>
    </cfRule>
    <cfRule type="cellIs" dxfId="7896" priority="13702" operator="greaterThan">
      <formula>0</formula>
    </cfRule>
  </conditionalFormatting>
  <conditionalFormatting sqref="KZ20:KZ22">
    <cfRule type="cellIs" dxfId="7895" priority="13699" operator="lessThan">
      <formula>0</formula>
    </cfRule>
    <cfRule type="cellIs" dxfId="7894" priority="13700" operator="greaterThan">
      <formula>0</formula>
    </cfRule>
  </conditionalFormatting>
  <conditionalFormatting sqref="KZ45:KZ46">
    <cfRule type="cellIs" dxfId="7893" priority="13713" operator="lessThan">
      <formula>0</formula>
    </cfRule>
    <cfRule type="cellIs" dxfId="7892" priority="13714" operator="greaterThan">
      <formula>0</formula>
    </cfRule>
  </conditionalFormatting>
  <conditionalFormatting sqref="KZ7">
    <cfRule type="cellIs" dxfId="7891" priority="13685" operator="lessThan">
      <formula>0</formula>
    </cfRule>
    <cfRule type="cellIs" dxfId="7890" priority="13686" operator="greaterThan">
      <formula>0</formula>
    </cfRule>
  </conditionalFormatting>
  <conditionalFormatting sqref="KZ7">
    <cfRule type="cellIs" dxfId="7889" priority="13683" operator="lessThan">
      <formula>0</formula>
    </cfRule>
    <cfRule type="cellIs" dxfId="7888" priority="13684" operator="greaterThan">
      <formula>0</formula>
    </cfRule>
  </conditionalFormatting>
  <conditionalFormatting sqref="KZ8">
    <cfRule type="cellIs" dxfId="7887" priority="13681" operator="lessThan">
      <formula>0</formula>
    </cfRule>
    <cfRule type="cellIs" dxfId="7886" priority="13682" operator="greaterThan">
      <formula>0</formula>
    </cfRule>
  </conditionalFormatting>
  <conditionalFormatting sqref="KZ47">
    <cfRule type="cellIs" dxfId="7885" priority="13679" operator="lessThan">
      <formula>0</formula>
    </cfRule>
    <cfRule type="cellIs" dxfId="7884" priority="13680" operator="greaterThan">
      <formula>0</formula>
    </cfRule>
  </conditionalFormatting>
  <conditionalFormatting sqref="KZ44">
    <cfRule type="cellIs" dxfId="7883" priority="13677" operator="lessThan">
      <formula>0</formula>
    </cfRule>
    <cfRule type="cellIs" dxfId="7882" priority="13678" operator="greaterThan">
      <formula>0</formula>
    </cfRule>
  </conditionalFormatting>
  <conditionalFormatting sqref="KZ23:KZ24">
    <cfRule type="cellIs" dxfId="7881" priority="13673" operator="lessThan">
      <formula>0</formula>
    </cfRule>
    <cfRule type="cellIs" dxfId="7880" priority="13674" operator="greaterThan">
      <formula>0</formula>
    </cfRule>
  </conditionalFormatting>
  <conditionalFormatting sqref="KZ33:KZ34">
    <cfRule type="cellIs" dxfId="7879" priority="13671" operator="lessThan">
      <formula>0</formula>
    </cfRule>
    <cfRule type="cellIs" dxfId="7878" priority="13672" operator="greaterThan">
      <formula>0</formula>
    </cfRule>
  </conditionalFormatting>
  <conditionalFormatting sqref="KZ101">
    <cfRule type="cellIs" dxfId="7877" priority="13663" operator="lessThan">
      <formula>0</formula>
    </cfRule>
    <cfRule type="cellIs" dxfId="7876" priority="13664" operator="greaterThan">
      <formula>0</formula>
    </cfRule>
  </conditionalFormatting>
  <conditionalFormatting sqref="KZ104">
    <cfRule type="cellIs" dxfId="7875" priority="13661" operator="lessThan">
      <formula>0</formula>
    </cfRule>
    <cfRule type="cellIs" dxfId="7874" priority="13662" operator="greaterThan">
      <formula>0</formula>
    </cfRule>
  </conditionalFormatting>
  <conditionalFormatting sqref="KZ48:KZ49">
    <cfRule type="cellIs" dxfId="7873" priority="13627" operator="lessThan">
      <formula>0</formula>
    </cfRule>
    <cfRule type="cellIs" dxfId="7872" priority="13628" operator="greaterThan">
      <formula>0</formula>
    </cfRule>
  </conditionalFormatting>
  <conditionalFormatting sqref="LB98">
    <cfRule type="cellIs" dxfId="7871" priority="13562" operator="lessThan">
      <formula>0</formula>
    </cfRule>
    <cfRule type="cellIs" dxfId="7870" priority="13563" operator="greaterThan">
      <formula>0</formula>
    </cfRule>
  </conditionalFormatting>
  <conditionalFormatting sqref="LB6 LB9:LB11">
    <cfRule type="cellIs" dxfId="7869" priority="13602" operator="lessThan">
      <formula>0</formula>
    </cfRule>
    <cfRule type="cellIs" dxfId="7868" priority="13603" operator="greaterThan">
      <formula>0</formula>
    </cfRule>
  </conditionalFormatting>
  <conditionalFormatting sqref="LB43:LB44">
    <cfRule type="cellIs" dxfId="7867" priority="13566" operator="lessThan">
      <formula>0</formula>
    </cfRule>
    <cfRule type="cellIs" dxfId="7866" priority="13567" operator="greaterThan">
      <formula>0</formula>
    </cfRule>
  </conditionalFormatting>
  <conditionalFormatting sqref="LB11 LB19 LB3 LB24:LB32 LB34:LB42 LB69:LB79">
    <cfRule type="cellIs" dxfId="7865" priority="13612" operator="lessThan">
      <formula>0</formula>
    </cfRule>
    <cfRule type="cellIs" dxfId="7864" priority="13613" operator="greaterThan">
      <formula>0</formula>
    </cfRule>
  </conditionalFormatting>
  <conditionalFormatting sqref="LB4:LB5">
    <cfRule type="cellIs" dxfId="7863" priority="13604" operator="lessThan">
      <formula>0</formula>
    </cfRule>
    <cfRule type="cellIs" dxfId="7862" priority="13605" operator="greaterThan">
      <formula>0</formula>
    </cfRule>
  </conditionalFormatting>
  <conditionalFormatting sqref="LB12:LB13">
    <cfRule type="cellIs" dxfId="7861" priority="13600" operator="lessThan">
      <formula>0</formula>
    </cfRule>
    <cfRule type="cellIs" dxfId="7860" priority="13601" operator="greaterThan">
      <formula>0</formula>
    </cfRule>
  </conditionalFormatting>
  <conditionalFormatting sqref="LB14:LB19">
    <cfRule type="cellIs" dxfId="7859" priority="13598" operator="lessThan">
      <formula>0</formula>
    </cfRule>
    <cfRule type="cellIs" dxfId="7858" priority="13599" operator="greaterThan">
      <formula>0</formula>
    </cfRule>
  </conditionalFormatting>
  <conditionalFormatting sqref="LB20:LB22">
    <cfRule type="cellIs" dxfId="7857" priority="13596" operator="lessThan">
      <formula>0</formula>
    </cfRule>
    <cfRule type="cellIs" dxfId="7856" priority="13597" operator="greaterThan">
      <formula>0</formula>
    </cfRule>
  </conditionalFormatting>
  <conditionalFormatting sqref="LB45:LB46">
    <cfRule type="cellIs" dxfId="7855" priority="13610" operator="lessThan">
      <formula>0</formula>
    </cfRule>
    <cfRule type="cellIs" dxfId="7854" priority="13611" operator="greaterThan">
      <formula>0</formula>
    </cfRule>
  </conditionalFormatting>
  <conditionalFormatting sqref="LB7">
    <cfRule type="cellIs" dxfId="7853" priority="13582" operator="lessThan">
      <formula>0</formula>
    </cfRule>
    <cfRule type="cellIs" dxfId="7852" priority="13583" operator="greaterThan">
      <formula>0</formula>
    </cfRule>
  </conditionalFormatting>
  <conditionalFormatting sqref="LB7">
    <cfRule type="cellIs" dxfId="7851" priority="13580" operator="lessThan">
      <formula>0</formula>
    </cfRule>
    <cfRule type="cellIs" dxfId="7850" priority="13581" operator="greaterThan">
      <formula>0</formula>
    </cfRule>
  </conditionalFormatting>
  <conditionalFormatting sqref="LB8">
    <cfRule type="cellIs" dxfId="7849" priority="13578" operator="lessThan">
      <formula>0</formula>
    </cfRule>
    <cfRule type="cellIs" dxfId="7848" priority="13579" operator="greaterThan">
      <formula>0</formula>
    </cfRule>
  </conditionalFormatting>
  <conditionalFormatting sqref="LB47">
    <cfRule type="cellIs" dxfId="7847" priority="13576" operator="lessThan">
      <formula>0</formula>
    </cfRule>
    <cfRule type="cellIs" dxfId="7846" priority="13577" operator="greaterThan">
      <formula>0</formula>
    </cfRule>
  </conditionalFormatting>
  <conditionalFormatting sqref="LB44">
    <cfRule type="cellIs" dxfId="7845" priority="13574" operator="lessThan">
      <formula>0</formula>
    </cfRule>
    <cfRule type="cellIs" dxfId="7844" priority="13575" operator="greaterThan">
      <formula>0</formula>
    </cfRule>
  </conditionalFormatting>
  <conditionalFormatting sqref="LB23:LB24">
    <cfRule type="cellIs" dxfId="7843" priority="13570" operator="lessThan">
      <formula>0</formula>
    </cfRule>
    <cfRule type="cellIs" dxfId="7842" priority="13571" operator="greaterThan">
      <formula>0</formula>
    </cfRule>
  </conditionalFormatting>
  <conditionalFormatting sqref="LB33:LB34">
    <cfRule type="cellIs" dxfId="7841" priority="13568" operator="lessThan">
      <formula>0</formula>
    </cfRule>
    <cfRule type="cellIs" dxfId="7840" priority="13569" operator="greaterThan">
      <formula>0</formula>
    </cfRule>
  </conditionalFormatting>
  <conditionalFormatting sqref="LB101">
    <cfRule type="cellIs" dxfId="7839" priority="13560" operator="lessThan">
      <formula>0</formula>
    </cfRule>
    <cfRule type="cellIs" dxfId="7838" priority="13561" operator="greaterThan">
      <formula>0</formula>
    </cfRule>
  </conditionalFormatting>
  <conditionalFormatting sqref="LB104">
    <cfRule type="cellIs" dxfId="7837" priority="13558" operator="lessThan">
      <formula>0</formula>
    </cfRule>
    <cfRule type="cellIs" dxfId="7836" priority="13559" operator="greaterThan">
      <formula>0</formula>
    </cfRule>
  </conditionalFormatting>
  <conditionalFormatting sqref="LB48:LB49">
    <cfRule type="cellIs" dxfId="7835" priority="13524" operator="lessThan">
      <formula>0</formula>
    </cfRule>
    <cfRule type="cellIs" dxfId="7834" priority="13525" operator="greaterThan">
      <formula>0</formula>
    </cfRule>
  </conditionalFormatting>
  <conditionalFormatting sqref="LD98">
    <cfRule type="cellIs" dxfId="7833" priority="13459" operator="lessThan">
      <formula>0</formula>
    </cfRule>
    <cfRule type="cellIs" dxfId="7832" priority="13460" operator="greaterThan">
      <formula>0</formula>
    </cfRule>
  </conditionalFormatting>
  <conditionalFormatting sqref="LD6 LD9:LD11">
    <cfRule type="cellIs" dxfId="7831" priority="13499" operator="lessThan">
      <formula>0</formula>
    </cfRule>
    <cfRule type="cellIs" dxfId="7830" priority="13500" operator="greaterThan">
      <formula>0</formula>
    </cfRule>
  </conditionalFormatting>
  <conditionalFormatting sqref="LD43:LD44">
    <cfRule type="cellIs" dxfId="7829" priority="13463" operator="lessThan">
      <formula>0</formula>
    </cfRule>
    <cfRule type="cellIs" dxfId="7828" priority="13464" operator="greaterThan">
      <formula>0</formula>
    </cfRule>
  </conditionalFormatting>
  <conditionalFormatting sqref="LD11 LD19 LD3 LD24:LD32 LD34:LD42 LD69:LD79">
    <cfRule type="cellIs" dxfId="7827" priority="13509" operator="lessThan">
      <formula>0</formula>
    </cfRule>
    <cfRule type="cellIs" dxfId="7826" priority="13510" operator="greaterThan">
      <formula>0</formula>
    </cfRule>
  </conditionalFormatting>
  <conditionalFormatting sqref="LD4:LD5">
    <cfRule type="cellIs" dxfId="7825" priority="13501" operator="lessThan">
      <formula>0</formula>
    </cfRule>
    <cfRule type="cellIs" dxfId="7824" priority="13502" operator="greaterThan">
      <formula>0</formula>
    </cfRule>
  </conditionalFormatting>
  <conditionalFormatting sqref="LD12:LD13">
    <cfRule type="cellIs" dxfId="7823" priority="13497" operator="lessThan">
      <formula>0</formula>
    </cfRule>
    <cfRule type="cellIs" dxfId="7822" priority="13498" operator="greaterThan">
      <formula>0</formula>
    </cfRule>
  </conditionalFormatting>
  <conditionalFormatting sqref="LD14:LD19">
    <cfRule type="cellIs" dxfId="7821" priority="13495" operator="lessThan">
      <formula>0</formula>
    </cfRule>
    <cfRule type="cellIs" dxfId="7820" priority="13496" operator="greaterThan">
      <formula>0</formula>
    </cfRule>
  </conditionalFormatting>
  <conditionalFormatting sqref="LD20:LD22">
    <cfRule type="cellIs" dxfId="7819" priority="13493" operator="lessThan">
      <formula>0</formula>
    </cfRule>
    <cfRule type="cellIs" dxfId="7818" priority="13494" operator="greaterThan">
      <formula>0</formula>
    </cfRule>
  </conditionalFormatting>
  <conditionalFormatting sqref="LD45:LD46">
    <cfRule type="cellIs" dxfId="7817" priority="13507" operator="lessThan">
      <formula>0</formula>
    </cfRule>
    <cfRule type="cellIs" dxfId="7816" priority="13508" operator="greaterThan">
      <formula>0</formula>
    </cfRule>
  </conditionalFormatting>
  <conditionalFormatting sqref="LD7">
    <cfRule type="cellIs" dxfId="7815" priority="13479" operator="lessThan">
      <formula>0</formula>
    </cfRule>
    <cfRule type="cellIs" dxfId="7814" priority="13480" operator="greaterThan">
      <formula>0</formula>
    </cfRule>
  </conditionalFormatting>
  <conditionalFormatting sqref="LD7">
    <cfRule type="cellIs" dxfId="7813" priority="13477" operator="lessThan">
      <formula>0</formula>
    </cfRule>
    <cfRule type="cellIs" dxfId="7812" priority="13478" operator="greaterThan">
      <formula>0</formula>
    </cfRule>
  </conditionalFormatting>
  <conditionalFormatting sqref="LD8">
    <cfRule type="cellIs" dxfId="7811" priority="13475" operator="lessThan">
      <formula>0</formula>
    </cfRule>
    <cfRule type="cellIs" dxfId="7810" priority="13476" operator="greaterThan">
      <formula>0</formula>
    </cfRule>
  </conditionalFormatting>
  <conditionalFormatting sqref="LD47">
    <cfRule type="cellIs" dxfId="7809" priority="13473" operator="lessThan">
      <formula>0</formula>
    </cfRule>
    <cfRule type="cellIs" dxfId="7808" priority="13474" operator="greaterThan">
      <formula>0</formula>
    </cfRule>
  </conditionalFormatting>
  <conditionalFormatting sqref="LD44">
    <cfRule type="cellIs" dxfId="7807" priority="13471" operator="lessThan">
      <formula>0</formula>
    </cfRule>
    <cfRule type="cellIs" dxfId="7806" priority="13472" operator="greaterThan">
      <formula>0</formula>
    </cfRule>
  </conditionalFormatting>
  <conditionalFormatting sqref="LD23:LD24">
    <cfRule type="cellIs" dxfId="7805" priority="13467" operator="lessThan">
      <formula>0</formula>
    </cfRule>
    <cfRule type="cellIs" dxfId="7804" priority="13468" operator="greaterThan">
      <formula>0</formula>
    </cfRule>
  </conditionalFormatting>
  <conditionalFormatting sqref="LD33:LD34">
    <cfRule type="cellIs" dxfId="7803" priority="13465" operator="lessThan">
      <formula>0</formula>
    </cfRule>
    <cfRule type="cellIs" dxfId="7802" priority="13466" operator="greaterThan">
      <formula>0</formula>
    </cfRule>
  </conditionalFormatting>
  <conditionalFormatting sqref="LD101">
    <cfRule type="cellIs" dxfId="7801" priority="13457" operator="lessThan">
      <formula>0</formula>
    </cfRule>
    <cfRule type="cellIs" dxfId="7800" priority="13458" operator="greaterThan">
      <formula>0</formula>
    </cfRule>
  </conditionalFormatting>
  <conditionalFormatting sqref="LD104">
    <cfRule type="cellIs" dxfId="7799" priority="13455" operator="lessThan">
      <formula>0</formula>
    </cfRule>
    <cfRule type="cellIs" dxfId="7798" priority="13456" operator="greaterThan">
      <formula>0</formula>
    </cfRule>
  </conditionalFormatting>
  <conditionalFormatting sqref="LD48:LD49">
    <cfRule type="cellIs" dxfId="7797" priority="13421" operator="lessThan">
      <formula>0</formula>
    </cfRule>
    <cfRule type="cellIs" dxfId="7796" priority="13422" operator="greaterThan">
      <formula>0</formula>
    </cfRule>
  </conditionalFormatting>
  <conditionalFormatting sqref="LF98">
    <cfRule type="cellIs" dxfId="7795" priority="13356" operator="lessThan">
      <formula>0</formula>
    </cfRule>
    <cfRule type="cellIs" dxfId="7794" priority="13357" operator="greaterThan">
      <formula>0</formula>
    </cfRule>
  </conditionalFormatting>
  <conditionalFormatting sqref="LF6 LF9:LF11">
    <cfRule type="cellIs" dxfId="7793" priority="13396" operator="lessThan">
      <formula>0</formula>
    </cfRule>
    <cfRule type="cellIs" dxfId="7792" priority="13397" operator="greaterThan">
      <formula>0</formula>
    </cfRule>
  </conditionalFormatting>
  <conditionalFormatting sqref="LF43:LF44">
    <cfRule type="cellIs" dxfId="7791" priority="13360" operator="lessThan">
      <formula>0</formula>
    </cfRule>
    <cfRule type="cellIs" dxfId="7790" priority="13361" operator="greaterThan">
      <formula>0</formula>
    </cfRule>
  </conditionalFormatting>
  <conditionalFormatting sqref="LF11 LF19 LF3 LF24:LF32 LF34:LF42 LF69:LF79">
    <cfRule type="cellIs" dxfId="7789" priority="13406" operator="lessThan">
      <formula>0</formula>
    </cfRule>
    <cfRule type="cellIs" dxfId="7788" priority="13407" operator="greaterThan">
      <formula>0</formula>
    </cfRule>
  </conditionalFormatting>
  <conditionalFormatting sqref="LF4:LF5">
    <cfRule type="cellIs" dxfId="7787" priority="13398" operator="lessThan">
      <formula>0</formula>
    </cfRule>
    <cfRule type="cellIs" dxfId="7786" priority="13399" operator="greaterThan">
      <formula>0</formula>
    </cfRule>
  </conditionalFormatting>
  <conditionalFormatting sqref="LF12:LF13">
    <cfRule type="cellIs" dxfId="7785" priority="13394" operator="lessThan">
      <formula>0</formula>
    </cfRule>
    <cfRule type="cellIs" dxfId="7784" priority="13395" operator="greaterThan">
      <formula>0</formula>
    </cfRule>
  </conditionalFormatting>
  <conditionalFormatting sqref="LF14:LF19">
    <cfRule type="cellIs" dxfId="7783" priority="13392" operator="lessThan">
      <formula>0</formula>
    </cfRule>
    <cfRule type="cellIs" dxfId="7782" priority="13393" operator="greaterThan">
      <formula>0</formula>
    </cfRule>
  </conditionalFormatting>
  <conditionalFormatting sqref="LF20:LF22">
    <cfRule type="cellIs" dxfId="7781" priority="13390" operator="lessThan">
      <formula>0</formula>
    </cfRule>
    <cfRule type="cellIs" dxfId="7780" priority="13391" operator="greaterThan">
      <formula>0</formula>
    </cfRule>
  </conditionalFormatting>
  <conditionalFormatting sqref="LF45:LF46">
    <cfRule type="cellIs" dxfId="7779" priority="13404" operator="lessThan">
      <formula>0</formula>
    </cfRule>
    <cfRule type="cellIs" dxfId="7778" priority="13405" operator="greaterThan">
      <formula>0</formula>
    </cfRule>
  </conditionalFormatting>
  <conditionalFormatting sqref="LF7">
    <cfRule type="cellIs" dxfId="7777" priority="13376" operator="lessThan">
      <formula>0</formula>
    </cfRule>
    <cfRule type="cellIs" dxfId="7776" priority="13377" operator="greaterThan">
      <formula>0</formula>
    </cfRule>
  </conditionalFormatting>
  <conditionalFormatting sqref="LF7">
    <cfRule type="cellIs" dxfId="7775" priority="13374" operator="lessThan">
      <formula>0</formula>
    </cfRule>
    <cfRule type="cellIs" dxfId="7774" priority="13375" operator="greaterThan">
      <formula>0</formula>
    </cfRule>
  </conditionalFormatting>
  <conditionalFormatting sqref="LF8">
    <cfRule type="cellIs" dxfId="7773" priority="13372" operator="lessThan">
      <formula>0</formula>
    </cfRule>
    <cfRule type="cellIs" dxfId="7772" priority="13373" operator="greaterThan">
      <formula>0</formula>
    </cfRule>
  </conditionalFormatting>
  <conditionalFormatting sqref="LF47">
    <cfRule type="cellIs" dxfId="7771" priority="13370" operator="lessThan">
      <formula>0</formula>
    </cfRule>
    <cfRule type="cellIs" dxfId="7770" priority="13371" operator="greaterThan">
      <formula>0</formula>
    </cfRule>
  </conditionalFormatting>
  <conditionalFormatting sqref="LF44">
    <cfRule type="cellIs" dxfId="7769" priority="13368" operator="lessThan">
      <formula>0</formula>
    </cfRule>
    <cfRule type="cellIs" dxfId="7768" priority="13369" operator="greaterThan">
      <formula>0</formula>
    </cfRule>
  </conditionalFormatting>
  <conditionalFormatting sqref="LF23:LF24">
    <cfRule type="cellIs" dxfId="7767" priority="13364" operator="lessThan">
      <formula>0</formula>
    </cfRule>
    <cfRule type="cellIs" dxfId="7766" priority="13365" operator="greaterThan">
      <formula>0</formula>
    </cfRule>
  </conditionalFormatting>
  <conditionalFormatting sqref="LF33:LF34">
    <cfRule type="cellIs" dxfId="7765" priority="13362" operator="lessThan">
      <formula>0</formula>
    </cfRule>
    <cfRule type="cellIs" dxfId="7764" priority="13363" operator="greaterThan">
      <formula>0</formula>
    </cfRule>
  </conditionalFormatting>
  <conditionalFormatting sqref="LF101">
    <cfRule type="cellIs" dxfId="7763" priority="13354" operator="lessThan">
      <formula>0</formula>
    </cfRule>
    <cfRule type="cellIs" dxfId="7762" priority="13355" operator="greaterThan">
      <formula>0</formula>
    </cfRule>
  </conditionalFormatting>
  <conditionalFormatting sqref="LF104">
    <cfRule type="cellIs" dxfId="7761" priority="13352" operator="lessThan">
      <formula>0</formula>
    </cfRule>
    <cfRule type="cellIs" dxfId="7760" priority="13353" operator="greaterThan">
      <formula>0</formula>
    </cfRule>
  </conditionalFormatting>
  <conditionalFormatting sqref="LF48:LF49">
    <cfRule type="cellIs" dxfId="7759" priority="13318" operator="lessThan">
      <formula>0</formula>
    </cfRule>
    <cfRule type="cellIs" dxfId="7758" priority="13319" operator="greaterThan">
      <formula>0</formula>
    </cfRule>
  </conditionalFormatting>
  <conditionalFormatting sqref="LH98">
    <cfRule type="cellIs" dxfId="7757" priority="13253" operator="lessThan">
      <formula>0</formula>
    </cfRule>
    <cfRule type="cellIs" dxfId="7756" priority="13254" operator="greaterThan">
      <formula>0</formula>
    </cfRule>
  </conditionalFormatting>
  <conditionalFormatting sqref="LH6 LH9:LH11">
    <cfRule type="cellIs" dxfId="7755" priority="13293" operator="lessThan">
      <formula>0</formula>
    </cfRule>
    <cfRule type="cellIs" dxfId="7754" priority="13294" operator="greaterThan">
      <formula>0</formula>
    </cfRule>
  </conditionalFormatting>
  <conditionalFormatting sqref="LH43:LH44">
    <cfRule type="cellIs" dxfId="7753" priority="13257" operator="lessThan">
      <formula>0</formula>
    </cfRule>
    <cfRule type="cellIs" dxfId="7752" priority="13258" operator="greaterThan">
      <formula>0</formula>
    </cfRule>
  </conditionalFormatting>
  <conditionalFormatting sqref="LH11 LH19 LH3 LH24:LH32 LH34:LH42 LH69:LH79">
    <cfRule type="cellIs" dxfId="7751" priority="13303" operator="lessThan">
      <formula>0</formula>
    </cfRule>
    <cfRule type="cellIs" dxfId="7750" priority="13304" operator="greaterThan">
      <formula>0</formula>
    </cfRule>
  </conditionalFormatting>
  <conditionalFormatting sqref="LH4:LH5">
    <cfRule type="cellIs" dxfId="7749" priority="13295" operator="lessThan">
      <formula>0</formula>
    </cfRule>
    <cfRule type="cellIs" dxfId="7748" priority="13296" operator="greaterThan">
      <formula>0</formula>
    </cfRule>
  </conditionalFormatting>
  <conditionalFormatting sqref="LH12:LH13">
    <cfRule type="cellIs" dxfId="7747" priority="13291" operator="lessThan">
      <formula>0</formula>
    </cfRule>
    <cfRule type="cellIs" dxfId="7746" priority="13292" operator="greaterThan">
      <formula>0</formula>
    </cfRule>
  </conditionalFormatting>
  <conditionalFormatting sqref="LH14:LH19">
    <cfRule type="cellIs" dxfId="7745" priority="13289" operator="lessThan">
      <formula>0</formula>
    </cfRule>
    <cfRule type="cellIs" dxfId="7744" priority="13290" operator="greaterThan">
      <formula>0</formula>
    </cfRule>
  </conditionalFormatting>
  <conditionalFormatting sqref="LH20:LH22">
    <cfRule type="cellIs" dxfId="7743" priority="13287" operator="lessThan">
      <formula>0</formula>
    </cfRule>
    <cfRule type="cellIs" dxfId="7742" priority="13288" operator="greaterThan">
      <formula>0</formula>
    </cfRule>
  </conditionalFormatting>
  <conditionalFormatting sqref="LH45:LH46">
    <cfRule type="cellIs" dxfId="7741" priority="13301" operator="lessThan">
      <formula>0</formula>
    </cfRule>
    <cfRule type="cellIs" dxfId="7740" priority="13302" operator="greaterThan">
      <formula>0</formula>
    </cfRule>
  </conditionalFormatting>
  <conditionalFormatting sqref="LH7">
    <cfRule type="cellIs" dxfId="7739" priority="13273" operator="lessThan">
      <formula>0</formula>
    </cfRule>
    <cfRule type="cellIs" dxfId="7738" priority="13274" operator="greaterThan">
      <formula>0</formula>
    </cfRule>
  </conditionalFormatting>
  <conditionalFormatting sqref="LH7">
    <cfRule type="cellIs" dxfId="7737" priority="13271" operator="lessThan">
      <formula>0</formula>
    </cfRule>
    <cfRule type="cellIs" dxfId="7736" priority="13272" operator="greaterThan">
      <formula>0</formula>
    </cfRule>
  </conditionalFormatting>
  <conditionalFormatting sqref="LH8">
    <cfRule type="cellIs" dxfId="7735" priority="13269" operator="lessThan">
      <formula>0</formula>
    </cfRule>
    <cfRule type="cellIs" dxfId="7734" priority="13270" operator="greaterThan">
      <formula>0</formula>
    </cfRule>
  </conditionalFormatting>
  <conditionalFormatting sqref="LH47">
    <cfRule type="cellIs" dxfId="7733" priority="13267" operator="lessThan">
      <formula>0</formula>
    </cfRule>
    <cfRule type="cellIs" dxfId="7732" priority="13268" operator="greaterThan">
      <formula>0</formula>
    </cfRule>
  </conditionalFormatting>
  <conditionalFormatting sqref="LH44">
    <cfRule type="cellIs" dxfId="7731" priority="13265" operator="lessThan">
      <formula>0</formula>
    </cfRule>
    <cfRule type="cellIs" dxfId="7730" priority="13266" operator="greaterThan">
      <formula>0</formula>
    </cfRule>
  </conditionalFormatting>
  <conditionalFormatting sqref="LH23:LH24">
    <cfRule type="cellIs" dxfId="7729" priority="13261" operator="lessThan">
      <formula>0</formula>
    </cfRule>
    <cfRule type="cellIs" dxfId="7728" priority="13262" operator="greaterThan">
      <formula>0</formula>
    </cfRule>
  </conditionalFormatting>
  <conditionalFormatting sqref="LH33:LH34">
    <cfRule type="cellIs" dxfId="7727" priority="13259" operator="lessThan">
      <formula>0</formula>
    </cfRule>
    <cfRule type="cellIs" dxfId="7726" priority="13260" operator="greaterThan">
      <formula>0</formula>
    </cfRule>
  </conditionalFormatting>
  <conditionalFormatting sqref="LH101">
    <cfRule type="cellIs" dxfId="7725" priority="13251" operator="lessThan">
      <formula>0</formula>
    </cfRule>
    <cfRule type="cellIs" dxfId="7724" priority="13252" operator="greaterThan">
      <formula>0</formula>
    </cfRule>
  </conditionalFormatting>
  <conditionalFormatting sqref="LH104">
    <cfRule type="cellIs" dxfId="7723" priority="13249" operator="lessThan">
      <formula>0</formula>
    </cfRule>
    <cfRule type="cellIs" dxfId="7722" priority="13250" operator="greaterThan">
      <formula>0</formula>
    </cfRule>
  </conditionalFormatting>
  <conditionalFormatting sqref="LH48:LH49">
    <cfRule type="cellIs" dxfId="7721" priority="13215" operator="lessThan">
      <formula>0</formula>
    </cfRule>
    <cfRule type="cellIs" dxfId="7720" priority="13216" operator="greaterThan">
      <formula>0</formula>
    </cfRule>
  </conditionalFormatting>
  <conditionalFormatting sqref="LJ98">
    <cfRule type="cellIs" dxfId="7719" priority="13119" operator="lessThan">
      <formula>0</formula>
    </cfRule>
    <cfRule type="cellIs" dxfId="7718" priority="13120" operator="greaterThan">
      <formula>0</formula>
    </cfRule>
  </conditionalFormatting>
  <conditionalFormatting sqref="LJ6 LJ9:LJ11">
    <cfRule type="cellIs" dxfId="7717" priority="13159" operator="lessThan">
      <formula>0</formula>
    </cfRule>
    <cfRule type="cellIs" dxfId="7716" priority="13160" operator="greaterThan">
      <formula>0</formula>
    </cfRule>
  </conditionalFormatting>
  <conditionalFormatting sqref="LJ43:LJ44">
    <cfRule type="cellIs" dxfId="7715" priority="13123" operator="lessThan">
      <formula>0</formula>
    </cfRule>
    <cfRule type="cellIs" dxfId="7714" priority="13124" operator="greaterThan">
      <formula>0</formula>
    </cfRule>
  </conditionalFormatting>
  <conditionalFormatting sqref="LJ11 LJ19 LJ3 LJ24:LJ32 LJ34:LJ42 LJ69:LJ79">
    <cfRule type="cellIs" dxfId="7713" priority="13169" operator="lessThan">
      <formula>0</formula>
    </cfRule>
    <cfRule type="cellIs" dxfId="7712" priority="13170" operator="greaterThan">
      <formula>0</formula>
    </cfRule>
  </conditionalFormatting>
  <conditionalFormatting sqref="LJ4:LJ5">
    <cfRule type="cellIs" dxfId="7711" priority="13161" operator="lessThan">
      <formula>0</formula>
    </cfRule>
    <cfRule type="cellIs" dxfId="7710" priority="13162" operator="greaterThan">
      <formula>0</formula>
    </cfRule>
  </conditionalFormatting>
  <conditionalFormatting sqref="LJ12:LJ13">
    <cfRule type="cellIs" dxfId="7709" priority="13157" operator="lessThan">
      <formula>0</formula>
    </cfRule>
    <cfRule type="cellIs" dxfId="7708" priority="13158" operator="greaterThan">
      <formula>0</formula>
    </cfRule>
  </conditionalFormatting>
  <conditionalFormatting sqref="LJ14:LJ19">
    <cfRule type="cellIs" dxfId="7707" priority="13155" operator="lessThan">
      <formula>0</formula>
    </cfRule>
    <cfRule type="cellIs" dxfId="7706" priority="13156" operator="greaterThan">
      <formula>0</formula>
    </cfRule>
  </conditionalFormatting>
  <conditionalFormatting sqref="LJ20:LJ22">
    <cfRule type="cellIs" dxfId="7705" priority="13153" operator="lessThan">
      <formula>0</formula>
    </cfRule>
    <cfRule type="cellIs" dxfId="7704" priority="13154" operator="greaterThan">
      <formula>0</formula>
    </cfRule>
  </conditionalFormatting>
  <conditionalFormatting sqref="LJ45:LJ46">
    <cfRule type="cellIs" dxfId="7703" priority="13167" operator="lessThan">
      <formula>0</formula>
    </cfRule>
    <cfRule type="cellIs" dxfId="7702" priority="13168" operator="greaterThan">
      <formula>0</formula>
    </cfRule>
  </conditionalFormatting>
  <conditionalFormatting sqref="LJ7">
    <cfRule type="cellIs" dxfId="7701" priority="13139" operator="lessThan">
      <formula>0</formula>
    </cfRule>
    <cfRule type="cellIs" dxfId="7700" priority="13140" operator="greaterThan">
      <formula>0</formula>
    </cfRule>
  </conditionalFormatting>
  <conditionalFormatting sqref="LJ7">
    <cfRule type="cellIs" dxfId="7699" priority="13137" operator="lessThan">
      <formula>0</formula>
    </cfRule>
    <cfRule type="cellIs" dxfId="7698" priority="13138" operator="greaterThan">
      <formula>0</formula>
    </cfRule>
  </conditionalFormatting>
  <conditionalFormatting sqref="LJ8">
    <cfRule type="cellIs" dxfId="7697" priority="13135" operator="lessThan">
      <formula>0</formula>
    </cfRule>
    <cfRule type="cellIs" dxfId="7696" priority="13136" operator="greaterThan">
      <formula>0</formula>
    </cfRule>
  </conditionalFormatting>
  <conditionalFormatting sqref="LJ47">
    <cfRule type="cellIs" dxfId="7695" priority="13133" operator="lessThan">
      <formula>0</formula>
    </cfRule>
    <cfRule type="cellIs" dxfId="7694" priority="13134" operator="greaterThan">
      <formula>0</formula>
    </cfRule>
  </conditionalFormatting>
  <conditionalFormatting sqref="LJ44">
    <cfRule type="cellIs" dxfId="7693" priority="13131" operator="lessThan">
      <formula>0</formula>
    </cfRule>
    <cfRule type="cellIs" dxfId="7692" priority="13132" operator="greaterThan">
      <formula>0</formula>
    </cfRule>
  </conditionalFormatting>
  <conditionalFormatting sqref="LJ23:LJ24">
    <cfRule type="cellIs" dxfId="7691" priority="13127" operator="lessThan">
      <formula>0</formula>
    </cfRule>
    <cfRule type="cellIs" dxfId="7690" priority="13128" operator="greaterThan">
      <formula>0</formula>
    </cfRule>
  </conditionalFormatting>
  <conditionalFormatting sqref="LJ33:LJ34">
    <cfRule type="cellIs" dxfId="7689" priority="13125" operator="lessThan">
      <formula>0</formula>
    </cfRule>
    <cfRule type="cellIs" dxfId="7688" priority="13126" operator="greaterThan">
      <formula>0</formula>
    </cfRule>
  </conditionalFormatting>
  <conditionalFormatting sqref="LJ101">
    <cfRule type="cellIs" dxfId="7687" priority="13117" operator="lessThan">
      <formula>0</formula>
    </cfRule>
    <cfRule type="cellIs" dxfId="7686" priority="13118" operator="greaterThan">
      <formula>0</formula>
    </cfRule>
  </conditionalFormatting>
  <conditionalFormatting sqref="LJ104">
    <cfRule type="cellIs" dxfId="7685" priority="13115" operator="lessThan">
      <formula>0</formula>
    </cfRule>
    <cfRule type="cellIs" dxfId="7684" priority="13116" operator="greaterThan">
      <formula>0</formula>
    </cfRule>
  </conditionalFormatting>
  <conditionalFormatting sqref="LJ48:LJ49">
    <cfRule type="cellIs" dxfId="7683" priority="13081" operator="lessThan">
      <formula>0</formula>
    </cfRule>
    <cfRule type="cellIs" dxfId="7682" priority="13082" operator="greaterThan">
      <formula>0</formula>
    </cfRule>
  </conditionalFormatting>
  <conditionalFormatting sqref="LL98">
    <cfRule type="cellIs" dxfId="7681" priority="13016" operator="lessThan">
      <formula>0</formula>
    </cfRule>
    <cfRule type="cellIs" dxfId="7680" priority="13017" operator="greaterThan">
      <formula>0</formula>
    </cfRule>
  </conditionalFormatting>
  <conditionalFormatting sqref="LL6 LL9:LL11">
    <cfRule type="cellIs" dxfId="7679" priority="13056" operator="lessThan">
      <formula>0</formula>
    </cfRule>
    <cfRule type="cellIs" dxfId="7678" priority="13057" operator="greaterThan">
      <formula>0</formula>
    </cfRule>
  </conditionalFormatting>
  <conditionalFormatting sqref="LL43:LL44">
    <cfRule type="cellIs" dxfId="7677" priority="13020" operator="lessThan">
      <formula>0</formula>
    </cfRule>
    <cfRule type="cellIs" dxfId="7676" priority="13021" operator="greaterThan">
      <formula>0</formula>
    </cfRule>
  </conditionalFormatting>
  <conditionalFormatting sqref="LL11 LL19 LL3 LL24:LL32 LL34:LL42 LL69:LL79">
    <cfRule type="cellIs" dxfId="7675" priority="13066" operator="lessThan">
      <formula>0</formula>
    </cfRule>
    <cfRule type="cellIs" dxfId="7674" priority="13067" operator="greaterThan">
      <formula>0</formula>
    </cfRule>
  </conditionalFormatting>
  <conditionalFormatting sqref="LL4:LL5">
    <cfRule type="cellIs" dxfId="7673" priority="13058" operator="lessThan">
      <formula>0</formula>
    </cfRule>
    <cfRule type="cellIs" dxfId="7672" priority="13059" operator="greaterThan">
      <formula>0</formula>
    </cfRule>
  </conditionalFormatting>
  <conditionalFormatting sqref="LL12:LL13">
    <cfRule type="cellIs" dxfId="7671" priority="13054" operator="lessThan">
      <formula>0</formula>
    </cfRule>
    <cfRule type="cellIs" dxfId="7670" priority="13055" operator="greaterThan">
      <formula>0</formula>
    </cfRule>
  </conditionalFormatting>
  <conditionalFormatting sqref="LL14:LL19">
    <cfRule type="cellIs" dxfId="7669" priority="13052" operator="lessThan">
      <formula>0</formula>
    </cfRule>
    <cfRule type="cellIs" dxfId="7668" priority="13053" operator="greaterThan">
      <formula>0</formula>
    </cfRule>
  </conditionalFormatting>
  <conditionalFormatting sqref="LL20:LL22">
    <cfRule type="cellIs" dxfId="7667" priority="13050" operator="lessThan">
      <formula>0</formula>
    </cfRule>
    <cfRule type="cellIs" dxfId="7666" priority="13051" operator="greaterThan">
      <formula>0</formula>
    </cfRule>
  </conditionalFormatting>
  <conditionalFormatting sqref="LL45:LL46">
    <cfRule type="cellIs" dxfId="7665" priority="13064" operator="lessThan">
      <formula>0</formula>
    </cfRule>
    <cfRule type="cellIs" dxfId="7664" priority="13065" operator="greaterThan">
      <formula>0</formula>
    </cfRule>
  </conditionalFormatting>
  <conditionalFormatting sqref="LL7">
    <cfRule type="cellIs" dxfId="7663" priority="13036" operator="lessThan">
      <formula>0</formula>
    </cfRule>
    <cfRule type="cellIs" dxfId="7662" priority="13037" operator="greaterThan">
      <formula>0</formula>
    </cfRule>
  </conditionalFormatting>
  <conditionalFormatting sqref="LL7">
    <cfRule type="cellIs" dxfId="7661" priority="13034" operator="lessThan">
      <formula>0</formula>
    </cfRule>
    <cfRule type="cellIs" dxfId="7660" priority="13035" operator="greaterThan">
      <formula>0</formula>
    </cfRule>
  </conditionalFormatting>
  <conditionalFormatting sqref="LL8">
    <cfRule type="cellIs" dxfId="7659" priority="13032" operator="lessThan">
      <formula>0</formula>
    </cfRule>
    <cfRule type="cellIs" dxfId="7658" priority="13033" operator="greaterThan">
      <formula>0</formula>
    </cfRule>
  </conditionalFormatting>
  <conditionalFormatting sqref="LL47">
    <cfRule type="cellIs" dxfId="7657" priority="13030" operator="lessThan">
      <formula>0</formula>
    </cfRule>
    <cfRule type="cellIs" dxfId="7656" priority="13031" operator="greaterThan">
      <formula>0</formula>
    </cfRule>
  </conditionalFormatting>
  <conditionalFormatting sqref="LL44">
    <cfRule type="cellIs" dxfId="7655" priority="13028" operator="lessThan">
      <formula>0</formula>
    </cfRule>
    <cfRule type="cellIs" dxfId="7654" priority="13029" operator="greaterThan">
      <formula>0</formula>
    </cfRule>
  </conditionalFormatting>
  <conditionalFormatting sqref="LL23:LL24">
    <cfRule type="cellIs" dxfId="7653" priority="13024" operator="lessThan">
      <formula>0</formula>
    </cfRule>
    <cfRule type="cellIs" dxfId="7652" priority="13025" operator="greaterThan">
      <formula>0</formula>
    </cfRule>
  </conditionalFormatting>
  <conditionalFormatting sqref="LL33:LL34">
    <cfRule type="cellIs" dxfId="7651" priority="13022" operator="lessThan">
      <formula>0</formula>
    </cfRule>
    <cfRule type="cellIs" dxfId="7650" priority="13023" operator="greaterThan">
      <formula>0</formula>
    </cfRule>
  </conditionalFormatting>
  <conditionalFormatting sqref="LL101">
    <cfRule type="cellIs" dxfId="7649" priority="13014" operator="lessThan">
      <formula>0</formula>
    </cfRule>
    <cfRule type="cellIs" dxfId="7648" priority="13015" operator="greaterThan">
      <formula>0</formula>
    </cfRule>
  </conditionalFormatting>
  <conditionalFormatting sqref="LL104">
    <cfRule type="cellIs" dxfId="7647" priority="13012" operator="lessThan">
      <formula>0</formula>
    </cfRule>
    <cfRule type="cellIs" dxfId="7646" priority="13013" operator="greaterThan">
      <formula>0</formula>
    </cfRule>
  </conditionalFormatting>
  <conditionalFormatting sqref="LL48:LL49">
    <cfRule type="cellIs" dxfId="7645" priority="12978" operator="lessThan">
      <formula>0</formula>
    </cfRule>
    <cfRule type="cellIs" dxfId="7644" priority="12979" operator="greaterThan">
      <formula>0</formula>
    </cfRule>
  </conditionalFormatting>
  <conditionalFormatting sqref="LN98">
    <cfRule type="cellIs" dxfId="7643" priority="12913" operator="lessThan">
      <formula>0</formula>
    </cfRule>
    <cfRule type="cellIs" dxfId="7642" priority="12914" operator="greaterThan">
      <formula>0</formula>
    </cfRule>
  </conditionalFormatting>
  <conditionalFormatting sqref="LN6 LN9:LN11">
    <cfRule type="cellIs" dxfId="7641" priority="12953" operator="lessThan">
      <formula>0</formula>
    </cfRule>
    <cfRule type="cellIs" dxfId="7640" priority="12954" operator="greaterThan">
      <formula>0</formula>
    </cfRule>
  </conditionalFormatting>
  <conditionalFormatting sqref="LN43:LN44">
    <cfRule type="cellIs" dxfId="7639" priority="12917" operator="lessThan">
      <formula>0</formula>
    </cfRule>
    <cfRule type="cellIs" dxfId="7638" priority="12918" operator="greaterThan">
      <formula>0</formula>
    </cfRule>
  </conditionalFormatting>
  <conditionalFormatting sqref="LN11 LN19 LN3 LN24:LN32 LN34:LN42 LN69:LN79">
    <cfRule type="cellIs" dxfId="7637" priority="12963" operator="lessThan">
      <formula>0</formula>
    </cfRule>
    <cfRule type="cellIs" dxfId="7636" priority="12964" operator="greaterThan">
      <formula>0</formula>
    </cfRule>
  </conditionalFormatting>
  <conditionalFormatting sqref="LN4:LN5">
    <cfRule type="cellIs" dxfId="7635" priority="12955" operator="lessThan">
      <formula>0</formula>
    </cfRule>
    <cfRule type="cellIs" dxfId="7634" priority="12956" operator="greaterThan">
      <formula>0</formula>
    </cfRule>
  </conditionalFormatting>
  <conditionalFormatting sqref="LN12:LN13">
    <cfRule type="cellIs" dxfId="7633" priority="12951" operator="lessThan">
      <formula>0</formula>
    </cfRule>
    <cfRule type="cellIs" dxfId="7632" priority="12952" operator="greaterThan">
      <formula>0</formula>
    </cfRule>
  </conditionalFormatting>
  <conditionalFormatting sqref="LN14:LN19">
    <cfRule type="cellIs" dxfId="7631" priority="12949" operator="lessThan">
      <formula>0</formula>
    </cfRule>
    <cfRule type="cellIs" dxfId="7630" priority="12950" operator="greaterThan">
      <formula>0</formula>
    </cfRule>
  </conditionalFormatting>
  <conditionalFormatting sqref="LN20:LN22">
    <cfRule type="cellIs" dxfId="7629" priority="12947" operator="lessThan">
      <formula>0</formula>
    </cfRule>
    <cfRule type="cellIs" dxfId="7628" priority="12948" operator="greaterThan">
      <formula>0</formula>
    </cfRule>
  </conditionalFormatting>
  <conditionalFormatting sqref="LN45:LN46">
    <cfRule type="cellIs" dxfId="7627" priority="12961" operator="lessThan">
      <formula>0</formula>
    </cfRule>
    <cfRule type="cellIs" dxfId="7626" priority="12962" operator="greaterThan">
      <formula>0</formula>
    </cfRule>
  </conditionalFormatting>
  <conditionalFormatting sqref="LN7">
    <cfRule type="cellIs" dxfId="7625" priority="12933" operator="lessThan">
      <formula>0</formula>
    </cfRule>
    <cfRule type="cellIs" dxfId="7624" priority="12934" operator="greaterThan">
      <formula>0</formula>
    </cfRule>
  </conditionalFormatting>
  <conditionalFormatting sqref="LN7">
    <cfRule type="cellIs" dxfId="7623" priority="12931" operator="lessThan">
      <formula>0</formula>
    </cfRule>
    <cfRule type="cellIs" dxfId="7622" priority="12932" operator="greaterThan">
      <formula>0</formula>
    </cfRule>
  </conditionalFormatting>
  <conditionalFormatting sqref="LN8">
    <cfRule type="cellIs" dxfId="7621" priority="12929" operator="lessThan">
      <formula>0</formula>
    </cfRule>
    <cfRule type="cellIs" dxfId="7620" priority="12930" operator="greaterThan">
      <formula>0</formula>
    </cfRule>
  </conditionalFormatting>
  <conditionalFormatting sqref="LN47">
    <cfRule type="cellIs" dxfId="7619" priority="12927" operator="lessThan">
      <formula>0</formula>
    </cfRule>
    <cfRule type="cellIs" dxfId="7618" priority="12928" operator="greaterThan">
      <formula>0</formula>
    </cfRule>
  </conditionalFormatting>
  <conditionalFormatting sqref="LN44">
    <cfRule type="cellIs" dxfId="7617" priority="12925" operator="lessThan">
      <formula>0</formula>
    </cfRule>
    <cfRule type="cellIs" dxfId="7616" priority="12926" operator="greaterThan">
      <formula>0</formula>
    </cfRule>
  </conditionalFormatting>
  <conditionalFormatting sqref="LN23:LN24">
    <cfRule type="cellIs" dxfId="7615" priority="12921" operator="lessThan">
      <formula>0</formula>
    </cfRule>
    <cfRule type="cellIs" dxfId="7614" priority="12922" operator="greaterThan">
      <formula>0</formula>
    </cfRule>
  </conditionalFormatting>
  <conditionalFormatting sqref="LN33:LN34">
    <cfRule type="cellIs" dxfId="7613" priority="12919" operator="lessThan">
      <formula>0</formula>
    </cfRule>
    <cfRule type="cellIs" dxfId="7612" priority="12920" operator="greaterThan">
      <formula>0</formula>
    </cfRule>
  </conditionalFormatting>
  <conditionalFormatting sqref="LN101">
    <cfRule type="cellIs" dxfId="7611" priority="12911" operator="lessThan">
      <formula>0</formula>
    </cfRule>
    <cfRule type="cellIs" dxfId="7610" priority="12912" operator="greaterThan">
      <formula>0</formula>
    </cfRule>
  </conditionalFormatting>
  <conditionalFormatting sqref="LN104">
    <cfRule type="cellIs" dxfId="7609" priority="12909" operator="lessThan">
      <formula>0</formula>
    </cfRule>
    <cfRule type="cellIs" dxfId="7608" priority="12910" operator="greaterThan">
      <formula>0</formula>
    </cfRule>
  </conditionalFormatting>
  <conditionalFormatting sqref="LN48:LN49">
    <cfRule type="cellIs" dxfId="7607" priority="12875" operator="lessThan">
      <formula>0</formula>
    </cfRule>
    <cfRule type="cellIs" dxfId="7606" priority="12876" operator="greaterThan">
      <formula>0</formula>
    </cfRule>
  </conditionalFormatting>
  <conditionalFormatting sqref="LP98">
    <cfRule type="cellIs" dxfId="7605" priority="12810" operator="lessThan">
      <formula>0</formula>
    </cfRule>
    <cfRule type="cellIs" dxfId="7604" priority="12811" operator="greaterThan">
      <formula>0</formula>
    </cfRule>
  </conditionalFormatting>
  <conditionalFormatting sqref="LP6 LP9:LP11">
    <cfRule type="cellIs" dxfId="7603" priority="12850" operator="lessThan">
      <formula>0</formula>
    </cfRule>
    <cfRule type="cellIs" dxfId="7602" priority="12851" operator="greaterThan">
      <formula>0</formula>
    </cfRule>
  </conditionalFormatting>
  <conditionalFormatting sqref="LP43:LP44">
    <cfRule type="cellIs" dxfId="7601" priority="12814" operator="lessThan">
      <formula>0</formula>
    </cfRule>
    <cfRule type="cellIs" dxfId="7600" priority="12815" operator="greaterThan">
      <formula>0</formula>
    </cfRule>
  </conditionalFormatting>
  <conditionalFormatting sqref="LP11 LP19 LP3 LP24:LP32 LP34:LP42 LP69:LP79">
    <cfRule type="cellIs" dxfId="7599" priority="12860" operator="lessThan">
      <formula>0</formula>
    </cfRule>
    <cfRule type="cellIs" dxfId="7598" priority="12861" operator="greaterThan">
      <formula>0</formula>
    </cfRule>
  </conditionalFormatting>
  <conditionalFormatting sqref="LP4:LP5">
    <cfRule type="cellIs" dxfId="7597" priority="12852" operator="lessThan">
      <formula>0</formula>
    </cfRule>
    <cfRule type="cellIs" dxfId="7596" priority="12853" operator="greaterThan">
      <formula>0</formula>
    </cfRule>
  </conditionalFormatting>
  <conditionalFormatting sqref="LP12:LP13">
    <cfRule type="cellIs" dxfId="7595" priority="12848" operator="lessThan">
      <formula>0</formula>
    </cfRule>
    <cfRule type="cellIs" dxfId="7594" priority="12849" operator="greaterThan">
      <formula>0</formula>
    </cfRule>
  </conditionalFormatting>
  <conditionalFormatting sqref="LP14:LP19">
    <cfRule type="cellIs" dxfId="7593" priority="12846" operator="lessThan">
      <formula>0</formula>
    </cfRule>
    <cfRule type="cellIs" dxfId="7592" priority="12847" operator="greaterThan">
      <formula>0</formula>
    </cfRule>
  </conditionalFormatting>
  <conditionalFormatting sqref="LP20:LP22">
    <cfRule type="cellIs" dxfId="7591" priority="12844" operator="lessThan">
      <formula>0</formula>
    </cfRule>
    <cfRule type="cellIs" dxfId="7590" priority="12845" operator="greaterThan">
      <formula>0</formula>
    </cfRule>
  </conditionalFormatting>
  <conditionalFormatting sqref="LP45:LP46">
    <cfRule type="cellIs" dxfId="7589" priority="12858" operator="lessThan">
      <formula>0</formula>
    </cfRule>
    <cfRule type="cellIs" dxfId="7588" priority="12859" operator="greaterThan">
      <formula>0</formula>
    </cfRule>
  </conditionalFormatting>
  <conditionalFormatting sqref="LP7">
    <cfRule type="cellIs" dxfId="7587" priority="12830" operator="lessThan">
      <formula>0</formula>
    </cfRule>
    <cfRule type="cellIs" dxfId="7586" priority="12831" operator="greaterThan">
      <formula>0</formula>
    </cfRule>
  </conditionalFormatting>
  <conditionalFormatting sqref="LP7">
    <cfRule type="cellIs" dxfId="7585" priority="12828" operator="lessThan">
      <formula>0</formula>
    </cfRule>
    <cfRule type="cellIs" dxfId="7584" priority="12829" operator="greaterThan">
      <formula>0</formula>
    </cfRule>
  </conditionalFormatting>
  <conditionalFormatting sqref="LP8">
    <cfRule type="cellIs" dxfId="7583" priority="12826" operator="lessThan">
      <formula>0</formula>
    </cfRule>
    <cfRule type="cellIs" dxfId="7582" priority="12827" operator="greaterThan">
      <formula>0</formula>
    </cfRule>
  </conditionalFormatting>
  <conditionalFormatting sqref="LP47">
    <cfRule type="cellIs" dxfId="7581" priority="12824" operator="lessThan">
      <formula>0</formula>
    </cfRule>
    <cfRule type="cellIs" dxfId="7580" priority="12825" operator="greaterThan">
      <formula>0</formula>
    </cfRule>
  </conditionalFormatting>
  <conditionalFormatting sqref="LP44">
    <cfRule type="cellIs" dxfId="7579" priority="12822" operator="lessThan">
      <formula>0</formula>
    </cfRule>
    <cfRule type="cellIs" dxfId="7578" priority="12823" operator="greaterThan">
      <formula>0</formula>
    </cfRule>
  </conditionalFormatting>
  <conditionalFormatting sqref="LP23:LP24">
    <cfRule type="cellIs" dxfId="7577" priority="12818" operator="lessThan">
      <formula>0</formula>
    </cfRule>
    <cfRule type="cellIs" dxfId="7576" priority="12819" operator="greaterThan">
      <formula>0</formula>
    </cfRule>
  </conditionalFormatting>
  <conditionalFormatting sqref="LP33:LP34">
    <cfRule type="cellIs" dxfId="7575" priority="12816" operator="lessThan">
      <formula>0</formula>
    </cfRule>
    <cfRule type="cellIs" dxfId="7574" priority="12817" operator="greaterThan">
      <formula>0</formula>
    </cfRule>
  </conditionalFormatting>
  <conditionalFormatting sqref="LP101">
    <cfRule type="cellIs" dxfId="7573" priority="12808" operator="lessThan">
      <formula>0</formula>
    </cfRule>
    <cfRule type="cellIs" dxfId="7572" priority="12809" operator="greaterThan">
      <formula>0</formula>
    </cfRule>
  </conditionalFormatting>
  <conditionalFormatting sqref="LP104">
    <cfRule type="cellIs" dxfId="7571" priority="12806" operator="lessThan">
      <formula>0</formula>
    </cfRule>
    <cfRule type="cellIs" dxfId="7570" priority="12807" operator="greaterThan">
      <formula>0</formula>
    </cfRule>
  </conditionalFormatting>
  <conditionalFormatting sqref="LP48:LP49">
    <cfRule type="cellIs" dxfId="7569" priority="12772" operator="lessThan">
      <formula>0</formula>
    </cfRule>
    <cfRule type="cellIs" dxfId="7568" priority="12773" operator="greaterThan">
      <formula>0</formula>
    </cfRule>
  </conditionalFormatting>
  <conditionalFormatting sqref="LR98">
    <cfRule type="cellIs" dxfId="7567" priority="12707" operator="lessThan">
      <formula>0</formula>
    </cfRule>
    <cfRule type="cellIs" dxfId="7566" priority="12708" operator="greaterThan">
      <formula>0</formula>
    </cfRule>
  </conditionalFormatting>
  <conditionalFormatting sqref="LR6 LR9:LR11">
    <cfRule type="cellIs" dxfId="7565" priority="12747" operator="lessThan">
      <formula>0</formula>
    </cfRule>
    <cfRule type="cellIs" dxfId="7564" priority="12748" operator="greaterThan">
      <formula>0</formula>
    </cfRule>
  </conditionalFormatting>
  <conditionalFormatting sqref="LR43:LR44">
    <cfRule type="cellIs" dxfId="7563" priority="12711" operator="lessThan">
      <formula>0</formula>
    </cfRule>
    <cfRule type="cellIs" dxfId="7562" priority="12712" operator="greaterThan">
      <formula>0</formula>
    </cfRule>
  </conditionalFormatting>
  <conditionalFormatting sqref="LR11 LR19 LR3 LR24:LR32 LR34:LR42 LR69:LR79">
    <cfRule type="cellIs" dxfId="7561" priority="12757" operator="lessThan">
      <formula>0</formula>
    </cfRule>
    <cfRule type="cellIs" dxfId="7560" priority="12758" operator="greaterThan">
      <formula>0</formula>
    </cfRule>
  </conditionalFormatting>
  <conditionalFormatting sqref="LR4:LR5">
    <cfRule type="cellIs" dxfId="7559" priority="12749" operator="lessThan">
      <formula>0</formula>
    </cfRule>
    <cfRule type="cellIs" dxfId="7558" priority="12750" operator="greaterThan">
      <formula>0</formula>
    </cfRule>
  </conditionalFormatting>
  <conditionalFormatting sqref="LR12:LR13">
    <cfRule type="cellIs" dxfId="7557" priority="12745" operator="lessThan">
      <formula>0</formula>
    </cfRule>
    <cfRule type="cellIs" dxfId="7556" priority="12746" operator="greaterThan">
      <formula>0</formula>
    </cfRule>
  </conditionalFormatting>
  <conditionalFormatting sqref="LR14:LR19">
    <cfRule type="cellIs" dxfId="7555" priority="12743" operator="lessThan">
      <formula>0</formula>
    </cfRule>
    <cfRule type="cellIs" dxfId="7554" priority="12744" operator="greaterThan">
      <formula>0</formula>
    </cfRule>
  </conditionalFormatting>
  <conditionalFormatting sqref="LR20:LR22">
    <cfRule type="cellIs" dxfId="7553" priority="12741" operator="lessThan">
      <formula>0</formula>
    </cfRule>
    <cfRule type="cellIs" dxfId="7552" priority="12742" operator="greaterThan">
      <formula>0</formula>
    </cfRule>
  </conditionalFormatting>
  <conditionalFormatting sqref="LR45:LR46">
    <cfRule type="cellIs" dxfId="7551" priority="12755" operator="lessThan">
      <formula>0</formula>
    </cfRule>
    <cfRule type="cellIs" dxfId="7550" priority="12756" operator="greaterThan">
      <formula>0</formula>
    </cfRule>
  </conditionalFormatting>
  <conditionalFormatting sqref="LR7">
    <cfRule type="cellIs" dxfId="7549" priority="12727" operator="lessThan">
      <formula>0</formula>
    </cfRule>
    <cfRule type="cellIs" dxfId="7548" priority="12728" operator="greaterThan">
      <formula>0</formula>
    </cfRule>
  </conditionalFormatting>
  <conditionalFormatting sqref="LR7">
    <cfRule type="cellIs" dxfId="7547" priority="12725" operator="lessThan">
      <formula>0</formula>
    </cfRule>
    <cfRule type="cellIs" dxfId="7546" priority="12726" operator="greaterThan">
      <formula>0</formula>
    </cfRule>
  </conditionalFormatting>
  <conditionalFormatting sqref="LR8">
    <cfRule type="cellIs" dxfId="7545" priority="12723" operator="lessThan">
      <formula>0</formula>
    </cfRule>
    <cfRule type="cellIs" dxfId="7544" priority="12724" operator="greaterThan">
      <formula>0</formula>
    </cfRule>
  </conditionalFormatting>
  <conditionalFormatting sqref="LR47">
    <cfRule type="cellIs" dxfId="7543" priority="12721" operator="lessThan">
      <formula>0</formula>
    </cfRule>
    <cfRule type="cellIs" dxfId="7542" priority="12722" operator="greaterThan">
      <formula>0</formula>
    </cfRule>
  </conditionalFormatting>
  <conditionalFormatting sqref="LR44">
    <cfRule type="cellIs" dxfId="7541" priority="12719" operator="lessThan">
      <formula>0</formula>
    </cfRule>
    <cfRule type="cellIs" dxfId="7540" priority="12720" operator="greaterThan">
      <formula>0</formula>
    </cfRule>
  </conditionalFormatting>
  <conditionalFormatting sqref="LR23:LR24">
    <cfRule type="cellIs" dxfId="7539" priority="12715" operator="lessThan">
      <formula>0</formula>
    </cfRule>
    <cfRule type="cellIs" dxfId="7538" priority="12716" operator="greaterThan">
      <formula>0</formula>
    </cfRule>
  </conditionalFormatting>
  <conditionalFormatting sqref="LR33:LR34">
    <cfRule type="cellIs" dxfId="7537" priority="12713" operator="lessThan">
      <formula>0</formula>
    </cfRule>
    <cfRule type="cellIs" dxfId="7536" priority="12714" operator="greaterThan">
      <formula>0</formula>
    </cfRule>
  </conditionalFormatting>
  <conditionalFormatting sqref="LR101">
    <cfRule type="cellIs" dxfId="7535" priority="12705" operator="lessThan">
      <formula>0</formula>
    </cfRule>
    <cfRule type="cellIs" dxfId="7534" priority="12706" operator="greaterThan">
      <formula>0</formula>
    </cfRule>
  </conditionalFormatting>
  <conditionalFormatting sqref="LR104">
    <cfRule type="cellIs" dxfId="7533" priority="12703" operator="lessThan">
      <formula>0</formula>
    </cfRule>
    <cfRule type="cellIs" dxfId="7532" priority="12704" operator="greaterThan">
      <formula>0</formula>
    </cfRule>
  </conditionalFormatting>
  <conditionalFormatting sqref="LR48:LR49">
    <cfRule type="cellIs" dxfId="7531" priority="12669" operator="lessThan">
      <formula>0</formula>
    </cfRule>
    <cfRule type="cellIs" dxfId="7530" priority="12670" operator="greaterThan">
      <formula>0</formula>
    </cfRule>
  </conditionalFormatting>
  <conditionalFormatting sqref="LT98">
    <cfRule type="cellIs" dxfId="7529" priority="12604" operator="lessThan">
      <formula>0</formula>
    </cfRule>
    <cfRule type="cellIs" dxfId="7528" priority="12605" operator="greaterThan">
      <formula>0</formula>
    </cfRule>
  </conditionalFormatting>
  <conditionalFormatting sqref="LT6 LT9:LT11">
    <cfRule type="cellIs" dxfId="7527" priority="12644" operator="lessThan">
      <formula>0</formula>
    </cfRule>
    <cfRule type="cellIs" dxfId="7526" priority="12645" operator="greaterThan">
      <formula>0</formula>
    </cfRule>
  </conditionalFormatting>
  <conditionalFormatting sqref="LT43:LT44">
    <cfRule type="cellIs" dxfId="7525" priority="12608" operator="lessThan">
      <formula>0</formula>
    </cfRule>
    <cfRule type="cellIs" dxfId="7524" priority="12609" operator="greaterThan">
      <formula>0</formula>
    </cfRule>
  </conditionalFormatting>
  <conditionalFormatting sqref="LT11 LT19 LT3 LT24:LT32 LT34:LT42 LT69:LT79">
    <cfRule type="cellIs" dxfId="7523" priority="12654" operator="lessThan">
      <formula>0</formula>
    </cfRule>
    <cfRule type="cellIs" dxfId="7522" priority="12655" operator="greaterThan">
      <formula>0</formula>
    </cfRule>
  </conditionalFormatting>
  <conditionalFormatting sqref="LT4:LT5">
    <cfRule type="cellIs" dxfId="7521" priority="12646" operator="lessThan">
      <formula>0</formula>
    </cfRule>
    <cfRule type="cellIs" dxfId="7520" priority="12647" operator="greaterThan">
      <formula>0</formula>
    </cfRule>
  </conditionalFormatting>
  <conditionalFormatting sqref="LT12:LT13">
    <cfRule type="cellIs" dxfId="7519" priority="12642" operator="lessThan">
      <formula>0</formula>
    </cfRule>
    <cfRule type="cellIs" dxfId="7518" priority="12643" operator="greaterThan">
      <formula>0</formula>
    </cfRule>
  </conditionalFormatting>
  <conditionalFormatting sqref="LT14:LT19">
    <cfRule type="cellIs" dxfId="7517" priority="12640" operator="lessThan">
      <formula>0</formula>
    </cfRule>
    <cfRule type="cellIs" dxfId="7516" priority="12641" operator="greaterThan">
      <formula>0</formula>
    </cfRule>
  </conditionalFormatting>
  <conditionalFormatting sqref="LT20:LT22">
    <cfRule type="cellIs" dxfId="7515" priority="12638" operator="lessThan">
      <formula>0</formula>
    </cfRule>
    <cfRule type="cellIs" dxfId="7514" priority="12639" operator="greaterThan">
      <formula>0</formula>
    </cfRule>
  </conditionalFormatting>
  <conditionalFormatting sqref="LT45:LT46">
    <cfRule type="cellIs" dxfId="7513" priority="12652" operator="lessThan">
      <formula>0</formula>
    </cfRule>
    <cfRule type="cellIs" dxfId="7512" priority="12653" operator="greaterThan">
      <formula>0</formula>
    </cfRule>
  </conditionalFormatting>
  <conditionalFormatting sqref="LT7">
    <cfRule type="cellIs" dxfId="7511" priority="12624" operator="lessThan">
      <formula>0</formula>
    </cfRule>
    <cfRule type="cellIs" dxfId="7510" priority="12625" operator="greaterThan">
      <formula>0</formula>
    </cfRule>
  </conditionalFormatting>
  <conditionalFormatting sqref="LT7">
    <cfRule type="cellIs" dxfId="7509" priority="12622" operator="lessThan">
      <formula>0</formula>
    </cfRule>
    <cfRule type="cellIs" dxfId="7508" priority="12623" operator="greaterThan">
      <formula>0</formula>
    </cfRule>
  </conditionalFormatting>
  <conditionalFormatting sqref="LT8">
    <cfRule type="cellIs" dxfId="7507" priority="12620" operator="lessThan">
      <formula>0</formula>
    </cfRule>
    <cfRule type="cellIs" dxfId="7506" priority="12621" operator="greaterThan">
      <formula>0</formula>
    </cfRule>
  </conditionalFormatting>
  <conditionalFormatting sqref="LT47">
    <cfRule type="cellIs" dxfId="7505" priority="12618" operator="lessThan">
      <formula>0</formula>
    </cfRule>
    <cfRule type="cellIs" dxfId="7504" priority="12619" operator="greaterThan">
      <formula>0</formula>
    </cfRule>
  </conditionalFormatting>
  <conditionalFormatting sqref="LT44">
    <cfRule type="cellIs" dxfId="7503" priority="12616" operator="lessThan">
      <formula>0</formula>
    </cfRule>
    <cfRule type="cellIs" dxfId="7502" priority="12617" operator="greaterThan">
      <formula>0</formula>
    </cfRule>
  </conditionalFormatting>
  <conditionalFormatting sqref="LT23:LT24">
    <cfRule type="cellIs" dxfId="7501" priority="12612" operator="lessThan">
      <formula>0</formula>
    </cfRule>
    <cfRule type="cellIs" dxfId="7500" priority="12613" operator="greaterThan">
      <formula>0</formula>
    </cfRule>
  </conditionalFormatting>
  <conditionalFormatting sqref="LT33:LT34">
    <cfRule type="cellIs" dxfId="7499" priority="12610" operator="lessThan">
      <formula>0</formula>
    </cfRule>
    <cfRule type="cellIs" dxfId="7498" priority="12611" operator="greaterThan">
      <formula>0</formula>
    </cfRule>
  </conditionalFormatting>
  <conditionalFormatting sqref="LT101">
    <cfRule type="cellIs" dxfId="7497" priority="12602" operator="lessThan">
      <formula>0</formula>
    </cfRule>
    <cfRule type="cellIs" dxfId="7496" priority="12603" operator="greaterThan">
      <formula>0</formula>
    </cfRule>
  </conditionalFormatting>
  <conditionalFormatting sqref="LT104">
    <cfRule type="cellIs" dxfId="7495" priority="12600" operator="lessThan">
      <formula>0</formula>
    </cfRule>
    <cfRule type="cellIs" dxfId="7494" priority="12601" operator="greaterThan">
      <formula>0</formula>
    </cfRule>
  </conditionalFormatting>
  <conditionalFormatting sqref="LT48:LT49">
    <cfRule type="cellIs" dxfId="7493" priority="12566" operator="lessThan">
      <formula>0</formula>
    </cfRule>
    <cfRule type="cellIs" dxfId="7492" priority="12567" operator="greaterThan">
      <formula>0</formula>
    </cfRule>
  </conditionalFormatting>
  <conditionalFormatting sqref="LV98">
    <cfRule type="cellIs" dxfId="7491" priority="12501" operator="lessThan">
      <formula>0</formula>
    </cfRule>
    <cfRule type="cellIs" dxfId="7490" priority="12502" operator="greaterThan">
      <formula>0</formula>
    </cfRule>
  </conditionalFormatting>
  <conditionalFormatting sqref="LV6 LV9:LV11">
    <cfRule type="cellIs" dxfId="7489" priority="12541" operator="lessThan">
      <formula>0</formula>
    </cfRule>
    <cfRule type="cellIs" dxfId="7488" priority="12542" operator="greaterThan">
      <formula>0</formula>
    </cfRule>
  </conditionalFormatting>
  <conditionalFormatting sqref="LV43:LV44">
    <cfRule type="cellIs" dxfId="7487" priority="12505" operator="lessThan">
      <formula>0</formula>
    </cfRule>
    <cfRule type="cellIs" dxfId="7486" priority="12506" operator="greaterThan">
      <formula>0</formula>
    </cfRule>
  </conditionalFormatting>
  <conditionalFormatting sqref="LV11 LV19 LV3 LV24:LV32 LV34:LV42 LV69:LV79">
    <cfRule type="cellIs" dxfId="7485" priority="12551" operator="lessThan">
      <formula>0</formula>
    </cfRule>
    <cfRule type="cellIs" dxfId="7484" priority="12552" operator="greaterThan">
      <formula>0</formula>
    </cfRule>
  </conditionalFormatting>
  <conditionalFormatting sqref="LV4:LV5">
    <cfRule type="cellIs" dxfId="7483" priority="12543" operator="lessThan">
      <formula>0</formula>
    </cfRule>
    <cfRule type="cellIs" dxfId="7482" priority="12544" operator="greaterThan">
      <formula>0</formula>
    </cfRule>
  </conditionalFormatting>
  <conditionalFormatting sqref="LV12:LV13">
    <cfRule type="cellIs" dxfId="7481" priority="12539" operator="lessThan">
      <formula>0</formula>
    </cfRule>
    <cfRule type="cellIs" dxfId="7480" priority="12540" operator="greaterThan">
      <formula>0</formula>
    </cfRule>
  </conditionalFormatting>
  <conditionalFormatting sqref="LV14:LV19">
    <cfRule type="cellIs" dxfId="7479" priority="12537" operator="lessThan">
      <formula>0</formula>
    </cfRule>
    <cfRule type="cellIs" dxfId="7478" priority="12538" operator="greaterThan">
      <formula>0</formula>
    </cfRule>
  </conditionalFormatting>
  <conditionalFormatting sqref="LV20:LV22">
    <cfRule type="cellIs" dxfId="7477" priority="12535" operator="lessThan">
      <formula>0</formula>
    </cfRule>
    <cfRule type="cellIs" dxfId="7476" priority="12536" operator="greaterThan">
      <formula>0</formula>
    </cfRule>
  </conditionalFormatting>
  <conditionalFormatting sqref="LV45:LV46">
    <cfRule type="cellIs" dxfId="7475" priority="12549" operator="lessThan">
      <formula>0</formula>
    </cfRule>
    <cfRule type="cellIs" dxfId="7474" priority="12550" operator="greaterThan">
      <formula>0</formula>
    </cfRule>
  </conditionalFormatting>
  <conditionalFormatting sqref="LV7">
    <cfRule type="cellIs" dxfId="7473" priority="12521" operator="lessThan">
      <formula>0</formula>
    </cfRule>
    <cfRule type="cellIs" dxfId="7472" priority="12522" operator="greaterThan">
      <formula>0</formula>
    </cfRule>
  </conditionalFormatting>
  <conditionalFormatting sqref="LV7">
    <cfRule type="cellIs" dxfId="7471" priority="12519" operator="lessThan">
      <formula>0</formula>
    </cfRule>
    <cfRule type="cellIs" dxfId="7470" priority="12520" operator="greaterThan">
      <formula>0</formula>
    </cfRule>
  </conditionalFormatting>
  <conditionalFormatting sqref="LV8">
    <cfRule type="cellIs" dxfId="7469" priority="12517" operator="lessThan">
      <formula>0</formula>
    </cfRule>
    <cfRule type="cellIs" dxfId="7468" priority="12518" operator="greaterThan">
      <formula>0</formula>
    </cfRule>
  </conditionalFormatting>
  <conditionalFormatting sqref="LV47">
    <cfRule type="cellIs" dxfId="7467" priority="12515" operator="lessThan">
      <formula>0</formula>
    </cfRule>
    <cfRule type="cellIs" dxfId="7466" priority="12516" operator="greaterThan">
      <formula>0</formula>
    </cfRule>
  </conditionalFormatting>
  <conditionalFormatting sqref="LV44">
    <cfRule type="cellIs" dxfId="7465" priority="12513" operator="lessThan">
      <formula>0</formula>
    </cfRule>
    <cfRule type="cellIs" dxfId="7464" priority="12514" operator="greaterThan">
      <formula>0</formula>
    </cfRule>
  </conditionalFormatting>
  <conditionalFormatting sqref="LV23:LV24">
    <cfRule type="cellIs" dxfId="7463" priority="12509" operator="lessThan">
      <formula>0</formula>
    </cfRule>
    <cfRule type="cellIs" dxfId="7462" priority="12510" operator="greaterThan">
      <formula>0</formula>
    </cfRule>
  </conditionalFormatting>
  <conditionalFormatting sqref="LV33:LV34">
    <cfRule type="cellIs" dxfId="7461" priority="12507" operator="lessThan">
      <formula>0</formula>
    </cfRule>
    <cfRule type="cellIs" dxfId="7460" priority="12508" operator="greaterThan">
      <formula>0</formula>
    </cfRule>
  </conditionalFormatting>
  <conditionalFormatting sqref="LV101">
    <cfRule type="cellIs" dxfId="7459" priority="12499" operator="lessThan">
      <formula>0</formula>
    </cfRule>
    <cfRule type="cellIs" dxfId="7458" priority="12500" operator="greaterThan">
      <formula>0</formula>
    </cfRule>
  </conditionalFormatting>
  <conditionalFormatting sqref="LV104">
    <cfRule type="cellIs" dxfId="7457" priority="12497" operator="lessThan">
      <formula>0</formula>
    </cfRule>
    <cfRule type="cellIs" dxfId="7456" priority="12498" operator="greaterThan">
      <formula>0</formula>
    </cfRule>
  </conditionalFormatting>
  <conditionalFormatting sqref="LV48:LV49">
    <cfRule type="cellIs" dxfId="7455" priority="12463" operator="lessThan">
      <formula>0</formula>
    </cfRule>
    <cfRule type="cellIs" dxfId="7454" priority="12464" operator="greaterThan">
      <formula>0</formula>
    </cfRule>
  </conditionalFormatting>
  <conditionalFormatting sqref="LX98">
    <cfRule type="cellIs" dxfId="7453" priority="12398" operator="lessThan">
      <formula>0</formula>
    </cfRule>
    <cfRule type="cellIs" dxfId="7452" priority="12399" operator="greaterThan">
      <formula>0</formula>
    </cfRule>
  </conditionalFormatting>
  <conditionalFormatting sqref="LX6 LX9:LX11">
    <cfRule type="cellIs" dxfId="7451" priority="12438" operator="lessThan">
      <formula>0</formula>
    </cfRule>
    <cfRule type="cellIs" dxfId="7450" priority="12439" operator="greaterThan">
      <formula>0</formula>
    </cfRule>
  </conditionalFormatting>
  <conditionalFormatting sqref="LX43:LX44">
    <cfRule type="cellIs" dxfId="7449" priority="12402" operator="lessThan">
      <formula>0</formula>
    </cfRule>
    <cfRule type="cellIs" dxfId="7448" priority="12403" operator="greaterThan">
      <formula>0</formula>
    </cfRule>
  </conditionalFormatting>
  <conditionalFormatting sqref="LX11 LX19 LX3 LX24:LX32 LX34:LX42 LX69:LX79">
    <cfRule type="cellIs" dxfId="7447" priority="12448" operator="lessThan">
      <formula>0</formula>
    </cfRule>
    <cfRule type="cellIs" dxfId="7446" priority="12449" operator="greaterThan">
      <formula>0</formula>
    </cfRule>
  </conditionalFormatting>
  <conditionalFormatting sqref="LX4:LX5">
    <cfRule type="cellIs" dxfId="7445" priority="12440" operator="lessThan">
      <formula>0</formula>
    </cfRule>
    <cfRule type="cellIs" dxfId="7444" priority="12441" operator="greaterThan">
      <formula>0</formula>
    </cfRule>
  </conditionalFormatting>
  <conditionalFormatting sqref="LX12:LX13">
    <cfRule type="cellIs" dxfId="7443" priority="12436" operator="lessThan">
      <formula>0</formula>
    </cfRule>
    <cfRule type="cellIs" dxfId="7442" priority="12437" operator="greaterThan">
      <formula>0</formula>
    </cfRule>
  </conditionalFormatting>
  <conditionalFormatting sqref="LX14:LX19">
    <cfRule type="cellIs" dxfId="7441" priority="12434" operator="lessThan">
      <formula>0</formula>
    </cfRule>
    <cfRule type="cellIs" dxfId="7440" priority="12435" operator="greaterThan">
      <formula>0</formula>
    </cfRule>
  </conditionalFormatting>
  <conditionalFormatting sqref="LX20:LX22">
    <cfRule type="cellIs" dxfId="7439" priority="12432" operator="lessThan">
      <formula>0</formula>
    </cfRule>
    <cfRule type="cellIs" dxfId="7438" priority="12433" operator="greaterThan">
      <formula>0</formula>
    </cfRule>
  </conditionalFormatting>
  <conditionalFormatting sqref="LX45:LX46">
    <cfRule type="cellIs" dxfId="7437" priority="12446" operator="lessThan">
      <formula>0</formula>
    </cfRule>
    <cfRule type="cellIs" dxfId="7436" priority="12447" operator="greaterThan">
      <formula>0</formula>
    </cfRule>
  </conditionalFormatting>
  <conditionalFormatting sqref="LX7">
    <cfRule type="cellIs" dxfId="7435" priority="12418" operator="lessThan">
      <formula>0</formula>
    </cfRule>
    <cfRule type="cellIs" dxfId="7434" priority="12419" operator="greaterThan">
      <formula>0</formula>
    </cfRule>
  </conditionalFormatting>
  <conditionalFormatting sqref="LX7">
    <cfRule type="cellIs" dxfId="7433" priority="12416" operator="lessThan">
      <formula>0</formula>
    </cfRule>
    <cfRule type="cellIs" dxfId="7432" priority="12417" operator="greaterThan">
      <formula>0</formula>
    </cfRule>
  </conditionalFormatting>
  <conditionalFormatting sqref="LX8">
    <cfRule type="cellIs" dxfId="7431" priority="12414" operator="lessThan">
      <formula>0</formula>
    </cfRule>
    <cfRule type="cellIs" dxfId="7430" priority="12415" operator="greaterThan">
      <formula>0</formula>
    </cfRule>
  </conditionalFormatting>
  <conditionalFormatting sqref="LX47">
    <cfRule type="cellIs" dxfId="7429" priority="12412" operator="lessThan">
      <formula>0</formula>
    </cfRule>
    <cfRule type="cellIs" dxfId="7428" priority="12413" operator="greaterThan">
      <formula>0</formula>
    </cfRule>
  </conditionalFormatting>
  <conditionalFormatting sqref="LX44">
    <cfRule type="cellIs" dxfId="7427" priority="12410" operator="lessThan">
      <formula>0</formula>
    </cfRule>
    <cfRule type="cellIs" dxfId="7426" priority="12411" operator="greaterThan">
      <formula>0</formula>
    </cfRule>
  </conditionalFormatting>
  <conditionalFormatting sqref="LX23:LX24">
    <cfRule type="cellIs" dxfId="7425" priority="12406" operator="lessThan">
      <formula>0</formula>
    </cfRule>
    <cfRule type="cellIs" dxfId="7424" priority="12407" operator="greaterThan">
      <formula>0</formula>
    </cfRule>
  </conditionalFormatting>
  <conditionalFormatting sqref="LX33:LX34">
    <cfRule type="cellIs" dxfId="7423" priority="12404" operator="lessThan">
      <formula>0</formula>
    </cfRule>
    <cfRule type="cellIs" dxfId="7422" priority="12405" operator="greaterThan">
      <formula>0</formula>
    </cfRule>
  </conditionalFormatting>
  <conditionalFormatting sqref="LX101">
    <cfRule type="cellIs" dxfId="7421" priority="12396" operator="lessThan">
      <formula>0</formula>
    </cfRule>
    <cfRule type="cellIs" dxfId="7420" priority="12397" operator="greaterThan">
      <formula>0</formula>
    </cfRule>
  </conditionalFormatting>
  <conditionalFormatting sqref="LX104">
    <cfRule type="cellIs" dxfId="7419" priority="12394" operator="lessThan">
      <formula>0</formula>
    </cfRule>
    <cfRule type="cellIs" dxfId="7418" priority="12395" operator="greaterThan">
      <formula>0</formula>
    </cfRule>
  </conditionalFormatting>
  <conditionalFormatting sqref="LX48:LX49">
    <cfRule type="cellIs" dxfId="7417" priority="12360" operator="lessThan">
      <formula>0</formula>
    </cfRule>
    <cfRule type="cellIs" dxfId="7416" priority="12361" operator="greaterThan">
      <formula>0</formula>
    </cfRule>
  </conditionalFormatting>
  <conditionalFormatting sqref="LZ98">
    <cfRule type="cellIs" dxfId="7415" priority="12295" operator="lessThan">
      <formula>0</formula>
    </cfRule>
    <cfRule type="cellIs" dxfId="7414" priority="12296" operator="greaterThan">
      <formula>0</formula>
    </cfRule>
  </conditionalFormatting>
  <conditionalFormatting sqref="LZ6 LZ9:LZ11">
    <cfRule type="cellIs" dxfId="7413" priority="12335" operator="lessThan">
      <formula>0</formula>
    </cfRule>
    <cfRule type="cellIs" dxfId="7412" priority="12336" operator="greaterThan">
      <formula>0</formula>
    </cfRule>
  </conditionalFormatting>
  <conditionalFormatting sqref="LZ43:LZ44">
    <cfRule type="cellIs" dxfId="7411" priority="12299" operator="lessThan">
      <formula>0</formula>
    </cfRule>
    <cfRule type="cellIs" dxfId="7410" priority="12300" operator="greaterThan">
      <formula>0</formula>
    </cfRule>
  </conditionalFormatting>
  <conditionalFormatting sqref="LZ11 LZ19 LZ3 LZ24:LZ32 LZ34:LZ42 LZ69:LZ79">
    <cfRule type="cellIs" dxfId="7409" priority="12345" operator="lessThan">
      <formula>0</formula>
    </cfRule>
    <cfRule type="cellIs" dxfId="7408" priority="12346" operator="greaterThan">
      <formula>0</formula>
    </cfRule>
  </conditionalFormatting>
  <conditionalFormatting sqref="LZ4:LZ5">
    <cfRule type="cellIs" dxfId="7407" priority="12337" operator="lessThan">
      <formula>0</formula>
    </cfRule>
    <cfRule type="cellIs" dxfId="7406" priority="12338" operator="greaterThan">
      <formula>0</formula>
    </cfRule>
  </conditionalFormatting>
  <conditionalFormatting sqref="LZ12:LZ13">
    <cfRule type="cellIs" dxfId="7405" priority="12333" operator="lessThan">
      <formula>0</formula>
    </cfRule>
    <cfRule type="cellIs" dxfId="7404" priority="12334" operator="greaterThan">
      <formula>0</formula>
    </cfRule>
  </conditionalFormatting>
  <conditionalFormatting sqref="LZ14:LZ19">
    <cfRule type="cellIs" dxfId="7403" priority="12331" operator="lessThan">
      <formula>0</formula>
    </cfRule>
    <cfRule type="cellIs" dxfId="7402" priority="12332" operator="greaterThan">
      <formula>0</formula>
    </cfRule>
  </conditionalFormatting>
  <conditionalFormatting sqref="LZ20:LZ22">
    <cfRule type="cellIs" dxfId="7401" priority="12329" operator="lessThan">
      <formula>0</formula>
    </cfRule>
    <cfRule type="cellIs" dxfId="7400" priority="12330" operator="greaterThan">
      <formula>0</formula>
    </cfRule>
  </conditionalFormatting>
  <conditionalFormatting sqref="LZ45:LZ46">
    <cfRule type="cellIs" dxfId="7399" priority="12343" operator="lessThan">
      <formula>0</formula>
    </cfRule>
    <cfRule type="cellIs" dxfId="7398" priority="12344" operator="greaterThan">
      <formula>0</formula>
    </cfRule>
  </conditionalFormatting>
  <conditionalFormatting sqref="LZ7">
    <cfRule type="cellIs" dxfId="7397" priority="12315" operator="lessThan">
      <formula>0</formula>
    </cfRule>
    <cfRule type="cellIs" dxfId="7396" priority="12316" operator="greaterThan">
      <formula>0</formula>
    </cfRule>
  </conditionalFormatting>
  <conditionalFormatting sqref="LZ7">
    <cfRule type="cellIs" dxfId="7395" priority="12313" operator="lessThan">
      <formula>0</formula>
    </cfRule>
    <cfRule type="cellIs" dxfId="7394" priority="12314" operator="greaterThan">
      <formula>0</formula>
    </cfRule>
  </conditionalFormatting>
  <conditionalFormatting sqref="LZ8">
    <cfRule type="cellIs" dxfId="7393" priority="12311" operator="lessThan">
      <formula>0</formula>
    </cfRule>
    <cfRule type="cellIs" dxfId="7392" priority="12312" operator="greaterThan">
      <formula>0</formula>
    </cfRule>
  </conditionalFormatting>
  <conditionalFormatting sqref="LZ47">
    <cfRule type="cellIs" dxfId="7391" priority="12309" operator="lessThan">
      <formula>0</formula>
    </cfRule>
    <cfRule type="cellIs" dxfId="7390" priority="12310" operator="greaterThan">
      <formula>0</formula>
    </cfRule>
  </conditionalFormatting>
  <conditionalFormatting sqref="LZ44">
    <cfRule type="cellIs" dxfId="7389" priority="12307" operator="lessThan">
      <formula>0</formula>
    </cfRule>
    <cfRule type="cellIs" dxfId="7388" priority="12308" operator="greaterThan">
      <formula>0</formula>
    </cfRule>
  </conditionalFormatting>
  <conditionalFormatting sqref="LZ23:LZ24">
    <cfRule type="cellIs" dxfId="7387" priority="12303" operator="lessThan">
      <formula>0</formula>
    </cfRule>
    <cfRule type="cellIs" dxfId="7386" priority="12304" operator="greaterThan">
      <formula>0</formula>
    </cfRule>
  </conditionalFormatting>
  <conditionalFormatting sqref="LZ33:LZ34">
    <cfRule type="cellIs" dxfId="7385" priority="12301" operator="lessThan">
      <formula>0</formula>
    </cfRule>
    <cfRule type="cellIs" dxfId="7384" priority="12302" operator="greaterThan">
      <formula>0</formula>
    </cfRule>
  </conditionalFormatting>
  <conditionalFormatting sqref="LZ101">
    <cfRule type="cellIs" dxfId="7383" priority="12293" operator="lessThan">
      <formula>0</formula>
    </cfRule>
    <cfRule type="cellIs" dxfId="7382" priority="12294" operator="greaterThan">
      <formula>0</formula>
    </cfRule>
  </conditionalFormatting>
  <conditionalFormatting sqref="LZ104">
    <cfRule type="cellIs" dxfId="7381" priority="12291" operator="lessThan">
      <formula>0</formula>
    </cfRule>
    <cfRule type="cellIs" dxfId="7380" priority="12292" operator="greaterThan">
      <formula>0</formula>
    </cfRule>
  </conditionalFormatting>
  <conditionalFormatting sqref="LZ48:LZ49">
    <cfRule type="cellIs" dxfId="7379" priority="12257" operator="lessThan">
      <formula>0</formula>
    </cfRule>
    <cfRule type="cellIs" dxfId="7378" priority="12258" operator="greaterThan">
      <formula>0</formula>
    </cfRule>
  </conditionalFormatting>
  <conditionalFormatting sqref="MB98">
    <cfRule type="cellIs" dxfId="7377" priority="12192" operator="lessThan">
      <formula>0</formula>
    </cfRule>
    <cfRule type="cellIs" dxfId="7376" priority="12193" operator="greaterThan">
      <formula>0</formula>
    </cfRule>
  </conditionalFormatting>
  <conditionalFormatting sqref="MB6 MB9:MB11">
    <cfRule type="cellIs" dxfId="7375" priority="12232" operator="lessThan">
      <formula>0</formula>
    </cfRule>
    <cfRule type="cellIs" dxfId="7374" priority="12233" operator="greaterThan">
      <formula>0</formula>
    </cfRule>
  </conditionalFormatting>
  <conditionalFormatting sqref="MB43:MB44">
    <cfRule type="cellIs" dxfId="7373" priority="12196" operator="lessThan">
      <formula>0</formula>
    </cfRule>
    <cfRule type="cellIs" dxfId="7372" priority="12197" operator="greaterThan">
      <formula>0</formula>
    </cfRule>
  </conditionalFormatting>
  <conditionalFormatting sqref="MB11 MB19 MB3 MB24:MB32 MB34:MB42 MB69:MB79">
    <cfRule type="cellIs" dxfId="7371" priority="12242" operator="lessThan">
      <formula>0</formula>
    </cfRule>
    <cfRule type="cellIs" dxfId="7370" priority="12243" operator="greaterThan">
      <formula>0</formula>
    </cfRule>
  </conditionalFormatting>
  <conditionalFormatting sqref="MB4:MB5">
    <cfRule type="cellIs" dxfId="7369" priority="12234" operator="lessThan">
      <formula>0</formula>
    </cfRule>
    <cfRule type="cellIs" dxfId="7368" priority="12235" operator="greaterThan">
      <formula>0</formula>
    </cfRule>
  </conditionalFormatting>
  <conditionalFormatting sqref="MB12:MB13">
    <cfRule type="cellIs" dxfId="7367" priority="12230" operator="lessThan">
      <formula>0</formula>
    </cfRule>
    <cfRule type="cellIs" dxfId="7366" priority="12231" operator="greaterThan">
      <formula>0</formula>
    </cfRule>
  </conditionalFormatting>
  <conditionalFormatting sqref="MB14:MB19">
    <cfRule type="cellIs" dxfId="7365" priority="12228" operator="lessThan">
      <formula>0</formula>
    </cfRule>
    <cfRule type="cellIs" dxfId="7364" priority="12229" operator="greaterThan">
      <formula>0</formula>
    </cfRule>
  </conditionalFormatting>
  <conditionalFormatting sqref="MB20:MB22">
    <cfRule type="cellIs" dxfId="7363" priority="12226" operator="lessThan">
      <formula>0</formula>
    </cfRule>
    <cfRule type="cellIs" dxfId="7362" priority="12227" operator="greaterThan">
      <formula>0</formula>
    </cfRule>
  </conditionalFormatting>
  <conditionalFormatting sqref="MB45:MB46">
    <cfRule type="cellIs" dxfId="7361" priority="12240" operator="lessThan">
      <formula>0</formula>
    </cfRule>
    <cfRule type="cellIs" dxfId="7360" priority="12241" operator="greaterThan">
      <formula>0</formula>
    </cfRule>
  </conditionalFormatting>
  <conditionalFormatting sqref="MB7">
    <cfRule type="cellIs" dxfId="7359" priority="12212" operator="lessThan">
      <formula>0</formula>
    </cfRule>
    <cfRule type="cellIs" dxfId="7358" priority="12213" operator="greaterThan">
      <formula>0</formula>
    </cfRule>
  </conditionalFormatting>
  <conditionalFormatting sqref="MB7">
    <cfRule type="cellIs" dxfId="7357" priority="12210" operator="lessThan">
      <formula>0</formula>
    </cfRule>
    <cfRule type="cellIs" dxfId="7356" priority="12211" operator="greaterThan">
      <formula>0</formula>
    </cfRule>
  </conditionalFormatting>
  <conditionalFormatting sqref="MB8">
    <cfRule type="cellIs" dxfId="7355" priority="12208" operator="lessThan">
      <formula>0</formula>
    </cfRule>
    <cfRule type="cellIs" dxfId="7354" priority="12209" operator="greaterThan">
      <formula>0</formula>
    </cfRule>
  </conditionalFormatting>
  <conditionalFormatting sqref="MB47">
    <cfRule type="cellIs" dxfId="7353" priority="12206" operator="lessThan">
      <formula>0</formula>
    </cfRule>
    <cfRule type="cellIs" dxfId="7352" priority="12207" operator="greaterThan">
      <formula>0</formula>
    </cfRule>
  </conditionalFormatting>
  <conditionalFormatting sqref="MB44">
    <cfRule type="cellIs" dxfId="7351" priority="12204" operator="lessThan">
      <formula>0</formula>
    </cfRule>
    <cfRule type="cellIs" dxfId="7350" priority="12205" operator="greaterThan">
      <formula>0</formula>
    </cfRule>
  </conditionalFormatting>
  <conditionalFormatting sqref="MB23:MB24">
    <cfRule type="cellIs" dxfId="7349" priority="12200" operator="lessThan">
      <formula>0</formula>
    </cfRule>
    <cfRule type="cellIs" dxfId="7348" priority="12201" operator="greaterThan">
      <formula>0</formula>
    </cfRule>
  </conditionalFormatting>
  <conditionalFormatting sqref="MB33:MB34">
    <cfRule type="cellIs" dxfId="7347" priority="12198" operator="lessThan">
      <formula>0</formula>
    </cfRule>
    <cfRule type="cellIs" dxfId="7346" priority="12199" operator="greaterThan">
      <formula>0</formula>
    </cfRule>
  </conditionalFormatting>
  <conditionalFormatting sqref="MB101">
    <cfRule type="cellIs" dxfId="7345" priority="12190" operator="lessThan">
      <formula>0</formula>
    </cfRule>
    <cfRule type="cellIs" dxfId="7344" priority="12191" operator="greaterThan">
      <formula>0</formula>
    </cfRule>
  </conditionalFormatting>
  <conditionalFormatting sqref="MB104">
    <cfRule type="cellIs" dxfId="7343" priority="12188" operator="lessThan">
      <formula>0</formula>
    </cfRule>
    <cfRule type="cellIs" dxfId="7342" priority="12189" operator="greaterThan">
      <formula>0</formula>
    </cfRule>
  </conditionalFormatting>
  <conditionalFormatting sqref="MB48:MB49">
    <cfRule type="cellIs" dxfId="7341" priority="12154" operator="lessThan">
      <formula>0</formula>
    </cfRule>
    <cfRule type="cellIs" dxfId="7340" priority="12155" operator="greaterThan">
      <formula>0</formula>
    </cfRule>
  </conditionalFormatting>
  <conditionalFormatting sqref="MD98">
    <cfRule type="cellIs" dxfId="7339" priority="12089" operator="lessThan">
      <formula>0</formula>
    </cfRule>
    <cfRule type="cellIs" dxfId="7338" priority="12090" operator="greaterThan">
      <formula>0</formula>
    </cfRule>
  </conditionalFormatting>
  <conditionalFormatting sqref="MD6 MD9:MD11">
    <cfRule type="cellIs" dxfId="7337" priority="12129" operator="lessThan">
      <formula>0</formula>
    </cfRule>
    <cfRule type="cellIs" dxfId="7336" priority="12130" operator="greaterThan">
      <formula>0</formula>
    </cfRule>
  </conditionalFormatting>
  <conditionalFormatting sqref="MD43:MD44">
    <cfRule type="cellIs" dxfId="7335" priority="12093" operator="lessThan">
      <formula>0</formula>
    </cfRule>
    <cfRule type="cellIs" dxfId="7334" priority="12094" operator="greaterThan">
      <formula>0</formula>
    </cfRule>
  </conditionalFormatting>
  <conditionalFormatting sqref="MD11 MD19 MD3 MD24:MD32 MD34:MD42 MD69:MD79">
    <cfRule type="cellIs" dxfId="7333" priority="12139" operator="lessThan">
      <formula>0</formula>
    </cfRule>
    <cfRule type="cellIs" dxfId="7332" priority="12140" operator="greaterThan">
      <formula>0</formula>
    </cfRule>
  </conditionalFormatting>
  <conditionalFormatting sqref="MD4:MD5">
    <cfRule type="cellIs" dxfId="7331" priority="12131" operator="lessThan">
      <formula>0</formula>
    </cfRule>
    <cfRule type="cellIs" dxfId="7330" priority="12132" operator="greaterThan">
      <formula>0</formula>
    </cfRule>
  </conditionalFormatting>
  <conditionalFormatting sqref="MD12:MD13">
    <cfRule type="cellIs" dxfId="7329" priority="12127" operator="lessThan">
      <formula>0</formula>
    </cfRule>
    <cfRule type="cellIs" dxfId="7328" priority="12128" operator="greaterThan">
      <formula>0</formula>
    </cfRule>
  </conditionalFormatting>
  <conditionalFormatting sqref="MD14:MD19">
    <cfRule type="cellIs" dxfId="7327" priority="12125" operator="lessThan">
      <formula>0</formula>
    </cfRule>
    <cfRule type="cellIs" dxfId="7326" priority="12126" operator="greaterThan">
      <formula>0</formula>
    </cfRule>
  </conditionalFormatting>
  <conditionalFormatting sqref="MD20:MD22">
    <cfRule type="cellIs" dxfId="7325" priority="12123" operator="lessThan">
      <formula>0</formula>
    </cfRule>
    <cfRule type="cellIs" dxfId="7324" priority="12124" operator="greaterThan">
      <formula>0</formula>
    </cfRule>
  </conditionalFormatting>
  <conditionalFormatting sqref="MD45:MD46">
    <cfRule type="cellIs" dxfId="7323" priority="12137" operator="lessThan">
      <formula>0</formula>
    </cfRule>
    <cfRule type="cellIs" dxfId="7322" priority="12138" operator="greaterThan">
      <formula>0</formula>
    </cfRule>
  </conditionalFormatting>
  <conditionalFormatting sqref="MD7">
    <cfRule type="cellIs" dxfId="7321" priority="12109" operator="lessThan">
      <formula>0</formula>
    </cfRule>
    <cfRule type="cellIs" dxfId="7320" priority="12110" operator="greaterThan">
      <formula>0</formula>
    </cfRule>
  </conditionalFormatting>
  <conditionalFormatting sqref="MD7">
    <cfRule type="cellIs" dxfId="7319" priority="12107" operator="lessThan">
      <formula>0</formula>
    </cfRule>
    <cfRule type="cellIs" dxfId="7318" priority="12108" operator="greaterThan">
      <formula>0</formula>
    </cfRule>
  </conditionalFormatting>
  <conditionalFormatting sqref="MD8">
    <cfRule type="cellIs" dxfId="7317" priority="12105" operator="lessThan">
      <formula>0</formula>
    </cfRule>
    <cfRule type="cellIs" dxfId="7316" priority="12106" operator="greaterThan">
      <formula>0</formula>
    </cfRule>
  </conditionalFormatting>
  <conditionalFormatting sqref="MD47">
    <cfRule type="cellIs" dxfId="7315" priority="12103" operator="lessThan">
      <formula>0</formula>
    </cfRule>
    <cfRule type="cellIs" dxfId="7314" priority="12104" operator="greaterThan">
      <formula>0</formula>
    </cfRule>
  </conditionalFormatting>
  <conditionalFormatting sqref="MD44">
    <cfRule type="cellIs" dxfId="7313" priority="12101" operator="lessThan">
      <formula>0</formula>
    </cfRule>
    <cfRule type="cellIs" dxfId="7312" priority="12102" operator="greaterThan">
      <formula>0</formula>
    </cfRule>
  </conditionalFormatting>
  <conditionalFormatting sqref="MD23:MD24">
    <cfRule type="cellIs" dxfId="7311" priority="12097" operator="lessThan">
      <formula>0</formula>
    </cfRule>
    <cfRule type="cellIs" dxfId="7310" priority="12098" operator="greaterThan">
      <formula>0</formula>
    </cfRule>
  </conditionalFormatting>
  <conditionalFormatting sqref="MD33:MD34">
    <cfRule type="cellIs" dxfId="7309" priority="12095" operator="lessThan">
      <formula>0</formula>
    </cfRule>
    <cfRule type="cellIs" dxfId="7308" priority="12096" operator="greaterThan">
      <formula>0</formula>
    </cfRule>
  </conditionalFormatting>
  <conditionalFormatting sqref="MD101">
    <cfRule type="cellIs" dxfId="7307" priority="12087" operator="lessThan">
      <formula>0</formula>
    </cfRule>
    <cfRule type="cellIs" dxfId="7306" priority="12088" operator="greaterThan">
      <formula>0</formula>
    </cfRule>
  </conditionalFormatting>
  <conditionalFormatting sqref="MD104">
    <cfRule type="cellIs" dxfId="7305" priority="12085" operator="lessThan">
      <formula>0</formula>
    </cfRule>
    <cfRule type="cellIs" dxfId="7304" priority="12086" operator="greaterThan">
      <formula>0</formula>
    </cfRule>
  </conditionalFormatting>
  <conditionalFormatting sqref="MD48:MD49">
    <cfRule type="cellIs" dxfId="7303" priority="12051" operator="lessThan">
      <formula>0</formula>
    </cfRule>
    <cfRule type="cellIs" dxfId="7302" priority="12052" operator="greaterThan">
      <formula>0</formula>
    </cfRule>
  </conditionalFormatting>
  <conditionalFormatting sqref="MF98">
    <cfRule type="cellIs" dxfId="7301" priority="11986" operator="lessThan">
      <formula>0</formula>
    </cfRule>
    <cfRule type="cellIs" dxfId="7300" priority="11987" operator="greaterThan">
      <formula>0</formula>
    </cfRule>
  </conditionalFormatting>
  <conditionalFormatting sqref="MF6 MF9:MF11">
    <cfRule type="cellIs" dxfId="7299" priority="12026" operator="lessThan">
      <formula>0</formula>
    </cfRule>
    <cfRule type="cellIs" dxfId="7298" priority="12027" operator="greaterThan">
      <formula>0</formula>
    </cfRule>
  </conditionalFormatting>
  <conditionalFormatting sqref="MF43:MF44">
    <cfRule type="cellIs" dxfId="7297" priority="11990" operator="lessThan">
      <formula>0</formula>
    </cfRule>
    <cfRule type="cellIs" dxfId="7296" priority="11991" operator="greaterThan">
      <formula>0</formula>
    </cfRule>
  </conditionalFormatting>
  <conditionalFormatting sqref="MF11 MF19 MF3 MF24:MF32 MF34:MF42 MF69:MF79">
    <cfRule type="cellIs" dxfId="7295" priority="12036" operator="lessThan">
      <formula>0</formula>
    </cfRule>
    <cfRule type="cellIs" dxfId="7294" priority="12037" operator="greaterThan">
      <formula>0</formula>
    </cfRule>
  </conditionalFormatting>
  <conditionalFormatting sqref="MF4:MF5">
    <cfRule type="cellIs" dxfId="7293" priority="12028" operator="lessThan">
      <formula>0</formula>
    </cfRule>
    <cfRule type="cellIs" dxfId="7292" priority="12029" operator="greaterThan">
      <formula>0</formula>
    </cfRule>
  </conditionalFormatting>
  <conditionalFormatting sqref="MF12:MF13">
    <cfRule type="cellIs" dxfId="7291" priority="12024" operator="lessThan">
      <formula>0</formula>
    </cfRule>
    <cfRule type="cellIs" dxfId="7290" priority="12025" operator="greaterThan">
      <formula>0</formula>
    </cfRule>
  </conditionalFormatting>
  <conditionalFormatting sqref="MF14:MF19">
    <cfRule type="cellIs" dxfId="7289" priority="12022" operator="lessThan">
      <formula>0</formula>
    </cfRule>
    <cfRule type="cellIs" dxfId="7288" priority="12023" operator="greaterThan">
      <formula>0</formula>
    </cfRule>
  </conditionalFormatting>
  <conditionalFormatting sqref="MF20:MF22">
    <cfRule type="cellIs" dxfId="7287" priority="12020" operator="lessThan">
      <formula>0</formula>
    </cfRule>
    <cfRule type="cellIs" dxfId="7286" priority="12021" operator="greaterThan">
      <formula>0</formula>
    </cfRule>
  </conditionalFormatting>
  <conditionalFormatting sqref="MF45:MF46">
    <cfRule type="cellIs" dxfId="7285" priority="12034" operator="lessThan">
      <formula>0</formula>
    </cfRule>
    <cfRule type="cellIs" dxfId="7284" priority="12035" operator="greaterThan">
      <formula>0</formula>
    </cfRule>
  </conditionalFormatting>
  <conditionalFormatting sqref="MF7">
    <cfRule type="cellIs" dxfId="7283" priority="12006" operator="lessThan">
      <formula>0</formula>
    </cfRule>
    <cfRule type="cellIs" dxfId="7282" priority="12007" operator="greaterThan">
      <formula>0</formula>
    </cfRule>
  </conditionalFormatting>
  <conditionalFormatting sqref="MF7">
    <cfRule type="cellIs" dxfId="7281" priority="12004" operator="lessThan">
      <formula>0</formula>
    </cfRule>
    <cfRule type="cellIs" dxfId="7280" priority="12005" operator="greaterThan">
      <formula>0</formula>
    </cfRule>
  </conditionalFormatting>
  <conditionalFormatting sqref="MF8">
    <cfRule type="cellIs" dxfId="7279" priority="12002" operator="lessThan">
      <formula>0</formula>
    </cfRule>
    <cfRule type="cellIs" dxfId="7278" priority="12003" operator="greaterThan">
      <formula>0</formula>
    </cfRule>
  </conditionalFormatting>
  <conditionalFormatting sqref="MF47">
    <cfRule type="cellIs" dxfId="7277" priority="12000" operator="lessThan">
      <formula>0</formula>
    </cfRule>
    <cfRule type="cellIs" dxfId="7276" priority="12001" operator="greaterThan">
      <formula>0</formula>
    </cfRule>
  </conditionalFormatting>
  <conditionalFormatting sqref="MF44">
    <cfRule type="cellIs" dxfId="7275" priority="11998" operator="lessThan">
      <formula>0</formula>
    </cfRule>
    <cfRule type="cellIs" dxfId="7274" priority="11999" operator="greaterThan">
      <formula>0</formula>
    </cfRule>
  </conditionalFormatting>
  <conditionalFormatting sqref="MF23:MF24">
    <cfRule type="cellIs" dxfId="7273" priority="11994" operator="lessThan">
      <formula>0</formula>
    </cfRule>
    <cfRule type="cellIs" dxfId="7272" priority="11995" operator="greaterThan">
      <formula>0</formula>
    </cfRule>
  </conditionalFormatting>
  <conditionalFormatting sqref="MF33:MF34">
    <cfRule type="cellIs" dxfId="7271" priority="11992" operator="lessThan">
      <formula>0</formula>
    </cfRule>
    <cfRule type="cellIs" dxfId="7270" priority="11993" operator="greaterThan">
      <formula>0</formula>
    </cfRule>
  </conditionalFormatting>
  <conditionalFormatting sqref="MF101">
    <cfRule type="cellIs" dxfId="7269" priority="11984" operator="lessThan">
      <formula>0</formula>
    </cfRule>
    <cfRule type="cellIs" dxfId="7268" priority="11985" operator="greaterThan">
      <formula>0</formula>
    </cfRule>
  </conditionalFormatting>
  <conditionalFormatting sqref="MF104">
    <cfRule type="cellIs" dxfId="7267" priority="11982" operator="lessThan">
      <formula>0</formula>
    </cfRule>
    <cfRule type="cellIs" dxfId="7266" priority="11983" operator="greaterThan">
      <formula>0</formula>
    </cfRule>
  </conditionalFormatting>
  <conditionalFormatting sqref="MF48:MF49">
    <cfRule type="cellIs" dxfId="7265" priority="11948" operator="lessThan">
      <formula>0</formula>
    </cfRule>
    <cfRule type="cellIs" dxfId="7264" priority="11949" operator="greaterThan">
      <formula>0</formula>
    </cfRule>
  </conditionalFormatting>
  <conditionalFormatting sqref="MH98">
    <cfRule type="cellIs" dxfId="7263" priority="11883" operator="lessThan">
      <formula>0</formula>
    </cfRule>
    <cfRule type="cellIs" dxfId="7262" priority="11884" operator="greaterThan">
      <formula>0</formula>
    </cfRule>
  </conditionalFormatting>
  <conditionalFormatting sqref="MH6 MH9:MH11">
    <cfRule type="cellIs" dxfId="7261" priority="11923" operator="lessThan">
      <formula>0</formula>
    </cfRule>
    <cfRule type="cellIs" dxfId="7260" priority="11924" operator="greaterThan">
      <formula>0</formula>
    </cfRule>
  </conditionalFormatting>
  <conditionalFormatting sqref="MH43:MH44">
    <cfRule type="cellIs" dxfId="7259" priority="11887" operator="lessThan">
      <formula>0</formula>
    </cfRule>
    <cfRule type="cellIs" dxfId="7258" priority="11888" operator="greaterThan">
      <formula>0</formula>
    </cfRule>
  </conditionalFormatting>
  <conditionalFormatting sqref="MH11 MH19 MH3 MH24:MH32 MH34:MH42 MH69:MH79">
    <cfRule type="cellIs" dxfId="7257" priority="11933" operator="lessThan">
      <formula>0</formula>
    </cfRule>
    <cfRule type="cellIs" dxfId="7256" priority="11934" operator="greaterThan">
      <formula>0</formula>
    </cfRule>
  </conditionalFormatting>
  <conditionalFormatting sqref="MH4:MH5">
    <cfRule type="cellIs" dxfId="7255" priority="11925" operator="lessThan">
      <formula>0</formula>
    </cfRule>
    <cfRule type="cellIs" dxfId="7254" priority="11926" operator="greaterThan">
      <formula>0</formula>
    </cfRule>
  </conditionalFormatting>
  <conditionalFormatting sqref="MH12:MH13">
    <cfRule type="cellIs" dxfId="7253" priority="11921" operator="lessThan">
      <formula>0</formula>
    </cfRule>
    <cfRule type="cellIs" dxfId="7252" priority="11922" operator="greaterThan">
      <formula>0</formula>
    </cfRule>
  </conditionalFormatting>
  <conditionalFormatting sqref="MH14:MH19">
    <cfRule type="cellIs" dxfId="7251" priority="11919" operator="lessThan">
      <formula>0</formula>
    </cfRule>
    <cfRule type="cellIs" dxfId="7250" priority="11920" operator="greaterThan">
      <formula>0</formula>
    </cfRule>
  </conditionalFormatting>
  <conditionalFormatting sqref="MH20:MH22">
    <cfRule type="cellIs" dxfId="7249" priority="11917" operator="lessThan">
      <formula>0</formula>
    </cfRule>
    <cfRule type="cellIs" dxfId="7248" priority="11918" operator="greaterThan">
      <formula>0</formula>
    </cfRule>
  </conditionalFormatting>
  <conditionalFormatting sqref="MH45:MH46">
    <cfRule type="cellIs" dxfId="7247" priority="11931" operator="lessThan">
      <formula>0</formula>
    </cfRule>
    <cfRule type="cellIs" dxfId="7246" priority="11932" operator="greaterThan">
      <formula>0</formula>
    </cfRule>
  </conditionalFormatting>
  <conditionalFormatting sqref="MH7">
    <cfRule type="cellIs" dxfId="7245" priority="11903" operator="lessThan">
      <formula>0</formula>
    </cfRule>
    <cfRule type="cellIs" dxfId="7244" priority="11904" operator="greaterThan">
      <formula>0</formula>
    </cfRule>
  </conditionalFormatting>
  <conditionalFormatting sqref="MH7">
    <cfRule type="cellIs" dxfId="7243" priority="11901" operator="lessThan">
      <formula>0</formula>
    </cfRule>
    <cfRule type="cellIs" dxfId="7242" priority="11902" operator="greaterThan">
      <formula>0</formula>
    </cfRule>
  </conditionalFormatting>
  <conditionalFormatting sqref="MH8">
    <cfRule type="cellIs" dxfId="7241" priority="11899" operator="lessThan">
      <formula>0</formula>
    </cfRule>
    <cfRule type="cellIs" dxfId="7240" priority="11900" operator="greaterThan">
      <formula>0</formula>
    </cfRule>
  </conditionalFormatting>
  <conditionalFormatting sqref="MH47">
    <cfRule type="cellIs" dxfId="7239" priority="11897" operator="lessThan">
      <formula>0</formula>
    </cfRule>
    <cfRule type="cellIs" dxfId="7238" priority="11898" operator="greaterThan">
      <formula>0</formula>
    </cfRule>
  </conditionalFormatting>
  <conditionalFormatting sqref="MH44">
    <cfRule type="cellIs" dxfId="7237" priority="11895" operator="lessThan">
      <formula>0</formula>
    </cfRule>
    <cfRule type="cellIs" dxfId="7236" priority="11896" operator="greaterThan">
      <formula>0</formula>
    </cfRule>
  </conditionalFormatting>
  <conditionalFormatting sqref="MH23:MH24">
    <cfRule type="cellIs" dxfId="7235" priority="11891" operator="lessThan">
      <formula>0</formula>
    </cfRule>
    <cfRule type="cellIs" dxfId="7234" priority="11892" operator="greaterThan">
      <formula>0</formula>
    </cfRule>
  </conditionalFormatting>
  <conditionalFormatting sqref="MH33:MH34">
    <cfRule type="cellIs" dxfId="7233" priority="11889" operator="lessThan">
      <formula>0</formula>
    </cfRule>
    <cfRule type="cellIs" dxfId="7232" priority="11890" operator="greaterThan">
      <formula>0</formula>
    </cfRule>
  </conditionalFormatting>
  <conditionalFormatting sqref="MH101">
    <cfRule type="cellIs" dxfId="7231" priority="11881" operator="lessThan">
      <formula>0</formula>
    </cfRule>
    <cfRule type="cellIs" dxfId="7230" priority="11882" operator="greaterThan">
      <formula>0</formula>
    </cfRule>
  </conditionalFormatting>
  <conditionalFormatting sqref="MH104">
    <cfRule type="cellIs" dxfId="7229" priority="11879" operator="lessThan">
      <formula>0</formula>
    </cfRule>
    <cfRule type="cellIs" dxfId="7228" priority="11880" operator="greaterThan">
      <formula>0</formula>
    </cfRule>
  </conditionalFormatting>
  <conditionalFormatting sqref="MH48:MH49">
    <cfRule type="cellIs" dxfId="7227" priority="11845" operator="lessThan">
      <formula>0</formula>
    </cfRule>
    <cfRule type="cellIs" dxfId="7226" priority="11846" operator="greaterThan">
      <formula>0</formula>
    </cfRule>
  </conditionalFormatting>
  <conditionalFormatting sqref="MJ98">
    <cfRule type="cellIs" dxfId="7225" priority="11780" operator="lessThan">
      <formula>0</formula>
    </cfRule>
    <cfRule type="cellIs" dxfId="7224" priority="11781" operator="greaterThan">
      <formula>0</formula>
    </cfRule>
  </conditionalFormatting>
  <conditionalFormatting sqref="MJ6 MJ9:MJ11">
    <cfRule type="cellIs" dxfId="7223" priority="11820" operator="lessThan">
      <formula>0</formula>
    </cfRule>
    <cfRule type="cellIs" dxfId="7222" priority="11821" operator="greaterThan">
      <formula>0</formula>
    </cfRule>
  </conditionalFormatting>
  <conditionalFormatting sqref="MJ43:MJ44">
    <cfRule type="cellIs" dxfId="7221" priority="11784" operator="lessThan">
      <formula>0</formula>
    </cfRule>
    <cfRule type="cellIs" dxfId="7220" priority="11785" operator="greaterThan">
      <formula>0</formula>
    </cfRule>
  </conditionalFormatting>
  <conditionalFormatting sqref="MJ11 MJ19 MJ3 MJ24:MJ32 MJ34:MJ42 MJ69:MJ79">
    <cfRule type="cellIs" dxfId="7219" priority="11830" operator="lessThan">
      <formula>0</formula>
    </cfRule>
    <cfRule type="cellIs" dxfId="7218" priority="11831" operator="greaterThan">
      <formula>0</formula>
    </cfRule>
  </conditionalFormatting>
  <conditionalFormatting sqref="MJ4:MJ5">
    <cfRule type="cellIs" dxfId="7217" priority="11822" operator="lessThan">
      <formula>0</formula>
    </cfRule>
    <cfRule type="cellIs" dxfId="7216" priority="11823" operator="greaterThan">
      <formula>0</formula>
    </cfRule>
  </conditionalFormatting>
  <conditionalFormatting sqref="MJ12:MJ13">
    <cfRule type="cellIs" dxfId="7215" priority="11818" operator="lessThan">
      <formula>0</formula>
    </cfRule>
    <cfRule type="cellIs" dxfId="7214" priority="11819" operator="greaterThan">
      <formula>0</formula>
    </cfRule>
  </conditionalFormatting>
  <conditionalFormatting sqref="MJ14:MJ19">
    <cfRule type="cellIs" dxfId="7213" priority="11816" operator="lessThan">
      <formula>0</formula>
    </cfRule>
    <cfRule type="cellIs" dxfId="7212" priority="11817" operator="greaterThan">
      <formula>0</formula>
    </cfRule>
  </conditionalFormatting>
  <conditionalFormatting sqref="MJ20:MJ22">
    <cfRule type="cellIs" dxfId="7211" priority="11814" operator="lessThan">
      <formula>0</formula>
    </cfRule>
    <cfRule type="cellIs" dxfId="7210" priority="11815" operator="greaterThan">
      <formula>0</formula>
    </cfRule>
  </conditionalFormatting>
  <conditionalFormatting sqref="MJ45:MJ46">
    <cfRule type="cellIs" dxfId="7209" priority="11828" operator="lessThan">
      <formula>0</formula>
    </cfRule>
    <cfRule type="cellIs" dxfId="7208" priority="11829" operator="greaterThan">
      <formula>0</formula>
    </cfRule>
  </conditionalFormatting>
  <conditionalFormatting sqref="MJ7">
    <cfRule type="cellIs" dxfId="7207" priority="11800" operator="lessThan">
      <formula>0</formula>
    </cfRule>
    <cfRule type="cellIs" dxfId="7206" priority="11801" operator="greaterThan">
      <formula>0</formula>
    </cfRule>
  </conditionalFormatting>
  <conditionalFormatting sqref="MJ7">
    <cfRule type="cellIs" dxfId="7205" priority="11798" operator="lessThan">
      <formula>0</formula>
    </cfRule>
    <cfRule type="cellIs" dxfId="7204" priority="11799" operator="greaterThan">
      <formula>0</formula>
    </cfRule>
  </conditionalFormatting>
  <conditionalFormatting sqref="MJ8">
    <cfRule type="cellIs" dxfId="7203" priority="11796" operator="lessThan">
      <formula>0</formula>
    </cfRule>
    <cfRule type="cellIs" dxfId="7202" priority="11797" operator="greaterThan">
      <formula>0</formula>
    </cfRule>
  </conditionalFormatting>
  <conditionalFormatting sqref="MJ47">
    <cfRule type="cellIs" dxfId="7201" priority="11794" operator="lessThan">
      <formula>0</formula>
    </cfRule>
    <cfRule type="cellIs" dxfId="7200" priority="11795" operator="greaterThan">
      <formula>0</formula>
    </cfRule>
  </conditionalFormatting>
  <conditionalFormatting sqref="MJ44">
    <cfRule type="cellIs" dxfId="7199" priority="11792" operator="lessThan">
      <formula>0</formula>
    </cfRule>
    <cfRule type="cellIs" dxfId="7198" priority="11793" operator="greaterThan">
      <formula>0</formula>
    </cfRule>
  </conditionalFormatting>
  <conditionalFormatting sqref="MJ23:MJ24">
    <cfRule type="cellIs" dxfId="7197" priority="11788" operator="lessThan">
      <formula>0</formula>
    </cfRule>
    <cfRule type="cellIs" dxfId="7196" priority="11789" operator="greaterThan">
      <formula>0</formula>
    </cfRule>
  </conditionalFormatting>
  <conditionalFormatting sqref="MJ33:MJ34">
    <cfRule type="cellIs" dxfId="7195" priority="11786" operator="lessThan">
      <formula>0</formula>
    </cfRule>
    <cfRule type="cellIs" dxfId="7194" priority="11787" operator="greaterThan">
      <formula>0</formula>
    </cfRule>
  </conditionalFormatting>
  <conditionalFormatting sqref="MJ101">
    <cfRule type="cellIs" dxfId="7193" priority="11778" operator="lessThan">
      <formula>0</formula>
    </cfRule>
    <cfRule type="cellIs" dxfId="7192" priority="11779" operator="greaterThan">
      <formula>0</formula>
    </cfRule>
  </conditionalFormatting>
  <conditionalFormatting sqref="MJ104">
    <cfRule type="cellIs" dxfId="7191" priority="11776" operator="lessThan">
      <formula>0</formula>
    </cfRule>
    <cfRule type="cellIs" dxfId="7190" priority="11777" operator="greaterThan">
      <formula>0</formula>
    </cfRule>
  </conditionalFormatting>
  <conditionalFormatting sqref="MJ48:MJ49">
    <cfRule type="cellIs" dxfId="7189" priority="11742" operator="lessThan">
      <formula>0</formula>
    </cfRule>
    <cfRule type="cellIs" dxfId="7188" priority="11743" operator="greaterThan">
      <formula>0</formula>
    </cfRule>
  </conditionalFormatting>
  <conditionalFormatting sqref="ML98">
    <cfRule type="cellIs" dxfId="7187" priority="11677" operator="lessThan">
      <formula>0</formula>
    </cfRule>
    <cfRule type="cellIs" dxfId="7186" priority="11678" operator="greaterThan">
      <formula>0</formula>
    </cfRule>
  </conditionalFormatting>
  <conditionalFormatting sqref="ML6 ML9:ML11">
    <cfRule type="cellIs" dxfId="7185" priority="11717" operator="lessThan">
      <formula>0</formula>
    </cfRule>
    <cfRule type="cellIs" dxfId="7184" priority="11718" operator="greaterThan">
      <formula>0</formula>
    </cfRule>
  </conditionalFormatting>
  <conditionalFormatting sqref="ML43:ML44">
    <cfRule type="cellIs" dxfId="7183" priority="11681" operator="lessThan">
      <formula>0</formula>
    </cfRule>
    <cfRule type="cellIs" dxfId="7182" priority="11682" operator="greaterThan">
      <formula>0</formula>
    </cfRule>
  </conditionalFormatting>
  <conditionalFormatting sqref="ML11 ML19 ML3 ML24:ML32 ML34:ML42 ML69:ML79">
    <cfRule type="cellIs" dxfId="7181" priority="11727" operator="lessThan">
      <formula>0</formula>
    </cfRule>
    <cfRule type="cellIs" dxfId="7180" priority="11728" operator="greaterThan">
      <formula>0</formula>
    </cfRule>
  </conditionalFormatting>
  <conditionalFormatting sqref="ML4:ML5">
    <cfRule type="cellIs" dxfId="7179" priority="11719" operator="lessThan">
      <formula>0</formula>
    </cfRule>
    <cfRule type="cellIs" dxfId="7178" priority="11720" operator="greaterThan">
      <formula>0</formula>
    </cfRule>
  </conditionalFormatting>
  <conditionalFormatting sqref="ML12:ML13">
    <cfRule type="cellIs" dxfId="7177" priority="11715" operator="lessThan">
      <formula>0</formula>
    </cfRule>
    <cfRule type="cellIs" dxfId="7176" priority="11716" operator="greaterThan">
      <formula>0</formula>
    </cfRule>
  </conditionalFormatting>
  <conditionalFormatting sqref="ML14:ML19">
    <cfRule type="cellIs" dxfId="7175" priority="11713" operator="lessThan">
      <formula>0</formula>
    </cfRule>
    <cfRule type="cellIs" dxfId="7174" priority="11714" operator="greaterThan">
      <formula>0</formula>
    </cfRule>
  </conditionalFormatting>
  <conditionalFormatting sqref="ML20:ML22">
    <cfRule type="cellIs" dxfId="7173" priority="11711" operator="lessThan">
      <formula>0</formula>
    </cfRule>
    <cfRule type="cellIs" dxfId="7172" priority="11712" operator="greaterThan">
      <formula>0</formula>
    </cfRule>
  </conditionalFormatting>
  <conditionalFormatting sqref="ML45:ML46">
    <cfRule type="cellIs" dxfId="7171" priority="11725" operator="lessThan">
      <formula>0</formula>
    </cfRule>
    <cfRule type="cellIs" dxfId="7170" priority="11726" operator="greaterThan">
      <formula>0</formula>
    </cfRule>
  </conditionalFormatting>
  <conditionalFormatting sqref="ML7">
    <cfRule type="cellIs" dxfId="7169" priority="11697" operator="lessThan">
      <formula>0</formula>
    </cfRule>
    <cfRule type="cellIs" dxfId="7168" priority="11698" operator="greaterThan">
      <formula>0</formula>
    </cfRule>
  </conditionalFormatting>
  <conditionalFormatting sqref="ML7">
    <cfRule type="cellIs" dxfId="7167" priority="11695" operator="lessThan">
      <formula>0</formula>
    </cfRule>
    <cfRule type="cellIs" dxfId="7166" priority="11696" operator="greaterThan">
      <formula>0</formula>
    </cfRule>
  </conditionalFormatting>
  <conditionalFormatting sqref="ML8">
    <cfRule type="cellIs" dxfId="7165" priority="11693" operator="lessThan">
      <formula>0</formula>
    </cfRule>
    <cfRule type="cellIs" dxfId="7164" priority="11694" operator="greaterThan">
      <formula>0</formula>
    </cfRule>
  </conditionalFormatting>
  <conditionalFormatting sqref="ML47">
    <cfRule type="cellIs" dxfId="7163" priority="11691" operator="lessThan">
      <formula>0</formula>
    </cfRule>
    <cfRule type="cellIs" dxfId="7162" priority="11692" operator="greaterThan">
      <formula>0</formula>
    </cfRule>
  </conditionalFormatting>
  <conditionalFormatting sqref="ML44">
    <cfRule type="cellIs" dxfId="7161" priority="11689" operator="lessThan">
      <formula>0</formula>
    </cfRule>
    <cfRule type="cellIs" dxfId="7160" priority="11690" operator="greaterThan">
      <formula>0</formula>
    </cfRule>
  </conditionalFormatting>
  <conditionalFormatting sqref="ML23:ML24">
    <cfRule type="cellIs" dxfId="7159" priority="11685" operator="lessThan">
      <formula>0</formula>
    </cfRule>
    <cfRule type="cellIs" dxfId="7158" priority="11686" operator="greaterThan">
      <formula>0</formula>
    </cfRule>
  </conditionalFormatting>
  <conditionalFormatting sqref="ML33:ML34">
    <cfRule type="cellIs" dxfId="7157" priority="11683" operator="lessThan">
      <formula>0</formula>
    </cfRule>
    <cfRule type="cellIs" dxfId="7156" priority="11684" operator="greaterThan">
      <formula>0</formula>
    </cfRule>
  </conditionalFormatting>
  <conditionalFormatting sqref="ML101">
    <cfRule type="cellIs" dxfId="7155" priority="11675" operator="lessThan">
      <formula>0</formula>
    </cfRule>
    <cfRule type="cellIs" dxfId="7154" priority="11676" operator="greaterThan">
      <formula>0</formula>
    </cfRule>
  </conditionalFormatting>
  <conditionalFormatting sqref="ML104">
    <cfRule type="cellIs" dxfId="7153" priority="11673" operator="lessThan">
      <formula>0</formula>
    </cfRule>
    <cfRule type="cellIs" dxfId="7152" priority="11674" operator="greaterThan">
      <formula>0</formula>
    </cfRule>
  </conditionalFormatting>
  <conditionalFormatting sqref="ML48:ML49">
    <cfRule type="cellIs" dxfId="7151" priority="11639" operator="lessThan">
      <formula>0</formula>
    </cfRule>
    <cfRule type="cellIs" dxfId="7150" priority="11640" operator="greaterThan">
      <formula>0</formula>
    </cfRule>
  </conditionalFormatting>
  <conditionalFormatting sqref="MN98">
    <cfRule type="cellIs" dxfId="7149" priority="11574" operator="lessThan">
      <formula>0</formula>
    </cfRule>
    <cfRule type="cellIs" dxfId="7148" priority="11575" operator="greaterThan">
      <formula>0</formula>
    </cfRule>
  </conditionalFormatting>
  <conditionalFormatting sqref="MN6 MN9:MN11">
    <cfRule type="cellIs" dxfId="7147" priority="11614" operator="lessThan">
      <formula>0</formula>
    </cfRule>
    <cfRule type="cellIs" dxfId="7146" priority="11615" operator="greaterThan">
      <formula>0</formula>
    </cfRule>
  </conditionalFormatting>
  <conditionalFormatting sqref="MN43:MN44">
    <cfRule type="cellIs" dxfId="7145" priority="11578" operator="lessThan">
      <formula>0</formula>
    </cfRule>
    <cfRule type="cellIs" dxfId="7144" priority="11579" operator="greaterThan">
      <formula>0</formula>
    </cfRule>
  </conditionalFormatting>
  <conditionalFormatting sqref="MN11 MN19 MN3 MN24:MN32 MN34:MN42 MN69:MN79">
    <cfRule type="cellIs" dxfId="7143" priority="11624" operator="lessThan">
      <formula>0</formula>
    </cfRule>
    <cfRule type="cellIs" dxfId="7142" priority="11625" operator="greaterThan">
      <formula>0</formula>
    </cfRule>
  </conditionalFormatting>
  <conditionalFormatting sqref="MN4:MN5">
    <cfRule type="cellIs" dxfId="7141" priority="11616" operator="lessThan">
      <formula>0</formula>
    </cfRule>
    <cfRule type="cellIs" dxfId="7140" priority="11617" operator="greaterThan">
      <formula>0</formula>
    </cfRule>
  </conditionalFormatting>
  <conditionalFormatting sqref="MN12:MN13">
    <cfRule type="cellIs" dxfId="7139" priority="11612" operator="lessThan">
      <formula>0</formula>
    </cfRule>
    <cfRule type="cellIs" dxfId="7138" priority="11613" operator="greaterThan">
      <formula>0</formula>
    </cfRule>
  </conditionalFormatting>
  <conditionalFormatting sqref="MN14:MN19">
    <cfRule type="cellIs" dxfId="7137" priority="11610" operator="lessThan">
      <formula>0</formula>
    </cfRule>
    <cfRule type="cellIs" dxfId="7136" priority="11611" operator="greaterThan">
      <formula>0</formula>
    </cfRule>
  </conditionalFormatting>
  <conditionalFormatting sqref="MN20:MN22">
    <cfRule type="cellIs" dxfId="7135" priority="11608" operator="lessThan">
      <formula>0</formula>
    </cfRule>
    <cfRule type="cellIs" dxfId="7134" priority="11609" operator="greaterThan">
      <formula>0</formula>
    </cfRule>
  </conditionalFormatting>
  <conditionalFormatting sqref="MN45:MN46">
    <cfRule type="cellIs" dxfId="7133" priority="11622" operator="lessThan">
      <formula>0</formula>
    </cfRule>
    <cfRule type="cellIs" dxfId="7132" priority="11623" operator="greaterThan">
      <formula>0</formula>
    </cfRule>
  </conditionalFormatting>
  <conditionalFormatting sqref="MN7">
    <cfRule type="cellIs" dxfId="7131" priority="11594" operator="lessThan">
      <formula>0</formula>
    </cfRule>
    <cfRule type="cellIs" dxfId="7130" priority="11595" operator="greaterThan">
      <formula>0</formula>
    </cfRule>
  </conditionalFormatting>
  <conditionalFormatting sqref="MN7">
    <cfRule type="cellIs" dxfId="7129" priority="11592" operator="lessThan">
      <formula>0</formula>
    </cfRule>
    <cfRule type="cellIs" dxfId="7128" priority="11593" operator="greaterThan">
      <formula>0</formula>
    </cfRule>
  </conditionalFormatting>
  <conditionalFormatting sqref="MN8">
    <cfRule type="cellIs" dxfId="7127" priority="11590" operator="lessThan">
      <formula>0</formula>
    </cfRule>
    <cfRule type="cellIs" dxfId="7126" priority="11591" operator="greaterThan">
      <formula>0</formula>
    </cfRule>
  </conditionalFormatting>
  <conditionalFormatting sqref="MN47">
    <cfRule type="cellIs" dxfId="7125" priority="11588" operator="lessThan">
      <formula>0</formula>
    </cfRule>
    <cfRule type="cellIs" dxfId="7124" priority="11589" operator="greaterThan">
      <formula>0</formula>
    </cfRule>
  </conditionalFormatting>
  <conditionalFormatting sqref="MN44">
    <cfRule type="cellIs" dxfId="7123" priority="11586" operator="lessThan">
      <formula>0</formula>
    </cfRule>
    <cfRule type="cellIs" dxfId="7122" priority="11587" operator="greaterThan">
      <formula>0</formula>
    </cfRule>
  </conditionalFormatting>
  <conditionalFormatting sqref="MN23:MN24">
    <cfRule type="cellIs" dxfId="7121" priority="11582" operator="lessThan">
      <formula>0</formula>
    </cfRule>
    <cfRule type="cellIs" dxfId="7120" priority="11583" operator="greaterThan">
      <formula>0</formula>
    </cfRule>
  </conditionalFormatting>
  <conditionalFormatting sqref="MN33:MN34">
    <cfRule type="cellIs" dxfId="7119" priority="11580" operator="lessThan">
      <formula>0</formula>
    </cfRule>
    <cfRule type="cellIs" dxfId="7118" priority="11581" operator="greaterThan">
      <formula>0</formula>
    </cfRule>
  </conditionalFormatting>
  <conditionalFormatting sqref="MN101">
    <cfRule type="cellIs" dxfId="7117" priority="11572" operator="lessThan">
      <formula>0</formula>
    </cfRule>
    <cfRule type="cellIs" dxfId="7116" priority="11573" operator="greaterThan">
      <formula>0</formula>
    </cfRule>
  </conditionalFormatting>
  <conditionalFormatting sqref="MN104">
    <cfRule type="cellIs" dxfId="7115" priority="11570" operator="lessThan">
      <formula>0</formula>
    </cfRule>
    <cfRule type="cellIs" dxfId="7114" priority="11571" operator="greaterThan">
      <formula>0</formula>
    </cfRule>
  </conditionalFormatting>
  <conditionalFormatting sqref="MN48:MN49">
    <cfRule type="cellIs" dxfId="7113" priority="11536" operator="lessThan">
      <formula>0</formula>
    </cfRule>
    <cfRule type="cellIs" dxfId="7112" priority="11537" operator="greaterThan">
      <formula>0</formula>
    </cfRule>
  </conditionalFormatting>
  <conditionalFormatting sqref="MP98">
    <cfRule type="cellIs" dxfId="7111" priority="11471" operator="lessThan">
      <formula>0</formula>
    </cfRule>
    <cfRule type="cellIs" dxfId="7110" priority="11472" operator="greaterThan">
      <formula>0</formula>
    </cfRule>
  </conditionalFormatting>
  <conditionalFormatting sqref="MP6 MP9:MP11">
    <cfRule type="cellIs" dxfId="7109" priority="11511" operator="lessThan">
      <formula>0</formula>
    </cfRule>
    <cfRule type="cellIs" dxfId="7108" priority="11512" operator="greaterThan">
      <formula>0</formula>
    </cfRule>
  </conditionalFormatting>
  <conditionalFormatting sqref="MP43:MP44">
    <cfRule type="cellIs" dxfId="7107" priority="11475" operator="lessThan">
      <formula>0</formula>
    </cfRule>
    <cfRule type="cellIs" dxfId="7106" priority="11476" operator="greaterThan">
      <formula>0</formula>
    </cfRule>
  </conditionalFormatting>
  <conditionalFormatting sqref="MP11 MP19 MP3 MP24:MP32 MP34:MP42 MP69:MP79">
    <cfRule type="cellIs" dxfId="7105" priority="11521" operator="lessThan">
      <formula>0</formula>
    </cfRule>
    <cfRule type="cellIs" dxfId="7104" priority="11522" operator="greaterThan">
      <formula>0</formula>
    </cfRule>
  </conditionalFormatting>
  <conditionalFormatting sqref="MP4:MP5">
    <cfRule type="cellIs" dxfId="7103" priority="11513" operator="lessThan">
      <formula>0</formula>
    </cfRule>
    <cfRule type="cellIs" dxfId="7102" priority="11514" operator="greaterThan">
      <formula>0</formula>
    </cfRule>
  </conditionalFormatting>
  <conditionalFormatting sqref="MP12:MP13">
    <cfRule type="cellIs" dxfId="7101" priority="11509" operator="lessThan">
      <formula>0</formula>
    </cfRule>
    <cfRule type="cellIs" dxfId="7100" priority="11510" operator="greaterThan">
      <formula>0</formula>
    </cfRule>
  </conditionalFormatting>
  <conditionalFormatting sqref="MP14:MP19">
    <cfRule type="cellIs" dxfId="7099" priority="11507" operator="lessThan">
      <formula>0</formula>
    </cfRule>
    <cfRule type="cellIs" dxfId="7098" priority="11508" operator="greaterThan">
      <formula>0</formula>
    </cfRule>
  </conditionalFormatting>
  <conditionalFormatting sqref="MP20:MP22">
    <cfRule type="cellIs" dxfId="7097" priority="11505" operator="lessThan">
      <formula>0</formula>
    </cfRule>
    <cfRule type="cellIs" dxfId="7096" priority="11506" operator="greaterThan">
      <formula>0</formula>
    </cfRule>
  </conditionalFormatting>
  <conditionalFormatting sqref="MP45:MP46">
    <cfRule type="cellIs" dxfId="7095" priority="11519" operator="lessThan">
      <formula>0</formula>
    </cfRule>
    <cfRule type="cellIs" dxfId="7094" priority="11520" operator="greaterThan">
      <formula>0</formula>
    </cfRule>
  </conditionalFormatting>
  <conditionalFormatting sqref="MP7">
    <cfRule type="cellIs" dxfId="7093" priority="11491" operator="lessThan">
      <formula>0</formula>
    </cfRule>
    <cfRule type="cellIs" dxfId="7092" priority="11492" operator="greaterThan">
      <formula>0</formula>
    </cfRule>
  </conditionalFormatting>
  <conditionalFormatting sqref="MP7">
    <cfRule type="cellIs" dxfId="7091" priority="11489" operator="lessThan">
      <formula>0</formula>
    </cfRule>
    <cfRule type="cellIs" dxfId="7090" priority="11490" operator="greaterThan">
      <formula>0</formula>
    </cfRule>
  </conditionalFormatting>
  <conditionalFormatting sqref="MP8">
    <cfRule type="cellIs" dxfId="7089" priority="11487" operator="lessThan">
      <formula>0</formula>
    </cfRule>
    <cfRule type="cellIs" dxfId="7088" priority="11488" operator="greaterThan">
      <formula>0</formula>
    </cfRule>
  </conditionalFormatting>
  <conditionalFormatting sqref="MP47">
    <cfRule type="cellIs" dxfId="7087" priority="11485" operator="lessThan">
      <formula>0</formula>
    </cfRule>
    <cfRule type="cellIs" dxfId="7086" priority="11486" operator="greaterThan">
      <formula>0</formula>
    </cfRule>
  </conditionalFormatting>
  <conditionalFormatting sqref="MP44">
    <cfRule type="cellIs" dxfId="7085" priority="11483" operator="lessThan">
      <formula>0</formula>
    </cfRule>
    <cfRule type="cellIs" dxfId="7084" priority="11484" operator="greaterThan">
      <formula>0</formula>
    </cfRule>
  </conditionalFormatting>
  <conditionalFormatting sqref="MP23:MP24">
    <cfRule type="cellIs" dxfId="7083" priority="11479" operator="lessThan">
      <formula>0</formula>
    </cfRule>
    <cfRule type="cellIs" dxfId="7082" priority="11480" operator="greaterThan">
      <formula>0</formula>
    </cfRule>
  </conditionalFormatting>
  <conditionalFormatting sqref="MP33:MP34">
    <cfRule type="cellIs" dxfId="7081" priority="11477" operator="lessThan">
      <formula>0</formula>
    </cfRule>
    <cfRule type="cellIs" dxfId="7080" priority="11478" operator="greaterThan">
      <formula>0</formula>
    </cfRule>
  </conditionalFormatting>
  <conditionalFormatting sqref="MP101">
    <cfRule type="cellIs" dxfId="7079" priority="11469" operator="lessThan">
      <formula>0</formula>
    </cfRule>
    <cfRule type="cellIs" dxfId="7078" priority="11470" operator="greaterThan">
      <formula>0</formula>
    </cfRule>
  </conditionalFormatting>
  <conditionalFormatting sqref="MP104">
    <cfRule type="cellIs" dxfId="7077" priority="11467" operator="lessThan">
      <formula>0</formula>
    </cfRule>
    <cfRule type="cellIs" dxfId="7076" priority="11468" operator="greaterThan">
      <formula>0</formula>
    </cfRule>
  </conditionalFormatting>
  <conditionalFormatting sqref="MP48:MP49">
    <cfRule type="cellIs" dxfId="7075" priority="11433" operator="lessThan">
      <formula>0</formula>
    </cfRule>
    <cfRule type="cellIs" dxfId="7074" priority="11434" operator="greaterThan">
      <formula>0</formula>
    </cfRule>
  </conditionalFormatting>
  <conditionalFormatting sqref="MR98">
    <cfRule type="cellIs" dxfId="7073" priority="11368" operator="lessThan">
      <formula>0</formula>
    </cfRule>
    <cfRule type="cellIs" dxfId="7072" priority="11369" operator="greaterThan">
      <formula>0</formula>
    </cfRule>
  </conditionalFormatting>
  <conditionalFormatting sqref="MR6 MR9:MR11">
    <cfRule type="cellIs" dxfId="7071" priority="11408" operator="lessThan">
      <formula>0</formula>
    </cfRule>
    <cfRule type="cellIs" dxfId="7070" priority="11409" operator="greaterThan">
      <formula>0</formula>
    </cfRule>
  </conditionalFormatting>
  <conditionalFormatting sqref="MR43:MR44">
    <cfRule type="cellIs" dxfId="7069" priority="11372" operator="lessThan">
      <formula>0</formula>
    </cfRule>
    <cfRule type="cellIs" dxfId="7068" priority="11373" operator="greaterThan">
      <formula>0</formula>
    </cfRule>
  </conditionalFormatting>
  <conditionalFormatting sqref="MR11 MR19 MR3 MR24:MR32 MR34:MR42 MR69:MR79">
    <cfRule type="cellIs" dxfId="7067" priority="11418" operator="lessThan">
      <formula>0</formula>
    </cfRule>
    <cfRule type="cellIs" dxfId="7066" priority="11419" operator="greaterThan">
      <formula>0</formula>
    </cfRule>
  </conditionalFormatting>
  <conditionalFormatting sqref="MR4:MR5">
    <cfRule type="cellIs" dxfId="7065" priority="11410" operator="lessThan">
      <formula>0</formula>
    </cfRule>
    <cfRule type="cellIs" dxfId="7064" priority="11411" operator="greaterThan">
      <formula>0</formula>
    </cfRule>
  </conditionalFormatting>
  <conditionalFormatting sqref="MR12:MR13">
    <cfRule type="cellIs" dxfId="7063" priority="11406" operator="lessThan">
      <formula>0</formula>
    </cfRule>
    <cfRule type="cellIs" dxfId="7062" priority="11407" operator="greaterThan">
      <formula>0</formula>
    </cfRule>
  </conditionalFormatting>
  <conditionalFormatting sqref="MR14:MR19">
    <cfRule type="cellIs" dxfId="7061" priority="11404" operator="lessThan">
      <formula>0</formula>
    </cfRule>
    <cfRule type="cellIs" dxfId="7060" priority="11405" operator="greaterThan">
      <formula>0</formula>
    </cfRule>
  </conditionalFormatting>
  <conditionalFormatting sqref="MR20:MR22">
    <cfRule type="cellIs" dxfId="7059" priority="11402" operator="lessThan">
      <formula>0</formula>
    </cfRule>
    <cfRule type="cellIs" dxfId="7058" priority="11403" operator="greaterThan">
      <formula>0</formula>
    </cfRule>
  </conditionalFormatting>
  <conditionalFormatting sqref="MR45:MR46">
    <cfRule type="cellIs" dxfId="7057" priority="11416" operator="lessThan">
      <formula>0</formula>
    </cfRule>
    <cfRule type="cellIs" dxfId="7056" priority="11417" operator="greaterThan">
      <formula>0</formula>
    </cfRule>
  </conditionalFormatting>
  <conditionalFormatting sqref="MR7">
    <cfRule type="cellIs" dxfId="7055" priority="11388" operator="lessThan">
      <formula>0</formula>
    </cfRule>
    <cfRule type="cellIs" dxfId="7054" priority="11389" operator="greaterThan">
      <formula>0</formula>
    </cfRule>
  </conditionalFormatting>
  <conditionalFormatting sqref="MR7">
    <cfRule type="cellIs" dxfId="7053" priority="11386" operator="lessThan">
      <formula>0</formula>
    </cfRule>
    <cfRule type="cellIs" dxfId="7052" priority="11387" operator="greaterThan">
      <formula>0</formula>
    </cfRule>
  </conditionalFormatting>
  <conditionalFormatting sqref="MR8">
    <cfRule type="cellIs" dxfId="7051" priority="11384" operator="lessThan">
      <formula>0</formula>
    </cfRule>
    <cfRule type="cellIs" dxfId="7050" priority="11385" operator="greaterThan">
      <formula>0</formula>
    </cfRule>
  </conditionalFormatting>
  <conditionalFormatting sqref="MR47">
    <cfRule type="cellIs" dxfId="7049" priority="11382" operator="lessThan">
      <formula>0</formula>
    </cfRule>
    <cfRule type="cellIs" dxfId="7048" priority="11383" operator="greaterThan">
      <formula>0</formula>
    </cfRule>
  </conditionalFormatting>
  <conditionalFormatting sqref="MR44">
    <cfRule type="cellIs" dxfId="7047" priority="11380" operator="lessThan">
      <formula>0</formula>
    </cfRule>
    <cfRule type="cellIs" dxfId="7046" priority="11381" operator="greaterThan">
      <formula>0</formula>
    </cfRule>
  </conditionalFormatting>
  <conditionalFormatting sqref="MR23:MR24">
    <cfRule type="cellIs" dxfId="7045" priority="11376" operator="lessThan">
      <formula>0</formula>
    </cfRule>
    <cfRule type="cellIs" dxfId="7044" priority="11377" operator="greaterThan">
      <formula>0</formula>
    </cfRule>
  </conditionalFormatting>
  <conditionalFormatting sqref="MR33:MR34">
    <cfRule type="cellIs" dxfId="7043" priority="11374" operator="lessThan">
      <formula>0</formula>
    </cfRule>
    <cfRule type="cellIs" dxfId="7042" priority="11375" operator="greaterThan">
      <formula>0</formula>
    </cfRule>
  </conditionalFormatting>
  <conditionalFormatting sqref="MR101">
    <cfRule type="cellIs" dxfId="7041" priority="11366" operator="lessThan">
      <formula>0</formula>
    </cfRule>
    <cfRule type="cellIs" dxfId="7040" priority="11367" operator="greaterThan">
      <formula>0</formula>
    </cfRule>
  </conditionalFormatting>
  <conditionalFormatting sqref="MR104">
    <cfRule type="cellIs" dxfId="7039" priority="11364" operator="lessThan">
      <formula>0</formula>
    </cfRule>
    <cfRule type="cellIs" dxfId="7038" priority="11365" operator="greaterThan">
      <formula>0</formula>
    </cfRule>
  </conditionalFormatting>
  <conditionalFormatting sqref="MR48:MR49">
    <cfRule type="cellIs" dxfId="7037" priority="11330" operator="lessThan">
      <formula>0</formula>
    </cfRule>
    <cfRule type="cellIs" dxfId="7036" priority="11331" operator="greaterThan">
      <formula>0</formula>
    </cfRule>
  </conditionalFormatting>
  <conditionalFormatting sqref="MT98">
    <cfRule type="cellIs" dxfId="7035" priority="11265" operator="lessThan">
      <formula>0</formula>
    </cfRule>
    <cfRule type="cellIs" dxfId="7034" priority="11266" operator="greaterThan">
      <formula>0</formula>
    </cfRule>
  </conditionalFormatting>
  <conditionalFormatting sqref="MT6 MT9:MT11">
    <cfRule type="cellIs" dxfId="7033" priority="11305" operator="lessThan">
      <formula>0</formula>
    </cfRule>
    <cfRule type="cellIs" dxfId="7032" priority="11306" operator="greaterThan">
      <formula>0</formula>
    </cfRule>
  </conditionalFormatting>
  <conditionalFormatting sqref="MT43:MT44">
    <cfRule type="cellIs" dxfId="7031" priority="11269" operator="lessThan">
      <formula>0</formula>
    </cfRule>
    <cfRule type="cellIs" dxfId="7030" priority="11270" operator="greaterThan">
      <formula>0</formula>
    </cfRule>
  </conditionalFormatting>
  <conditionalFormatting sqref="MT11 MT19 MT3 MT24:MT32 MT34:MT42 MT69:MT79">
    <cfRule type="cellIs" dxfId="7029" priority="11315" operator="lessThan">
      <formula>0</formula>
    </cfRule>
    <cfRule type="cellIs" dxfId="7028" priority="11316" operator="greaterThan">
      <formula>0</formula>
    </cfRule>
  </conditionalFormatting>
  <conditionalFormatting sqref="MT4:MT5">
    <cfRule type="cellIs" dxfId="7027" priority="11307" operator="lessThan">
      <formula>0</formula>
    </cfRule>
    <cfRule type="cellIs" dxfId="7026" priority="11308" operator="greaterThan">
      <formula>0</formula>
    </cfRule>
  </conditionalFormatting>
  <conditionalFormatting sqref="MT12:MT13">
    <cfRule type="cellIs" dxfId="7025" priority="11303" operator="lessThan">
      <formula>0</formula>
    </cfRule>
    <cfRule type="cellIs" dxfId="7024" priority="11304" operator="greaterThan">
      <formula>0</formula>
    </cfRule>
  </conditionalFormatting>
  <conditionalFormatting sqref="MT14:MT19">
    <cfRule type="cellIs" dxfId="7023" priority="11301" operator="lessThan">
      <formula>0</formula>
    </cfRule>
    <cfRule type="cellIs" dxfId="7022" priority="11302" operator="greaterThan">
      <formula>0</formula>
    </cfRule>
  </conditionalFormatting>
  <conditionalFormatting sqref="MT20:MT22">
    <cfRule type="cellIs" dxfId="7021" priority="11299" operator="lessThan">
      <formula>0</formula>
    </cfRule>
    <cfRule type="cellIs" dxfId="7020" priority="11300" operator="greaterThan">
      <formula>0</formula>
    </cfRule>
  </conditionalFormatting>
  <conditionalFormatting sqref="MT45:MT46">
    <cfRule type="cellIs" dxfId="7019" priority="11313" operator="lessThan">
      <formula>0</formula>
    </cfRule>
    <cfRule type="cellIs" dxfId="7018" priority="11314" operator="greaterThan">
      <formula>0</formula>
    </cfRule>
  </conditionalFormatting>
  <conditionalFormatting sqref="MT7">
    <cfRule type="cellIs" dxfId="7017" priority="11285" operator="lessThan">
      <formula>0</formula>
    </cfRule>
    <cfRule type="cellIs" dxfId="7016" priority="11286" operator="greaterThan">
      <formula>0</formula>
    </cfRule>
  </conditionalFormatting>
  <conditionalFormatting sqref="MT7">
    <cfRule type="cellIs" dxfId="7015" priority="11283" operator="lessThan">
      <formula>0</formula>
    </cfRule>
    <cfRule type="cellIs" dxfId="7014" priority="11284" operator="greaterThan">
      <formula>0</formula>
    </cfRule>
  </conditionalFormatting>
  <conditionalFormatting sqref="MT8">
    <cfRule type="cellIs" dxfId="7013" priority="11281" operator="lessThan">
      <formula>0</formula>
    </cfRule>
    <cfRule type="cellIs" dxfId="7012" priority="11282" operator="greaterThan">
      <formula>0</formula>
    </cfRule>
  </conditionalFormatting>
  <conditionalFormatting sqref="MT47">
    <cfRule type="cellIs" dxfId="7011" priority="11279" operator="lessThan">
      <formula>0</formula>
    </cfRule>
    <cfRule type="cellIs" dxfId="7010" priority="11280" operator="greaterThan">
      <formula>0</formula>
    </cfRule>
  </conditionalFormatting>
  <conditionalFormatting sqref="MT44">
    <cfRule type="cellIs" dxfId="7009" priority="11277" operator="lessThan">
      <formula>0</formula>
    </cfRule>
    <cfRule type="cellIs" dxfId="7008" priority="11278" operator="greaterThan">
      <formula>0</formula>
    </cfRule>
  </conditionalFormatting>
  <conditionalFormatting sqref="MT23:MT24">
    <cfRule type="cellIs" dxfId="7007" priority="11273" operator="lessThan">
      <formula>0</formula>
    </cfRule>
    <cfRule type="cellIs" dxfId="7006" priority="11274" operator="greaterThan">
      <formula>0</formula>
    </cfRule>
  </conditionalFormatting>
  <conditionalFormatting sqref="MT33:MT34">
    <cfRule type="cellIs" dxfId="7005" priority="11271" operator="lessThan">
      <formula>0</formula>
    </cfRule>
    <cfRule type="cellIs" dxfId="7004" priority="11272" operator="greaterThan">
      <formula>0</formula>
    </cfRule>
  </conditionalFormatting>
  <conditionalFormatting sqref="MT101">
    <cfRule type="cellIs" dxfId="7003" priority="11263" operator="lessThan">
      <formula>0</formula>
    </cfRule>
    <cfRule type="cellIs" dxfId="7002" priority="11264" operator="greaterThan">
      <formula>0</formula>
    </cfRule>
  </conditionalFormatting>
  <conditionalFormatting sqref="MT104">
    <cfRule type="cellIs" dxfId="7001" priority="11261" operator="lessThan">
      <formula>0</formula>
    </cfRule>
    <cfRule type="cellIs" dxfId="7000" priority="11262" operator="greaterThan">
      <formula>0</formula>
    </cfRule>
  </conditionalFormatting>
  <conditionalFormatting sqref="MT48:MT49">
    <cfRule type="cellIs" dxfId="6999" priority="11227" operator="lessThan">
      <formula>0</formula>
    </cfRule>
    <cfRule type="cellIs" dxfId="6998" priority="11228" operator="greaterThan">
      <formula>0</formula>
    </cfRule>
  </conditionalFormatting>
  <conditionalFormatting sqref="MV98">
    <cfRule type="cellIs" dxfId="6997" priority="11162" operator="lessThan">
      <formula>0</formula>
    </cfRule>
    <cfRule type="cellIs" dxfId="6996" priority="11163" operator="greaterThan">
      <formula>0</formula>
    </cfRule>
  </conditionalFormatting>
  <conditionalFormatting sqref="MV6 MV9:MV11">
    <cfRule type="cellIs" dxfId="6995" priority="11202" operator="lessThan">
      <formula>0</formula>
    </cfRule>
    <cfRule type="cellIs" dxfId="6994" priority="11203" operator="greaterThan">
      <formula>0</formula>
    </cfRule>
  </conditionalFormatting>
  <conditionalFormatting sqref="MV43:MV44">
    <cfRule type="cellIs" dxfId="6993" priority="11166" operator="lessThan">
      <formula>0</formula>
    </cfRule>
    <cfRule type="cellIs" dxfId="6992" priority="11167" operator="greaterThan">
      <formula>0</formula>
    </cfRule>
  </conditionalFormatting>
  <conditionalFormatting sqref="MV11 MV19 MV3 MV24:MV32 MV34:MV42 MV69:MV79">
    <cfRule type="cellIs" dxfId="6991" priority="11212" operator="lessThan">
      <formula>0</formula>
    </cfRule>
    <cfRule type="cellIs" dxfId="6990" priority="11213" operator="greaterThan">
      <formula>0</formula>
    </cfRule>
  </conditionalFormatting>
  <conditionalFormatting sqref="MV4:MV5">
    <cfRule type="cellIs" dxfId="6989" priority="11204" operator="lessThan">
      <formula>0</formula>
    </cfRule>
    <cfRule type="cellIs" dxfId="6988" priority="11205" operator="greaterThan">
      <formula>0</formula>
    </cfRule>
  </conditionalFormatting>
  <conditionalFormatting sqref="MV12:MV13">
    <cfRule type="cellIs" dxfId="6987" priority="11200" operator="lessThan">
      <formula>0</formula>
    </cfRule>
    <cfRule type="cellIs" dxfId="6986" priority="11201" operator="greaterThan">
      <formula>0</formula>
    </cfRule>
  </conditionalFormatting>
  <conditionalFormatting sqref="MV14:MV19">
    <cfRule type="cellIs" dxfId="6985" priority="11198" operator="lessThan">
      <formula>0</formula>
    </cfRule>
    <cfRule type="cellIs" dxfId="6984" priority="11199" operator="greaterThan">
      <formula>0</formula>
    </cfRule>
  </conditionalFormatting>
  <conditionalFormatting sqref="MV20:MV22">
    <cfRule type="cellIs" dxfId="6983" priority="11196" operator="lessThan">
      <formula>0</formula>
    </cfRule>
    <cfRule type="cellIs" dxfId="6982" priority="11197" operator="greaterThan">
      <formula>0</formula>
    </cfRule>
  </conditionalFormatting>
  <conditionalFormatting sqref="MV45:MV46">
    <cfRule type="cellIs" dxfId="6981" priority="11210" operator="lessThan">
      <formula>0</formula>
    </cfRule>
    <cfRule type="cellIs" dxfId="6980" priority="11211" operator="greaterThan">
      <formula>0</formula>
    </cfRule>
  </conditionalFormatting>
  <conditionalFormatting sqref="MV7">
    <cfRule type="cellIs" dxfId="6979" priority="11182" operator="lessThan">
      <formula>0</formula>
    </cfRule>
    <cfRule type="cellIs" dxfId="6978" priority="11183" operator="greaterThan">
      <formula>0</formula>
    </cfRule>
  </conditionalFormatting>
  <conditionalFormatting sqref="MV7">
    <cfRule type="cellIs" dxfId="6977" priority="11180" operator="lessThan">
      <formula>0</formula>
    </cfRule>
    <cfRule type="cellIs" dxfId="6976" priority="11181" operator="greaterThan">
      <formula>0</formula>
    </cfRule>
  </conditionalFormatting>
  <conditionalFormatting sqref="MV8">
    <cfRule type="cellIs" dxfId="6975" priority="11178" operator="lessThan">
      <formula>0</formula>
    </cfRule>
    <cfRule type="cellIs" dxfId="6974" priority="11179" operator="greaterThan">
      <formula>0</formula>
    </cfRule>
  </conditionalFormatting>
  <conditionalFormatting sqref="MV47">
    <cfRule type="cellIs" dxfId="6973" priority="11176" operator="lessThan">
      <formula>0</formula>
    </cfRule>
    <cfRule type="cellIs" dxfId="6972" priority="11177" operator="greaterThan">
      <formula>0</formula>
    </cfRule>
  </conditionalFormatting>
  <conditionalFormatting sqref="MV44">
    <cfRule type="cellIs" dxfId="6971" priority="11174" operator="lessThan">
      <formula>0</formula>
    </cfRule>
    <cfRule type="cellIs" dxfId="6970" priority="11175" operator="greaterThan">
      <formula>0</formula>
    </cfRule>
  </conditionalFormatting>
  <conditionalFormatting sqref="MV23:MV24">
    <cfRule type="cellIs" dxfId="6969" priority="11170" operator="lessThan">
      <formula>0</formula>
    </cfRule>
    <cfRule type="cellIs" dxfId="6968" priority="11171" operator="greaterThan">
      <formula>0</formula>
    </cfRule>
  </conditionalFormatting>
  <conditionalFormatting sqref="MV33:MV34">
    <cfRule type="cellIs" dxfId="6967" priority="11168" operator="lessThan">
      <formula>0</formula>
    </cfRule>
    <cfRule type="cellIs" dxfId="6966" priority="11169" operator="greaterThan">
      <formula>0</formula>
    </cfRule>
  </conditionalFormatting>
  <conditionalFormatting sqref="MV101">
    <cfRule type="cellIs" dxfId="6965" priority="11160" operator="lessThan">
      <formula>0</formula>
    </cfRule>
    <cfRule type="cellIs" dxfId="6964" priority="11161" operator="greaterThan">
      <formula>0</formula>
    </cfRule>
  </conditionalFormatting>
  <conditionalFormatting sqref="MV104">
    <cfRule type="cellIs" dxfId="6963" priority="11158" operator="lessThan">
      <formula>0</formula>
    </cfRule>
    <cfRule type="cellIs" dxfId="6962" priority="11159" operator="greaterThan">
      <formula>0</formula>
    </cfRule>
  </conditionalFormatting>
  <conditionalFormatting sqref="MV48:MV49">
    <cfRule type="cellIs" dxfId="6961" priority="11124" operator="lessThan">
      <formula>0</formula>
    </cfRule>
    <cfRule type="cellIs" dxfId="6960" priority="11125" operator="greaterThan">
      <formula>0</formula>
    </cfRule>
  </conditionalFormatting>
  <conditionalFormatting sqref="MX98">
    <cfRule type="cellIs" dxfId="6959" priority="11059" operator="lessThan">
      <formula>0</formula>
    </cfRule>
    <cfRule type="cellIs" dxfId="6958" priority="11060" operator="greaterThan">
      <formula>0</formula>
    </cfRule>
  </conditionalFormatting>
  <conditionalFormatting sqref="MX6 MX9:MX11">
    <cfRule type="cellIs" dxfId="6957" priority="11099" operator="lessThan">
      <formula>0</formula>
    </cfRule>
    <cfRule type="cellIs" dxfId="6956" priority="11100" operator="greaterThan">
      <formula>0</formula>
    </cfRule>
  </conditionalFormatting>
  <conditionalFormatting sqref="MX43:MX44">
    <cfRule type="cellIs" dxfId="6955" priority="11063" operator="lessThan">
      <formula>0</formula>
    </cfRule>
    <cfRule type="cellIs" dxfId="6954" priority="11064" operator="greaterThan">
      <formula>0</formula>
    </cfRule>
  </conditionalFormatting>
  <conditionalFormatting sqref="MX11 MX19 MX3 MX24:MX32 MX34:MX42 MX69:MX79">
    <cfRule type="cellIs" dxfId="6953" priority="11109" operator="lessThan">
      <formula>0</formula>
    </cfRule>
    <cfRule type="cellIs" dxfId="6952" priority="11110" operator="greaterThan">
      <formula>0</formula>
    </cfRule>
  </conditionalFormatting>
  <conditionalFormatting sqref="MX4:MX5">
    <cfRule type="cellIs" dxfId="6951" priority="11101" operator="lessThan">
      <formula>0</formula>
    </cfRule>
    <cfRule type="cellIs" dxfId="6950" priority="11102" operator="greaterThan">
      <formula>0</formula>
    </cfRule>
  </conditionalFormatting>
  <conditionalFormatting sqref="MX12:MX13">
    <cfRule type="cellIs" dxfId="6949" priority="11097" operator="lessThan">
      <formula>0</formula>
    </cfRule>
    <cfRule type="cellIs" dxfId="6948" priority="11098" operator="greaterThan">
      <formula>0</formula>
    </cfRule>
  </conditionalFormatting>
  <conditionalFormatting sqref="MX14:MX19">
    <cfRule type="cellIs" dxfId="6947" priority="11095" operator="lessThan">
      <formula>0</formula>
    </cfRule>
    <cfRule type="cellIs" dxfId="6946" priority="11096" operator="greaterThan">
      <formula>0</formula>
    </cfRule>
  </conditionalFormatting>
  <conditionalFormatting sqref="MX20:MX22">
    <cfRule type="cellIs" dxfId="6945" priority="11093" operator="lessThan">
      <formula>0</formula>
    </cfRule>
    <cfRule type="cellIs" dxfId="6944" priority="11094" operator="greaterThan">
      <formula>0</formula>
    </cfRule>
  </conditionalFormatting>
  <conditionalFormatting sqref="MX45:MX46">
    <cfRule type="cellIs" dxfId="6943" priority="11107" operator="lessThan">
      <formula>0</formula>
    </cfRule>
    <cfRule type="cellIs" dxfId="6942" priority="11108" operator="greaterThan">
      <formula>0</formula>
    </cfRule>
  </conditionalFormatting>
  <conditionalFormatting sqref="MX7">
    <cfRule type="cellIs" dxfId="6941" priority="11079" operator="lessThan">
      <formula>0</formula>
    </cfRule>
    <cfRule type="cellIs" dxfId="6940" priority="11080" operator="greaterThan">
      <formula>0</formula>
    </cfRule>
  </conditionalFormatting>
  <conditionalFormatting sqref="MX7">
    <cfRule type="cellIs" dxfId="6939" priority="11077" operator="lessThan">
      <formula>0</formula>
    </cfRule>
    <cfRule type="cellIs" dxfId="6938" priority="11078" operator="greaterThan">
      <formula>0</formula>
    </cfRule>
  </conditionalFormatting>
  <conditionalFormatting sqref="MX8">
    <cfRule type="cellIs" dxfId="6937" priority="11075" operator="lessThan">
      <formula>0</formula>
    </cfRule>
    <cfRule type="cellIs" dxfId="6936" priority="11076" operator="greaterThan">
      <formula>0</formula>
    </cfRule>
  </conditionalFormatting>
  <conditionalFormatting sqref="MX47">
    <cfRule type="cellIs" dxfId="6935" priority="11073" operator="lessThan">
      <formula>0</formula>
    </cfRule>
    <cfRule type="cellIs" dxfId="6934" priority="11074" operator="greaterThan">
      <formula>0</formula>
    </cfRule>
  </conditionalFormatting>
  <conditionalFormatting sqref="MX44">
    <cfRule type="cellIs" dxfId="6933" priority="11071" operator="lessThan">
      <formula>0</formula>
    </cfRule>
    <cfRule type="cellIs" dxfId="6932" priority="11072" operator="greaterThan">
      <formula>0</formula>
    </cfRule>
  </conditionalFormatting>
  <conditionalFormatting sqref="MX23:MX24">
    <cfRule type="cellIs" dxfId="6931" priority="11067" operator="lessThan">
      <formula>0</formula>
    </cfRule>
    <cfRule type="cellIs" dxfId="6930" priority="11068" operator="greaterThan">
      <formula>0</formula>
    </cfRule>
  </conditionalFormatting>
  <conditionalFormatting sqref="MX33:MX34">
    <cfRule type="cellIs" dxfId="6929" priority="11065" operator="lessThan">
      <formula>0</formula>
    </cfRule>
    <cfRule type="cellIs" dxfId="6928" priority="11066" operator="greaterThan">
      <formula>0</formula>
    </cfRule>
  </conditionalFormatting>
  <conditionalFormatting sqref="MX101">
    <cfRule type="cellIs" dxfId="6927" priority="11057" operator="lessThan">
      <formula>0</formula>
    </cfRule>
    <cfRule type="cellIs" dxfId="6926" priority="11058" operator="greaterThan">
      <formula>0</formula>
    </cfRule>
  </conditionalFormatting>
  <conditionalFormatting sqref="MX104">
    <cfRule type="cellIs" dxfId="6925" priority="11055" operator="lessThan">
      <formula>0</formula>
    </cfRule>
    <cfRule type="cellIs" dxfId="6924" priority="11056" operator="greaterThan">
      <formula>0</formula>
    </cfRule>
  </conditionalFormatting>
  <conditionalFormatting sqref="MX48:MX49">
    <cfRule type="cellIs" dxfId="6923" priority="11021" operator="lessThan">
      <formula>0</formula>
    </cfRule>
    <cfRule type="cellIs" dxfId="6922" priority="11022" operator="greaterThan">
      <formula>0</formula>
    </cfRule>
  </conditionalFormatting>
  <conditionalFormatting sqref="MZ98">
    <cfRule type="cellIs" dxfId="6921" priority="10956" operator="lessThan">
      <formula>0</formula>
    </cfRule>
    <cfRule type="cellIs" dxfId="6920" priority="10957" operator="greaterThan">
      <formula>0</formula>
    </cfRule>
  </conditionalFormatting>
  <conditionalFormatting sqref="MZ6 MZ9:MZ11">
    <cfRule type="cellIs" dxfId="6919" priority="10996" operator="lessThan">
      <formula>0</formula>
    </cfRule>
    <cfRule type="cellIs" dxfId="6918" priority="10997" operator="greaterThan">
      <formula>0</formula>
    </cfRule>
  </conditionalFormatting>
  <conditionalFormatting sqref="MZ43:MZ44">
    <cfRule type="cellIs" dxfId="6917" priority="10960" operator="lessThan">
      <formula>0</formula>
    </cfRule>
    <cfRule type="cellIs" dxfId="6916" priority="10961" operator="greaterThan">
      <formula>0</formula>
    </cfRule>
  </conditionalFormatting>
  <conditionalFormatting sqref="MZ11 MZ19 MZ3 MZ24:MZ32 MZ34:MZ42 MZ69:MZ79">
    <cfRule type="cellIs" dxfId="6915" priority="11006" operator="lessThan">
      <formula>0</formula>
    </cfRule>
    <cfRule type="cellIs" dxfId="6914" priority="11007" operator="greaterThan">
      <formula>0</formula>
    </cfRule>
  </conditionalFormatting>
  <conditionalFormatting sqref="MZ4:MZ5">
    <cfRule type="cellIs" dxfId="6913" priority="10998" operator="lessThan">
      <formula>0</formula>
    </cfRule>
    <cfRule type="cellIs" dxfId="6912" priority="10999" operator="greaterThan">
      <formula>0</formula>
    </cfRule>
  </conditionalFormatting>
  <conditionalFormatting sqref="MZ12:MZ13">
    <cfRule type="cellIs" dxfId="6911" priority="10994" operator="lessThan">
      <formula>0</formula>
    </cfRule>
    <cfRule type="cellIs" dxfId="6910" priority="10995" operator="greaterThan">
      <formula>0</formula>
    </cfRule>
  </conditionalFormatting>
  <conditionalFormatting sqref="MZ14:MZ19">
    <cfRule type="cellIs" dxfId="6909" priority="10992" operator="lessThan">
      <formula>0</formula>
    </cfRule>
    <cfRule type="cellIs" dxfId="6908" priority="10993" operator="greaterThan">
      <formula>0</formula>
    </cfRule>
  </conditionalFormatting>
  <conditionalFormatting sqref="MZ20:MZ22">
    <cfRule type="cellIs" dxfId="6907" priority="10990" operator="lessThan">
      <formula>0</formula>
    </cfRule>
    <cfRule type="cellIs" dxfId="6906" priority="10991" operator="greaterThan">
      <formula>0</formula>
    </cfRule>
  </conditionalFormatting>
  <conditionalFormatting sqref="MZ45:MZ46">
    <cfRule type="cellIs" dxfId="6905" priority="11004" operator="lessThan">
      <formula>0</formula>
    </cfRule>
    <cfRule type="cellIs" dxfId="6904" priority="11005" operator="greaterThan">
      <formula>0</formula>
    </cfRule>
  </conditionalFormatting>
  <conditionalFormatting sqref="MZ7">
    <cfRule type="cellIs" dxfId="6903" priority="10976" operator="lessThan">
      <formula>0</formula>
    </cfRule>
    <cfRule type="cellIs" dxfId="6902" priority="10977" operator="greaterThan">
      <formula>0</formula>
    </cfRule>
  </conditionalFormatting>
  <conditionalFormatting sqref="MZ7">
    <cfRule type="cellIs" dxfId="6901" priority="10974" operator="lessThan">
      <formula>0</formula>
    </cfRule>
    <cfRule type="cellIs" dxfId="6900" priority="10975" operator="greaterThan">
      <formula>0</formula>
    </cfRule>
  </conditionalFormatting>
  <conditionalFormatting sqref="MZ8">
    <cfRule type="cellIs" dxfId="6899" priority="10972" operator="lessThan">
      <formula>0</formula>
    </cfRule>
    <cfRule type="cellIs" dxfId="6898" priority="10973" operator="greaterThan">
      <formula>0</formula>
    </cfRule>
  </conditionalFormatting>
  <conditionalFormatting sqref="MZ47">
    <cfRule type="cellIs" dxfId="6897" priority="10970" operator="lessThan">
      <formula>0</formula>
    </cfRule>
    <cfRule type="cellIs" dxfId="6896" priority="10971" operator="greaterThan">
      <formula>0</formula>
    </cfRule>
  </conditionalFormatting>
  <conditionalFormatting sqref="MZ44">
    <cfRule type="cellIs" dxfId="6895" priority="10968" operator="lessThan">
      <formula>0</formula>
    </cfRule>
    <cfRule type="cellIs" dxfId="6894" priority="10969" operator="greaterThan">
      <formula>0</formula>
    </cfRule>
  </conditionalFormatting>
  <conditionalFormatting sqref="MZ23:MZ24">
    <cfRule type="cellIs" dxfId="6893" priority="10964" operator="lessThan">
      <formula>0</formula>
    </cfRule>
    <cfRule type="cellIs" dxfId="6892" priority="10965" operator="greaterThan">
      <formula>0</formula>
    </cfRule>
  </conditionalFormatting>
  <conditionalFormatting sqref="MZ33:MZ34">
    <cfRule type="cellIs" dxfId="6891" priority="10962" operator="lessThan">
      <formula>0</formula>
    </cfRule>
    <cfRule type="cellIs" dxfId="6890" priority="10963" operator="greaterThan">
      <formula>0</formula>
    </cfRule>
  </conditionalFormatting>
  <conditionalFormatting sqref="MZ101">
    <cfRule type="cellIs" dxfId="6889" priority="10954" operator="lessThan">
      <formula>0</formula>
    </cfRule>
    <cfRule type="cellIs" dxfId="6888" priority="10955" operator="greaterThan">
      <formula>0</formula>
    </cfRule>
  </conditionalFormatting>
  <conditionalFormatting sqref="MZ104">
    <cfRule type="cellIs" dxfId="6887" priority="10952" operator="lessThan">
      <formula>0</formula>
    </cfRule>
    <cfRule type="cellIs" dxfId="6886" priority="10953" operator="greaterThan">
      <formula>0</formula>
    </cfRule>
  </conditionalFormatting>
  <conditionalFormatting sqref="MZ48:MZ49">
    <cfRule type="cellIs" dxfId="6885" priority="10918" operator="lessThan">
      <formula>0</formula>
    </cfRule>
    <cfRule type="cellIs" dxfId="6884" priority="10919" operator="greaterThan">
      <formula>0</formula>
    </cfRule>
  </conditionalFormatting>
  <conditionalFormatting sqref="NB98">
    <cfRule type="cellIs" dxfId="6883" priority="10853" operator="lessThan">
      <formula>0</formula>
    </cfRule>
    <cfRule type="cellIs" dxfId="6882" priority="10854" operator="greaterThan">
      <formula>0</formula>
    </cfRule>
  </conditionalFormatting>
  <conditionalFormatting sqref="NB6 NB9:NB11">
    <cfRule type="cellIs" dxfId="6881" priority="10893" operator="lessThan">
      <formula>0</formula>
    </cfRule>
    <cfRule type="cellIs" dxfId="6880" priority="10894" operator="greaterThan">
      <formula>0</formula>
    </cfRule>
  </conditionalFormatting>
  <conditionalFormatting sqref="NB43:NB44">
    <cfRule type="cellIs" dxfId="6879" priority="10857" operator="lessThan">
      <formula>0</formula>
    </cfRule>
    <cfRule type="cellIs" dxfId="6878" priority="10858" operator="greaterThan">
      <formula>0</formula>
    </cfRule>
  </conditionalFormatting>
  <conditionalFormatting sqref="NB11 NB19 NB3 NB24:NB32 NB34:NB42 NB69:NB79">
    <cfRule type="cellIs" dxfId="6877" priority="10903" operator="lessThan">
      <formula>0</formula>
    </cfRule>
    <cfRule type="cellIs" dxfId="6876" priority="10904" operator="greaterThan">
      <formula>0</formula>
    </cfRule>
  </conditionalFormatting>
  <conditionalFormatting sqref="NB4:NB5">
    <cfRule type="cellIs" dxfId="6875" priority="10895" operator="lessThan">
      <formula>0</formula>
    </cfRule>
    <cfRule type="cellIs" dxfId="6874" priority="10896" operator="greaterThan">
      <formula>0</formula>
    </cfRule>
  </conditionalFormatting>
  <conditionalFormatting sqref="NB12:NB13">
    <cfRule type="cellIs" dxfId="6873" priority="10891" operator="lessThan">
      <formula>0</formula>
    </cfRule>
    <cfRule type="cellIs" dxfId="6872" priority="10892" operator="greaterThan">
      <formula>0</formula>
    </cfRule>
  </conditionalFormatting>
  <conditionalFormatting sqref="NB14:NB19">
    <cfRule type="cellIs" dxfId="6871" priority="10889" operator="lessThan">
      <formula>0</formula>
    </cfRule>
    <cfRule type="cellIs" dxfId="6870" priority="10890" operator="greaterThan">
      <formula>0</formula>
    </cfRule>
  </conditionalFormatting>
  <conditionalFormatting sqref="NB20:NB22">
    <cfRule type="cellIs" dxfId="6869" priority="10887" operator="lessThan">
      <formula>0</formula>
    </cfRule>
    <cfRule type="cellIs" dxfId="6868" priority="10888" operator="greaterThan">
      <formula>0</formula>
    </cfRule>
  </conditionalFormatting>
  <conditionalFormatting sqref="NB45:NB46">
    <cfRule type="cellIs" dxfId="6867" priority="10901" operator="lessThan">
      <formula>0</formula>
    </cfRule>
    <cfRule type="cellIs" dxfId="6866" priority="10902" operator="greaterThan">
      <formula>0</formula>
    </cfRule>
  </conditionalFormatting>
  <conditionalFormatting sqref="NB7">
    <cfRule type="cellIs" dxfId="6865" priority="10873" operator="lessThan">
      <formula>0</formula>
    </cfRule>
    <cfRule type="cellIs" dxfId="6864" priority="10874" operator="greaterThan">
      <formula>0</formula>
    </cfRule>
  </conditionalFormatting>
  <conditionalFormatting sqref="NB7">
    <cfRule type="cellIs" dxfId="6863" priority="10871" operator="lessThan">
      <formula>0</formula>
    </cfRule>
    <cfRule type="cellIs" dxfId="6862" priority="10872" operator="greaterThan">
      <formula>0</formula>
    </cfRule>
  </conditionalFormatting>
  <conditionalFormatting sqref="NB8">
    <cfRule type="cellIs" dxfId="6861" priority="10869" operator="lessThan">
      <formula>0</formula>
    </cfRule>
    <cfRule type="cellIs" dxfId="6860" priority="10870" operator="greaterThan">
      <formula>0</formula>
    </cfRule>
  </conditionalFormatting>
  <conditionalFormatting sqref="NB47">
    <cfRule type="cellIs" dxfId="6859" priority="10867" operator="lessThan">
      <formula>0</formula>
    </cfRule>
    <cfRule type="cellIs" dxfId="6858" priority="10868" operator="greaterThan">
      <formula>0</formula>
    </cfRule>
  </conditionalFormatting>
  <conditionalFormatting sqref="NB44">
    <cfRule type="cellIs" dxfId="6857" priority="10865" operator="lessThan">
      <formula>0</formula>
    </cfRule>
    <cfRule type="cellIs" dxfId="6856" priority="10866" operator="greaterThan">
      <formula>0</formula>
    </cfRule>
  </conditionalFormatting>
  <conditionalFormatting sqref="NB23:NB24">
    <cfRule type="cellIs" dxfId="6855" priority="10861" operator="lessThan">
      <formula>0</formula>
    </cfRule>
    <cfRule type="cellIs" dxfId="6854" priority="10862" operator="greaterThan">
      <formula>0</formula>
    </cfRule>
  </conditionalFormatting>
  <conditionalFormatting sqref="NB33:NB34">
    <cfRule type="cellIs" dxfId="6853" priority="10859" operator="lessThan">
      <formula>0</formula>
    </cfRule>
    <cfRule type="cellIs" dxfId="6852" priority="10860" operator="greaterThan">
      <formula>0</formula>
    </cfRule>
  </conditionalFormatting>
  <conditionalFormatting sqref="NB101">
    <cfRule type="cellIs" dxfId="6851" priority="10851" operator="lessThan">
      <formula>0</formula>
    </cfRule>
    <cfRule type="cellIs" dxfId="6850" priority="10852" operator="greaterThan">
      <formula>0</formula>
    </cfRule>
  </conditionalFormatting>
  <conditionalFormatting sqref="NB104">
    <cfRule type="cellIs" dxfId="6849" priority="10849" operator="lessThan">
      <formula>0</formula>
    </cfRule>
    <cfRule type="cellIs" dxfId="6848" priority="10850" operator="greaterThan">
      <formula>0</formula>
    </cfRule>
  </conditionalFormatting>
  <conditionalFormatting sqref="NB48:NB49">
    <cfRule type="cellIs" dxfId="6847" priority="10815" operator="lessThan">
      <formula>0</formula>
    </cfRule>
    <cfRule type="cellIs" dxfId="6846" priority="10816" operator="greaterThan">
      <formula>0</formula>
    </cfRule>
  </conditionalFormatting>
  <conditionalFormatting sqref="ND98">
    <cfRule type="cellIs" dxfId="6845" priority="10750" operator="lessThan">
      <formula>0</formula>
    </cfRule>
    <cfRule type="cellIs" dxfId="6844" priority="10751" operator="greaterThan">
      <formula>0</formula>
    </cfRule>
  </conditionalFormatting>
  <conditionalFormatting sqref="ND6 ND9:ND11">
    <cfRule type="cellIs" dxfId="6843" priority="10790" operator="lessThan">
      <formula>0</formula>
    </cfRule>
    <cfRule type="cellIs" dxfId="6842" priority="10791" operator="greaterThan">
      <formula>0</formula>
    </cfRule>
  </conditionalFormatting>
  <conditionalFormatting sqref="ND43:ND44">
    <cfRule type="cellIs" dxfId="6841" priority="10754" operator="lessThan">
      <formula>0</formula>
    </cfRule>
    <cfRule type="cellIs" dxfId="6840" priority="10755" operator="greaterThan">
      <formula>0</formula>
    </cfRule>
  </conditionalFormatting>
  <conditionalFormatting sqref="ND11 ND19 ND3 ND24:ND32 ND34:ND42 ND69:ND79">
    <cfRule type="cellIs" dxfId="6839" priority="10800" operator="lessThan">
      <formula>0</formula>
    </cfRule>
    <cfRule type="cellIs" dxfId="6838" priority="10801" operator="greaterThan">
      <formula>0</formula>
    </cfRule>
  </conditionalFormatting>
  <conditionalFormatting sqref="ND4:ND5">
    <cfRule type="cellIs" dxfId="6837" priority="10792" operator="lessThan">
      <formula>0</formula>
    </cfRule>
    <cfRule type="cellIs" dxfId="6836" priority="10793" operator="greaterThan">
      <formula>0</formula>
    </cfRule>
  </conditionalFormatting>
  <conditionalFormatting sqref="ND12:ND13">
    <cfRule type="cellIs" dxfId="6835" priority="10788" operator="lessThan">
      <formula>0</formula>
    </cfRule>
    <cfRule type="cellIs" dxfId="6834" priority="10789" operator="greaterThan">
      <formula>0</formula>
    </cfRule>
  </conditionalFormatting>
  <conditionalFormatting sqref="ND14:ND19">
    <cfRule type="cellIs" dxfId="6833" priority="10786" operator="lessThan">
      <formula>0</formula>
    </cfRule>
    <cfRule type="cellIs" dxfId="6832" priority="10787" operator="greaterThan">
      <formula>0</formula>
    </cfRule>
  </conditionalFormatting>
  <conditionalFormatting sqref="ND20:ND22">
    <cfRule type="cellIs" dxfId="6831" priority="10784" operator="lessThan">
      <formula>0</formula>
    </cfRule>
    <cfRule type="cellIs" dxfId="6830" priority="10785" operator="greaterThan">
      <formula>0</formula>
    </cfRule>
  </conditionalFormatting>
  <conditionalFormatting sqref="ND45:ND46">
    <cfRule type="cellIs" dxfId="6829" priority="10798" operator="lessThan">
      <formula>0</formula>
    </cfRule>
    <cfRule type="cellIs" dxfId="6828" priority="10799" operator="greaterThan">
      <formula>0</formula>
    </cfRule>
  </conditionalFormatting>
  <conditionalFormatting sqref="ND7">
    <cfRule type="cellIs" dxfId="6827" priority="10770" operator="lessThan">
      <formula>0</formula>
    </cfRule>
    <cfRule type="cellIs" dxfId="6826" priority="10771" operator="greaterThan">
      <formula>0</formula>
    </cfRule>
  </conditionalFormatting>
  <conditionalFormatting sqref="ND7">
    <cfRule type="cellIs" dxfId="6825" priority="10768" operator="lessThan">
      <formula>0</formula>
    </cfRule>
    <cfRule type="cellIs" dxfId="6824" priority="10769" operator="greaterThan">
      <formula>0</formula>
    </cfRule>
  </conditionalFormatting>
  <conditionalFormatting sqref="ND8">
    <cfRule type="cellIs" dxfId="6823" priority="10766" operator="lessThan">
      <formula>0</formula>
    </cfRule>
    <cfRule type="cellIs" dxfId="6822" priority="10767" operator="greaterThan">
      <formula>0</formula>
    </cfRule>
  </conditionalFormatting>
  <conditionalFormatting sqref="ND47">
    <cfRule type="cellIs" dxfId="6821" priority="10764" operator="lessThan">
      <formula>0</formula>
    </cfRule>
    <cfRule type="cellIs" dxfId="6820" priority="10765" operator="greaterThan">
      <formula>0</formula>
    </cfRule>
  </conditionalFormatting>
  <conditionalFormatting sqref="ND44">
    <cfRule type="cellIs" dxfId="6819" priority="10762" operator="lessThan">
      <formula>0</formula>
    </cfRule>
    <cfRule type="cellIs" dxfId="6818" priority="10763" operator="greaterThan">
      <formula>0</formula>
    </cfRule>
  </conditionalFormatting>
  <conditionalFormatting sqref="ND23:ND24">
    <cfRule type="cellIs" dxfId="6817" priority="10758" operator="lessThan">
      <formula>0</formula>
    </cfRule>
    <cfRule type="cellIs" dxfId="6816" priority="10759" operator="greaterThan">
      <formula>0</formula>
    </cfRule>
  </conditionalFormatting>
  <conditionalFormatting sqref="ND33:ND34">
    <cfRule type="cellIs" dxfId="6815" priority="10756" operator="lessThan">
      <formula>0</formula>
    </cfRule>
    <cfRule type="cellIs" dxfId="6814" priority="10757" operator="greaterThan">
      <formula>0</formula>
    </cfRule>
  </conditionalFormatting>
  <conditionalFormatting sqref="ND101">
    <cfRule type="cellIs" dxfId="6813" priority="10748" operator="lessThan">
      <formula>0</formula>
    </cfRule>
    <cfRule type="cellIs" dxfId="6812" priority="10749" operator="greaterThan">
      <formula>0</formula>
    </cfRule>
  </conditionalFormatting>
  <conditionalFormatting sqref="ND104">
    <cfRule type="cellIs" dxfId="6811" priority="10746" operator="lessThan">
      <formula>0</formula>
    </cfRule>
    <cfRule type="cellIs" dxfId="6810" priority="10747" operator="greaterThan">
      <formula>0</formula>
    </cfRule>
  </conditionalFormatting>
  <conditionalFormatting sqref="ND48:ND49">
    <cfRule type="cellIs" dxfId="6809" priority="10712" operator="lessThan">
      <formula>0</formula>
    </cfRule>
    <cfRule type="cellIs" dxfId="6808" priority="10713" operator="greaterThan">
      <formula>0</formula>
    </cfRule>
  </conditionalFormatting>
  <conditionalFormatting sqref="NF98">
    <cfRule type="cellIs" dxfId="6807" priority="10647" operator="lessThan">
      <formula>0</formula>
    </cfRule>
    <cfRule type="cellIs" dxfId="6806" priority="10648" operator="greaterThan">
      <formula>0</formula>
    </cfRule>
  </conditionalFormatting>
  <conditionalFormatting sqref="NF6 NF9:NF11">
    <cfRule type="cellIs" dxfId="6805" priority="10687" operator="lessThan">
      <formula>0</formula>
    </cfRule>
    <cfRule type="cellIs" dxfId="6804" priority="10688" operator="greaterThan">
      <formula>0</formula>
    </cfRule>
  </conditionalFormatting>
  <conditionalFormatting sqref="NF43:NF44">
    <cfRule type="cellIs" dxfId="6803" priority="10651" operator="lessThan">
      <formula>0</formula>
    </cfRule>
    <cfRule type="cellIs" dxfId="6802" priority="10652" operator="greaterThan">
      <formula>0</formula>
    </cfRule>
  </conditionalFormatting>
  <conditionalFormatting sqref="NF11 NF19 NF3 NF24:NF32 NF34:NF42 NF69:NF79">
    <cfRule type="cellIs" dxfId="6801" priority="10697" operator="lessThan">
      <formula>0</formula>
    </cfRule>
    <cfRule type="cellIs" dxfId="6800" priority="10698" operator="greaterThan">
      <formula>0</formula>
    </cfRule>
  </conditionalFormatting>
  <conditionalFormatting sqref="NF4:NF5">
    <cfRule type="cellIs" dxfId="6799" priority="10689" operator="lessThan">
      <formula>0</formula>
    </cfRule>
    <cfRule type="cellIs" dxfId="6798" priority="10690" operator="greaterThan">
      <formula>0</formula>
    </cfRule>
  </conditionalFormatting>
  <conditionalFormatting sqref="NF12:NF13">
    <cfRule type="cellIs" dxfId="6797" priority="10685" operator="lessThan">
      <formula>0</formula>
    </cfRule>
    <cfRule type="cellIs" dxfId="6796" priority="10686" operator="greaterThan">
      <formula>0</formula>
    </cfRule>
  </conditionalFormatting>
  <conditionalFormatting sqref="NF14:NF19">
    <cfRule type="cellIs" dxfId="6795" priority="10683" operator="lessThan">
      <formula>0</formula>
    </cfRule>
    <cfRule type="cellIs" dxfId="6794" priority="10684" operator="greaterThan">
      <formula>0</formula>
    </cfRule>
  </conditionalFormatting>
  <conditionalFormatting sqref="NF20:NF22">
    <cfRule type="cellIs" dxfId="6793" priority="10681" operator="lessThan">
      <formula>0</formula>
    </cfRule>
    <cfRule type="cellIs" dxfId="6792" priority="10682" operator="greaterThan">
      <formula>0</formula>
    </cfRule>
  </conditionalFormatting>
  <conditionalFormatting sqref="NF45:NF46">
    <cfRule type="cellIs" dxfId="6791" priority="10695" operator="lessThan">
      <formula>0</formula>
    </cfRule>
    <cfRule type="cellIs" dxfId="6790" priority="10696" operator="greaterThan">
      <formula>0</formula>
    </cfRule>
  </conditionalFormatting>
  <conditionalFormatting sqref="NF7">
    <cfRule type="cellIs" dxfId="6789" priority="10667" operator="lessThan">
      <formula>0</formula>
    </cfRule>
    <cfRule type="cellIs" dxfId="6788" priority="10668" operator="greaterThan">
      <formula>0</formula>
    </cfRule>
  </conditionalFormatting>
  <conditionalFormatting sqref="NF7">
    <cfRule type="cellIs" dxfId="6787" priority="10665" operator="lessThan">
      <formula>0</formula>
    </cfRule>
    <cfRule type="cellIs" dxfId="6786" priority="10666" operator="greaterThan">
      <formula>0</formula>
    </cfRule>
  </conditionalFormatting>
  <conditionalFormatting sqref="NF8">
    <cfRule type="cellIs" dxfId="6785" priority="10663" operator="lessThan">
      <formula>0</formula>
    </cfRule>
    <cfRule type="cellIs" dxfId="6784" priority="10664" operator="greaterThan">
      <formula>0</formula>
    </cfRule>
  </conditionalFormatting>
  <conditionalFormatting sqref="NF47">
    <cfRule type="cellIs" dxfId="6783" priority="10661" operator="lessThan">
      <formula>0</formula>
    </cfRule>
    <cfRule type="cellIs" dxfId="6782" priority="10662" operator="greaterThan">
      <formula>0</formula>
    </cfRule>
  </conditionalFormatting>
  <conditionalFormatting sqref="NF44">
    <cfRule type="cellIs" dxfId="6781" priority="10659" operator="lessThan">
      <formula>0</formula>
    </cfRule>
    <cfRule type="cellIs" dxfId="6780" priority="10660" operator="greaterThan">
      <formula>0</formula>
    </cfRule>
  </conditionalFormatting>
  <conditionalFormatting sqref="NF23:NF24">
    <cfRule type="cellIs" dxfId="6779" priority="10655" operator="lessThan">
      <formula>0</formula>
    </cfRule>
    <cfRule type="cellIs" dxfId="6778" priority="10656" operator="greaterThan">
      <formula>0</formula>
    </cfRule>
  </conditionalFormatting>
  <conditionalFormatting sqref="NF33:NF34">
    <cfRule type="cellIs" dxfId="6777" priority="10653" operator="lessThan">
      <formula>0</formula>
    </cfRule>
    <cfRule type="cellIs" dxfId="6776" priority="10654" operator="greaterThan">
      <formula>0</formula>
    </cfRule>
  </conditionalFormatting>
  <conditionalFormatting sqref="NF101">
    <cfRule type="cellIs" dxfId="6775" priority="10645" operator="lessThan">
      <formula>0</formula>
    </cfRule>
    <cfRule type="cellIs" dxfId="6774" priority="10646" operator="greaterThan">
      <formula>0</formula>
    </cfRule>
  </conditionalFormatting>
  <conditionalFormatting sqref="NF104">
    <cfRule type="cellIs" dxfId="6773" priority="10643" operator="lessThan">
      <formula>0</formula>
    </cfRule>
    <cfRule type="cellIs" dxfId="6772" priority="10644" operator="greaterThan">
      <formula>0</formula>
    </cfRule>
  </conditionalFormatting>
  <conditionalFormatting sqref="NF48:NF49">
    <cfRule type="cellIs" dxfId="6771" priority="10609" operator="lessThan">
      <formula>0</formula>
    </cfRule>
    <cfRule type="cellIs" dxfId="6770" priority="10610" operator="greaterThan">
      <formula>0</formula>
    </cfRule>
  </conditionalFormatting>
  <conditionalFormatting sqref="NH98">
    <cfRule type="cellIs" dxfId="6769" priority="10544" operator="lessThan">
      <formula>0</formula>
    </cfRule>
    <cfRule type="cellIs" dxfId="6768" priority="10545" operator="greaterThan">
      <formula>0</formula>
    </cfRule>
  </conditionalFormatting>
  <conditionalFormatting sqref="NH6 NH9:NH11">
    <cfRule type="cellIs" dxfId="6767" priority="10584" operator="lessThan">
      <formula>0</formula>
    </cfRule>
    <cfRule type="cellIs" dxfId="6766" priority="10585" operator="greaterThan">
      <formula>0</formula>
    </cfRule>
  </conditionalFormatting>
  <conditionalFormatting sqref="NH43:NH44">
    <cfRule type="cellIs" dxfId="6765" priority="10548" operator="lessThan">
      <formula>0</formula>
    </cfRule>
    <cfRule type="cellIs" dxfId="6764" priority="10549" operator="greaterThan">
      <formula>0</formula>
    </cfRule>
  </conditionalFormatting>
  <conditionalFormatting sqref="NH11 NH19 NH3 NH24:NH32 NH34:NH42 NH69:NH79">
    <cfRule type="cellIs" dxfId="6763" priority="10594" operator="lessThan">
      <formula>0</formula>
    </cfRule>
    <cfRule type="cellIs" dxfId="6762" priority="10595" operator="greaterThan">
      <formula>0</formula>
    </cfRule>
  </conditionalFormatting>
  <conditionalFormatting sqref="NH4:NH5">
    <cfRule type="cellIs" dxfId="6761" priority="10586" operator="lessThan">
      <formula>0</formula>
    </cfRule>
    <cfRule type="cellIs" dxfId="6760" priority="10587" operator="greaterThan">
      <formula>0</formula>
    </cfRule>
  </conditionalFormatting>
  <conditionalFormatting sqref="NH12:NH13">
    <cfRule type="cellIs" dxfId="6759" priority="10582" operator="lessThan">
      <formula>0</formula>
    </cfRule>
    <cfRule type="cellIs" dxfId="6758" priority="10583" operator="greaterThan">
      <formula>0</formula>
    </cfRule>
  </conditionalFormatting>
  <conditionalFormatting sqref="NH14:NH19">
    <cfRule type="cellIs" dxfId="6757" priority="10580" operator="lessThan">
      <formula>0</formula>
    </cfRule>
    <cfRule type="cellIs" dxfId="6756" priority="10581" operator="greaterThan">
      <formula>0</formula>
    </cfRule>
  </conditionalFormatting>
  <conditionalFormatting sqref="NH20:NH22">
    <cfRule type="cellIs" dxfId="6755" priority="10578" operator="lessThan">
      <formula>0</formula>
    </cfRule>
    <cfRule type="cellIs" dxfId="6754" priority="10579" operator="greaterThan">
      <formula>0</formula>
    </cfRule>
  </conditionalFormatting>
  <conditionalFormatting sqref="NH45:NH46">
    <cfRule type="cellIs" dxfId="6753" priority="10592" operator="lessThan">
      <formula>0</formula>
    </cfRule>
    <cfRule type="cellIs" dxfId="6752" priority="10593" operator="greaterThan">
      <formula>0</formula>
    </cfRule>
  </conditionalFormatting>
  <conditionalFormatting sqref="NH7">
    <cfRule type="cellIs" dxfId="6751" priority="10564" operator="lessThan">
      <formula>0</formula>
    </cfRule>
    <cfRule type="cellIs" dxfId="6750" priority="10565" operator="greaterThan">
      <formula>0</formula>
    </cfRule>
  </conditionalFormatting>
  <conditionalFormatting sqref="NH7">
    <cfRule type="cellIs" dxfId="6749" priority="10562" operator="lessThan">
      <formula>0</formula>
    </cfRule>
    <cfRule type="cellIs" dxfId="6748" priority="10563" operator="greaterThan">
      <formula>0</formula>
    </cfRule>
  </conditionalFormatting>
  <conditionalFormatting sqref="NH8">
    <cfRule type="cellIs" dxfId="6747" priority="10560" operator="lessThan">
      <formula>0</formula>
    </cfRule>
    <cfRule type="cellIs" dxfId="6746" priority="10561" operator="greaterThan">
      <formula>0</formula>
    </cfRule>
  </conditionalFormatting>
  <conditionalFormatting sqref="NH47">
    <cfRule type="cellIs" dxfId="6745" priority="10558" operator="lessThan">
      <formula>0</formula>
    </cfRule>
    <cfRule type="cellIs" dxfId="6744" priority="10559" operator="greaterThan">
      <formula>0</formula>
    </cfRule>
  </conditionalFormatting>
  <conditionalFormatting sqref="NH44">
    <cfRule type="cellIs" dxfId="6743" priority="10556" operator="lessThan">
      <formula>0</formula>
    </cfRule>
    <cfRule type="cellIs" dxfId="6742" priority="10557" operator="greaterThan">
      <formula>0</formula>
    </cfRule>
  </conditionalFormatting>
  <conditionalFormatting sqref="NH23:NH24">
    <cfRule type="cellIs" dxfId="6741" priority="10552" operator="lessThan">
      <formula>0</formula>
    </cfRule>
    <cfRule type="cellIs" dxfId="6740" priority="10553" operator="greaterThan">
      <formula>0</formula>
    </cfRule>
  </conditionalFormatting>
  <conditionalFormatting sqref="NH33:NH34">
    <cfRule type="cellIs" dxfId="6739" priority="10550" operator="lessThan">
      <formula>0</formula>
    </cfRule>
    <cfRule type="cellIs" dxfId="6738" priority="10551" operator="greaterThan">
      <formula>0</formula>
    </cfRule>
  </conditionalFormatting>
  <conditionalFormatting sqref="NH101">
    <cfRule type="cellIs" dxfId="6737" priority="10542" operator="lessThan">
      <formula>0</formula>
    </cfRule>
    <cfRule type="cellIs" dxfId="6736" priority="10543" operator="greaterThan">
      <formula>0</formula>
    </cfRule>
  </conditionalFormatting>
  <conditionalFormatting sqref="NH104">
    <cfRule type="cellIs" dxfId="6735" priority="10540" operator="lessThan">
      <formula>0</formula>
    </cfRule>
    <cfRule type="cellIs" dxfId="6734" priority="10541" operator="greaterThan">
      <formula>0</formula>
    </cfRule>
  </conditionalFormatting>
  <conditionalFormatting sqref="NH48:NH49">
    <cfRule type="cellIs" dxfId="6733" priority="10506" operator="lessThan">
      <formula>0</formula>
    </cfRule>
    <cfRule type="cellIs" dxfId="6732" priority="10507" operator="greaterThan">
      <formula>0</formula>
    </cfRule>
  </conditionalFormatting>
  <conditionalFormatting sqref="NJ98">
    <cfRule type="cellIs" dxfId="6731" priority="10452" operator="lessThan">
      <formula>0</formula>
    </cfRule>
    <cfRule type="cellIs" dxfId="6730" priority="10453" operator="greaterThan">
      <formula>0</formula>
    </cfRule>
  </conditionalFormatting>
  <conditionalFormatting sqref="NJ6 NJ9:NJ11">
    <cfRule type="cellIs" dxfId="6729" priority="10492" operator="lessThan">
      <formula>0</formula>
    </cfRule>
    <cfRule type="cellIs" dxfId="6728" priority="10493" operator="greaterThan">
      <formula>0</formula>
    </cfRule>
  </conditionalFormatting>
  <conditionalFormatting sqref="NJ43:NJ44">
    <cfRule type="cellIs" dxfId="6727" priority="10456" operator="lessThan">
      <formula>0</formula>
    </cfRule>
    <cfRule type="cellIs" dxfId="6726" priority="10457" operator="greaterThan">
      <formula>0</formula>
    </cfRule>
  </conditionalFormatting>
  <conditionalFormatting sqref="NJ11 NJ19 NJ3 NJ24:NJ32 NJ34:NJ42 NJ69:NJ79">
    <cfRule type="cellIs" dxfId="6725" priority="10502" operator="lessThan">
      <formula>0</formula>
    </cfRule>
    <cfRule type="cellIs" dxfId="6724" priority="10503" operator="greaterThan">
      <formula>0</formula>
    </cfRule>
  </conditionalFormatting>
  <conditionalFormatting sqref="NJ4:NJ5">
    <cfRule type="cellIs" dxfId="6723" priority="10494" operator="lessThan">
      <formula>0</formula>
    </cfRule>
    <cfRule type="cellIs" dxfId="6722" priority="10495" operator="greaterThan">
      <formula>0</formula>
    </cfRule>
  </conditionalFormatting>
  <conditionalFormatting sqref="NJ12:NJ13">
    <cfRule type="cellIs" dxfId="6721" priority="10490" operator="lessThan">
      <formula>0</formula>
    </cfRule>
    <cfRule type="cellIs" dxfId="6720" priority="10491" operator="greaterThan">
      <formula>0</formula>
    </cfRule>
  </conditionalFormatting>
  <conditionalFormatting sqref="NJ14:NJ19">
    <cfRule type="cellIs" dxfId="6719" priority="10488" operator="lessThan">
      <formula>0</formula>
    </cfRule>
    <cfRule type="cellIs" dxfId="6718" priority="10489" operator="greaterThan">
      <formula>0</formula>
    </cfRule>
  </conditionalFormatting>
  <conditionalFormatting sqref="NJ20:NJ22">
    <cfRule type="cellIs" dxfId="6717" priority="10486" operator="lessThan">
      <formula>0</formula>
    </cfRule>
    <cfRule type="cellIs" dxfId="6716" priority="10487" operator="greaterThan">
      <formula>0</formula>
    </cfRule>
  </conditionalFormatting>
  <conditionalFormatting sqref="NJ45:NJ46">
    <cfRule type="cellIs" dxfId="6715" priority="10500" operator="lessThan">
      <formula>0</formula>
    </cfRule>
    <cfRule type="cellIs" dxfId="6714" priority="10501" operator="greaterThan">
      <formula>0</formula>
    </cfRule>
  </conditionalFormatting>
  <conditionalFormatting sqref="NJ7">
    <cfRule type="cellIs" dxfId="6713" priority="10472" operator="lessThan">
      <formula>0</formula>
    </cfRule>
    <cfRule type="cellIs" dxfId="6712" priority="10473" operator="greaterThan">
      <formula>0</formula>
    </cfRule>
  </conditionalFormatting>
  <conditionalFormatting sqref="NJ7">
    <cfRule type="cellIs" dxfId="6711" priority="10470" operator="lessThan">
      <formula>0</formula>
    </cfRule>
    <cfRule type="cellIs" dxfId="6710" priority="10471" operator="greaterThan">
      <formula>0</formula>
    </cfRule>
  </conditionalFormatting>
  <conditionalFormatting sqref="NJ8">
    <cfRule type="cellIs" dxfId="6709" priority="10468" operator="lessThan">
      <formula>0</formula>
    </cfRule>
    <cfRule type="cellIs" dxfId="6708" priority="10469" operator="greaterThan">
      <formula>0</formula>
    </cfRule>
  </conditionalFormatting>
  <conditionalFormatting sqref="NJ47">
    <cfRule type="cellIs" dxfId="6707" priority="10466" operator="lessThan">
      <formula>0</formula>
    </cfRule>
    <cfRule type="cellIs" dxfId="6706" priority="10467" operator="greaterThan">
      <formula>0</formula>
    </cfRule>
  </conditionalFormatting>
  <conditionalFormatting sqref="NJ44">
    <cfRule type="cellIs" dxfId="6705" priority="10464" operator="lessThan">
      <formula>0</formula>
    </cfRule>
    <cfRule type="cellIs" dxfId="6704" priority="10465" operator="greaterThan">
      <formula>0</formula>
    </cfRule>
  </conditionalFormatting>
  <conditionalFormatting sqref="NJ23:NJ24">
    <cfRule type="cellIs" dxfId="6703" priority="10460" operator="lessThan">
      <formula>0</formula>
    </cfRule>
    <cfRule type="cellIs" dxfId="6702" priority="10461" operator="greaterThan">
      <formula>0</formula>
    </cfRule>
  </conditionalFormatting>
  <conditionalFormatting sqref="NJ33:NJ34">
    <cfRule type="cellIs" dxfId="6701" priority="10458" operator="lessThan">
      <formula>0</formula>
    </cfRule>
    <cfRule type="cellIs" dxfId="6700" priority="10459" operator="greaterThan">
      <formula>0</formula>
    </cfRule>
  </conditionalFormatting>
  <conditionalFormatting sqref="NJ101">
    <cfRule type="cellIs" dxfId="6699" priority="10450" operator="lessThan">
      <formula>0</formula>
    </cfRule>
    <cfRule type="cellIs" dxfId="6698" priority="10451" operator="greaterThan">
      <formula>0</formula>
    </cfRule>
  </conditionalFormatting>
  <conditionalFormatting sqref="NJ104">
    <cfRule type="cellIs" dxfId="6697" priority="10448" operator="lessThan">
      <formula>0</formula>
    </cfRule>
    <cfRule type="cellIs" dxfId="6696" priority="10449" operator="greaterThan">
      <formula>0</formula>
    </cfRule>
  </conditionalFormatting>
  <conditionalFormatting sqref="NJ48:NJ49">
    <cfRule type="cellIs" dxfId="6695" priority="10414" operator="lessThan">
      <formula>0</formula>
    </cfRule>
    <cfRule type="cellIs" dxfId="6694" priority="10415" operator="greaterThan">
      <formula>0</formula>
    </cfRule>
  </conditionalFormatting>
  <conditionalFormatting sqref="NL98">
    <cfRule type="cellIs" dxfId="6693" priority="10349" operator="lessThan">
      <formula>0</formula>
    </cfRule>
    <cfRule type="cellIs" dxfId="6692" priority="10350" operator="greaterThan">
      <formula>0</formula>
    </cfRule>
  </conditionalFormatting>
  <conditionalFormatting sqref="NL6 NL9:NL11">
    <cfRule type="cellIs" dxfId="6691" priority="10389" operator="lessThan">
      <formula>0</formula>
    </cfRule>
    <cfRule type="cellIs" dxfId="6690" priority="10390" operator="greaterThan">
      <formula>0</formula>
    </cfRule>
  </conditionalFormatting>
  <conditionalFormatting sqref="NL43:NL44">
    <cfRule type="cellIs" dxfId="6689" priority="10353" operator="lessThan">
      <formula>0</formula>
    </cfRule>
    <cfRule type="cellIs" dxfId="6688" priority="10354" operator="greaterThan">
      <formula>0</formula>
    </cfRule>
  </conditionalFormatting>
  <conditionalFormatting sqref="NL11 NL19 NL3 NL24:NL32 NL34:NL42 NL69:NL79">
    <cfRule type="cellIs" dxfId="6687" priority="10399" operator="lessThan">
      <formula>0</formula>
    </cfRule>
    <cfRule type="cellIs" dxfId="6686" priority="10400" operator="greaterThan">
      <formula>0</formula>
    </cfRule>
  </conditionalFormatting>
  <conditionalFormatting sqref="NL4:NL5">
    <cfRule type="cellIs" dxfId="6685" priority="10391" operator="lessThan">
      <formula>0</formula>
    </cfRule>
    <cfRule type="cellIs" dxfId="6684" priority="10392" operator="greaterThan">
      <formula>0</formula>
    </cfRule>
  </conditionalFormatting>
  <conditionalFormatting sqref="NL12:NL13">
    <cfRule type="cellIs" dxfId="6683" priority="10387" operator="lessThan">
      <formula>0</formula>
    </cfRule>
    <cfRule type="cellIs" dxfId="6682" priority="10388" operator="greaterThan">
      <formula>0</formula>
    </cfRule>
  </conditionalFormatting>
  <conditionalFormatting sqref="NL14:NL19">
    <cfRule type="cellIs" dxfId="6681" priority="10385" operator="lessThan">
      <formula>0</formula>
    </cfRule>
    <cfRule type="cellIs" dxfId="6680" priority="10386" operator="greaterThan">
      <formula>0</formula>
    </cfRule>
  </conditionalFormatting>
  <conditionalFormatting sqref="NL20:NL22">
    <cfRule type="cellIs" dxfId="6679" priority="10383" operator="lessThan">
      <formula>0</formula>
    </cfRule>
    <cfRule type="cellIs" dxfId="6678" priority="10384" operator="greaterThan">
      <formula>0</formula>
    </cfRule>
  </conditionalFormatting>
  <conditionalFormatting sqref="NL45:NL46">
    <cfRule type="cellIs" dxfId="6677" priority="10397" operator="lessThan">
      <formula>0</formula>
    </cfRule>
    <cfRule type="cellIs" dxfId="6676" priority="10398" operator="greaterThan">
      <formula>0</formula>
    </cfRule>
  </conditionalFormatting>
  <conditionalFormatting sqref="NL7">
    <cfRule type="cellIs" dxfId="6675" priority="10369" operator="lessThan">
      <formula>0</formula>
    </cfRule>
    <cfRule type="cellIs" dxfId="6674" priority="10370" operator="greaterThan">
      <formula>0</formula>
    </cfRule>
  </conditionalFormatting>
  <conditionalFormatting sqref="NL7">
    <cfRule type="cellIs" dxfId="6673" priority="10367" operator="lessThan">
      <formula>0</formula>
    </cfRule>
    <cfRule type="cellIs" dxfId="6672" priority="10368" operator="greaterThan">
      <formula>0</formula>
    </cfRule>
  </conditionalFormatting>
  <conditionalFormatting sqref="NL8">
    <cfRule type="cellIs" dxfId="6671" priority="10365" operator="lessThan">
      <formula>0</formula>
    </cfRule>
    <cfRule type="cellIs" dxfId="6670" priority="10366" operator="greaterThan">
      <formula>0</formula>
    </cfRule>
  </conditionalFormatting>
  <conditionalFormatting sqref="NL47">
    <cfRule type="cellIs" dxfId="6669" priority="10363" operator="lessThan">
      <formula>0</formula>
    </cfRule>
    <cfRule type="cellIs" dxfId="6668" priority="10364" operator="greaterThan">
      <formula>0</formula>
    </cfRule>
  </conditionalFormatting>
  <conditionalFormatting sqref="NL44">
    <cfRule type="cellIs" dxfId="6667" priority="10361" operator="lessThan">
      <formula>0</formula>
    </cfRule>
    <cfRule type="cellIs" dxfId="6666" priority="10362" operator="greaterThan">
      <formula>0</formula>
    </cfRule>
  </conditionalFormatting>
  <conditionalFormatting sqref="NL23:NL24">
    <cfRule type="cellIs" dxfId="6665" priority="10357" operator="lessThan">
      <formula>0</formula>
    </cfRule>
    <cfRule type="cellIs" dxfId="6664" priority="10358" operator="greaterThan">
      <formula>0</formula>
    </cfRule>
  </conditionalFormatting>
  <conditionalFormatting sqref="NL33:NL34">
    <cfRule type="cellIs" dxfId="6663" priority="10355" operator="lessThan">
      <formula>0</formula>
    </cfRule>
    <cfRule type="cellIs" dxfId="6662" priority="10356" operator="greaterThan">
      <formula>0</formula>
    </cfRule>
  </conditionalFormatting>
  <conditionalFormatting sqref="NL101">
    <cfRule type="cellIs" dxfId="6661" priority="10347" operator="lessThan">
      <formula>0</formula>
    </cfRule>
    <cfRule type="cellIs" dxfId="6660" priority="10348" operator="greaterThan">
      <formula>0</formula>
    </cfRule>
  </conditionalFormatting>
  <conditionalFormatting sqref="NL104">
    <cfRule type="cellIs" dxfId="6659" priority="10345" operator="lessThan">
      <formula>0</formula>
    </cfRule>
    <cfRule type="cellIs" dxfId="6658" priority="10346" operator="greaterThan">
      <formula>0</formula>
    </cfRule>
  </conditionalFormatting>
  <conditionalFormatting sqref="NL48:NL49">
    <cfRule type="cellIs" dxfId="6657" priority="10311" operator="lessThan">
      <formula>0</formula>
    </cfRule>
    <cfRule type="cellIs" dxfId="6656" priority="10312" operator="greaterThan">
      <formula>0</formula>
    </cfRule>
  </conditionalFormatting>
  <conditionalFormatting sqref="NN98">
    <cfRule type="cellIs" dxfId="6655" priority="10246" operator="lessThan">
      <formula>0</formula>
    </cfRule>
    <cfRule type="cellIs" dxfId="6654" priority="10247" operator="greaterThan">
      <formula>0</formula>
    </cfRule>
  </conditionalFormatting>
  <conditionalFormatting sqref="NN6 NN9:NN11">
    <cfRule type="cellIs" dxfId="6653" priority="10286" operator="lessThan">
      <formula>0</formula>
    </cfRule>
    <cfRule type="cellIs" dxfId="6652" priority="10287" operator="greaterThan">
      <formula>0</formula>
    </cfRule>
  </conditionalFormatting>
  <conditionalFormatting sqref="NN43:NN44">
    <cfRule type="cellIs" dxfId="6651" priority="10250" operator="lessThan">
      <formula>0</formula>
    </cfRule>
    <cfRule type="cellIs" dxfId="6650" priority="10251" operator="greaterThan">
      <formula>0</formula>
    </cfRule>
  </conditionalFormatting>
  <conditionalFormatting sqref="NN11 NN19 NN3 NN24:NN32 NN34:NN42 NN69:NN79">
    <cfRule type="cellIs" dxfId="6649" priority="10296" operator="lessThan">
      <formula>0</formula>
    </cfRule>
    <cfRule type="cellIs" dxfId="6648" priority="10297" operator="greaterThan">
      <formula>0</formula>
    </cfRule>
  </conditionalFormatting>
  <conditionalFormatting sqref="NN4:NN5">
    <cfRule type="cellIs" dxfId="6647" priority="10288" operator="lessThan">
      <formula>0</formula>
    </cfRule>
    <cfRule type="cellIs" dxfId="6646" priority="10289" operator="greaterThan">
      <formula>0</formula>
    </cfRule>
  </conditionalFormatting>
  <conditionalFormatting sqref="NN12:NN13">
    <cfRule type="cellIs" dxfId="6645" priority="10284" operator="lessThan">
      <formula>0</formula>
    </cfRule>
    <cfRule type="cellIs" dxfId="6644" priority="10285" operator="greaterThan">
      <formula>0</formula>
    </cfRule>
  </conditionalFormatting>
  <conditionalFormatting sqref="NN14:NN19">
    <cfRule type="cellIs" dxfId="6643" priority="10282" operator="lessThan">
      <formula>0</formula>
    </cfRule>
    <cfRule type="cellIs" dxfId="6642" priority="10283" operator="greaterThan">
      <formula>0</formula>
    </cfRule>
  </conditionalFormatting>
  <conditionalFormatting sqref="NN20:NN22">
    <cfRule type="cellIs" dxfId="6641" priority="10280" operator="lessThan">
      <formula>0</formula>
    </cfRule>
    <cfRule type="cellIs" dxfId="6640" priority="10281" operator="greaterThan">
      <formula>0</formula>
    </cfRule>
  </conditionalFormatting>
  <conditionalFormatting sqref="NN45:NN46">
    <cfRule type="cellIs" dxfId="6639" priority="10294" operator="lessThan">
      <formula>0</formula>
    </cfRule>
    <cfRule type="cellIs" dxfId="6638" priority="10295" operator="greaterThan">
      <formula>0</formula>
    </cfRule>
  </conditionalFormatting>
  <conditionalFormatting sqref="NN7">
    <cfRule type="cellIs" dxfId="6637" priority="10266" operator="lessThan">
      <formula>0</formula>
    </cfRule>
    <cfRule type="cellIs" dxfId="6636" priority="10267" operator="greaterThan">
      <formula>0</formula>
    </cfRule>
  </conditionalFormatting>
  <conditionalFormatting sqref="NN7">
    <cfRule type="cellIs" dxfId="6635" priority="10264" operator="lessThan">
      <formula>0</formula>
    </cfRule>
    <cfRule type="cellIs" dxfId="6634" priority="10265" operator="greaterThan">
      <formula>0</formula>
    </cfRule>
  </conditionalFormatting>
  <conditionalFormatting sqref="NN8">
    <cfRule type="cellIs" dxfId="6633" priority="10262" operator="lessThan">
      <formula>0</formula>
    </cfRule>
    <cfRule type="cellIs" dxfId="6632" priority="10263" operator="greaterThan">
      <formula>0</formula>
    </cfRule>
  </conditionalFormatting>
  <conditionalFormatting sqref="NN47">
    <cfRule type="cellIs" dxfId="6631" priority="10260" operator="lessThan">
      <formula>0</formula>
    </cfRule>
    <cfRule type="cellIs" dxfId="6630" priority="10261" operator="greaterThan">
      <formula>0</formula>
    </cfRule>
  </conditionalFormatting>
  <conditionalFormatting sqref="NN44">
    <cfRule type="cellIs" dxfId="6629" priority="10258" operator="lessThan">
      <formula>0</formula>
    </cfRule>
    <cfRule type="cellIs" dxfId="6628" priority="10259" operator="greaterThan">
      <formula>0</formula>
    </cfRule>
  </conditionalFormatting>
  <conditionalFormatting sqref="NN23:NN24">
    <cfRule type="cellIs" dxfId="6627" priority="10254" operator="lessThan">
      <formula>0</formula>
    </cfRule>
    <cfRule type="cellIs" dxfId="6626" priority="10255" operator="greaterThan">
      <formula>0</formula>
    </cfRule>
  </conditionalFormatting>
  <conditionalFormatting sqref="NN33:NN34">
    <cfRule type="cellIs" dxfId="6625" priority="10252" operator="lessThan">
      <formula>0</formula>
    </cfRule>
    <cfRule type="cellIs" dxfId="6624" priority="10253" operator="greaterThan">
      <formula>0</formula>
    </cfRule>
  </conditionalFormatting>
  <conditionalFormatting sqref="NN101">
    <cfRule type="cellIs" dxfId="6623" priority="10244" operator="lessThan">
      <formula>0</formula>
    </cfRule>
    <cfRule type="cellIs" dxfId="6622" priority="10245" operator="greaterThan">
      <formula>0</formula>
    </cfRule>
  </conditionalFormatting>
  <conditionalFormatting sqref="NN104">
    <cfRule type="cellIs" dxfId="6621" priority="10242" operator="lessThan">
      <formula>0</formula>
    </cfRule>
    <cfRule type="cellIs" dxfId="6620" priority="10243" operator="greaterThan">
      <formula>0</formula>
    </cfRule>
  </conditionalFormatting>
  <conditionalFormatting sqref="NN48:NN49">
    <cfRule type="cellIs" dxfId="6619" priority="10208" operator="lessThan">
      <formula>0</formula>
    </cfRule>
    <cfRule type="cellIs" dxfId="6618" priority="10209" operator="greaterThan">
      <formula>0</formula>
    </cfRule>
  </conditionalFormatting>
  <conditionalFormatting sqref="NP98">
    <cfRule type="cellIs" dxfId="6617" priority="10143" operator="lessThan">
      <formula>0</formula>
    </cfRule>
    <cfRule type="cellIs" dxfId="6616" priority="10144" operator="greaterThan">
      <formula>0</formula>
    </cfRule>
  </conditionalFormatting>
  <conditionalFormatting sqref="NP6 NP9:NP11">
    <cfRule type="cellIs" dxfId="6615" priority="10183" operator="lessThan">
      <formula>0</formula>
    </cfRule>
    <cfRule type="cellIs" dxfId="6614" priority="10184" operator="greaterThan">
      <formula>0</formula>
    </cfRule>
  </conditionalFormatting>
  <conditionalFormatting sqref="NP43:NP44">
    <cfRule type="cellIs" dxfId="6613" priority="10147" operator="lessThan">
      <formula>0</formula>
    </cfRule>
    <cfRule type="cellIs" dxfId="6612" priority="10148" operator="greaterThan">
      <formula>0</formula>
    </cfRule>
  </conditionalFormatting>
  <conditionalFormatting sqref="NP11 NP19 NP3 NP24:NP32 NP34:NP42 NP69:NP79">
    <cfRule type="cellIs" dxfId="6611" priority="10193" operator="lessThan">
      <formula>0</formula>
    </cfRule>
    <cfRule type="cellIs" dxfId="6610" priority="10194" operator="greaterThan">
      <formula>0</formula>
    </cfRule>
  </conditionalFormatting>
  <conditionalFormatting sqref="NP4:NP5">
    <cfRule type="cellIs" dxfId="6609" priority="10185" operator="lessThan">
      <formula>0</formula>
    </cfRule>
    <cfRule type="cellIs" dxfId="6608" priority="10186" operator="greaterThan">
      <formula>0</formula>
    </cfRule>
  </conditionalFormatting>
  <conditionalFormatting sqref="NP12:NP13">
    <cfRule type="cellIs" dxfId="6607" priority="10181" operator="lessThan">
      <formula>0</formula>
    </cfRule>
    <cfRule type="cellIs" dxfId="6606" priority="10182" operator="greaterThan">
      <formula>0</formula>
    </cfRule>
  </conditionalFormatting>
  <conditionalFormatting sqref="NP14:NP19">
    <cfRule type="cellIs" dxfId="6605" priority="10179" operator="lessThan">
      <formula>0</formula>
    </cfRule>
    <cfRule type="cellIs" dxfId="6604" priority="10180" operator="greaterThan">
      <formula>0</formula>
    </cfRule>
  </conditionalFormatting>
  <conditionalFormatting sqref="NP20:NP22">
    <cfRule type="cellIs" dxfId="6603" priority="10177" operator="lessThan">
      <formula>0</formula>
    </cfRule>
    <cfRule type="cellIs" dxfId="6602" priority="10178" operator="greaterThan">
      <formula>0</formula>
    </cfRule>
  </conditionalFormatting>
  <conditionalFormatting sqref="NP45:NP46">
    <cfRule type="cellIs" dxfId="6601" priority="10191" operator="lessThan">
      <formula>0</formula>
    </cfRule>
    <cfRule type="cellIs" dxfId="6600" priority="10192" operator="greaterThan">
      <formula>0</formula>
    </cfRule>
  </conditionalFormatting>
  <conditionalFormatting sqref="NP7">
    <cfRule type="cellIs" dxfId="6599" priority="10163" operator="lessThan">
      <formula>0</formula>
    </cfRule>
    <cfRule type="cellIs" dxfId="6598" priority="10164" operator="greaterThan">
      <formula>0</formula>
    </cfRule>
  </conditionalFormatting>
  <conditionalFormatting sqref="NP7">
    <cfRule type="cellIs" dxfId="6597" priority="10161" operator="lessThan">
      <formula>0</formula>
    </cfRule>
    <cfRule type="cellIs" dxfId="6596" priority="10162" operator="greaterThan">
      <formula>0</formula>
    </cfRule>
  </conditionalFormatting>
  <conditionalFormatting sqref="NP8">
    <cfRule type="cellIs" dxfId="6595" priority="10159" operator="lessThan">
      <formula>0</formula>
    </cfRule>
    <cfRule type="cellIs" dxfId="6594" priority="10160" operator="greaterThan">
      <formula>0</formula>
    </cfRule>
  </conditionalFormatting>
  <conditionalFormatting sqref="NP47">
    <cfRule type="cellIs" dxfId="6593" priority="10157" operator="lessThan">
      <formula>0</formula>
    </cfRule>
    <cfRule type="cellIs" dxfId="6592" priority="10158" operator="greaterThan">
      <formula>0</formula>
    </cfRule>
  </conditionalFormatting>
  <conditionalFormatting sqref="NP44">
    <cfRule type="cellIs" dxfId="6591" priority="10155" operator="lessThan">
      <formula>0</formula>
    </cfRule>
    <cfRule type="cellIs" dxfId="6590" priority="10156" operator="greaterThan">
      <formula>0</formula>
    </cfRule>
  </conditionalFormatting>
  <conditionalFormatting sqref="NP23:NP24">
    <cfRule type="cellIs" dxfId="6589" priority="10151" operator="lessThan">
      <formula>0</formula>
    </cfRule>
    <cfRule type="cellIs" dxfId="6588" priority="10152" operator="greaterThan">
      <formula>0</formula>
    </cfRule>
  </conditionalFormatting>
  <conditionalFormatting sqref="NP33:NP34">
    <cfRule type="cellIs" dxfId="6587" priority="10149" operator="lessThan">
      <formula>0</formula>
    </cfRule>
    <cfRule type="cellIs" dxfId="6586" priority="10150" operator="greaterThan">
      <formula>0</formula>
    </cfRule>
  </conditionalFormatting>
  <conditionalFormatting sqref="NP101">
    <cfRule type="cellIs" dxfId="6585" priority="10141" operator="lessThan">
      <formula>0</formula>
    </cfRule>
    <cfRule type="cellIs" dxfId="6584" priority="10142" operator="greaterThan">
      <formula>0</formula>
    </cfRule>
  </conditionalFormatting>
  <conditionalFormatting sqref="NP104">
    <cfRule type="cellIs" dxfId="6583" priority="10139" operator="lessThan">
      <formula>0</formula>
    </cfRule>
    <cfRule type="cellIs" dxfId="6582" priority="10140" operator="greaterThan">
      <formula>0</formula>
    </cfRule>
  </conditionalFormatting>
  <conditionalFormatting sqref="NP48:NP49">
    <cfRule type="cellIs" dxfId="6581" priority="10105" operator="lessThan">
      <formula>0</formula>
    </cfRule>
    <cfRule type="cellIs" dxfId="6580" priority="10106" operator="greaterThan">
      <formula>0</formula>
    </cfRule>
  </conditionalFormatting>
  <conditionalFormatting sqref="NR98">
    <cfRule type="cellIs" dxfId="6579" priority="10040" operator="lessThan">
      <formula>0</formula>
    </cfRule>
    <cfRule type="cellIs" dxfId="6578" priority="10041" operator="greaterThan">
      <formula>0</formula>
    </cfRule>
  </conditionalFormatting>
  <conditionalFormatting sqref="NR6 NR9:NR11">
    <cfRule type="cellIs" dxfId="6577" priority="10080" operator="lessThan">
      <formula>0</formula>
    </cfRule>
    <cfRule type="cellIs" dxfId="6576" priority="10081" operator="greaterThan">
      <formula>0</formula>
    </cfRule>
  </conditionalFormatting>
  <conditionalFormatting sqref="NR43:NR44">
    <cfRule type="cellIs" dxfId="6575" priority="10044" operator="lessThan">
      <formula>0</formula>
    </cfRule>
    <cfRule type="cellIs" dxfId="6574" priority="10045" operator="greaterThan">
      <formula>0</formula>
    </cfRule>
  </conditionalFormatting>
  <conditionalFormatting sqref="NR11 NR19 NR3 NR24:NR32 NR34:NR42 NR69:NR79">
    <cfRule type="cellIs" dxfId="6573" priority="10090" operator="lessThan">
      <formula>0</formula>
    </cfRule>
    <cfRule type="cellIs" dxfId="6572" priority="10091" operator="greaterThan">
      <formula>0</formula>
    </cfRule>
  </conditionalFormatting>
  <conditionalFormatting sqref="NR4:NR5">
    <cfRule type="cellIs" dxfId="6571" priority="10082" operator="lessThan">
      <formula>0</formula>
    </cfRule>
    <cfRule type="cellIs" dxfId="6570" priority="10083" operator="greaterThan">
      <formula>0</formula>
    </cfRule>
  </conditionalFormatting>
  <conditionalFormatting sqref="NR12:NR13">
    <cfRule type="cellIs" dxfId="6569" priority="10078" operator="lessThan">
      <formula>0</formula>
    </cfRule>
    <cfRule type="cellIs" dxfId="6568" priority="10079" operator="greaterThan">
      <formula>0</formula>
    </cfRule>
  </conditionalFormatting>
  <conditionalFormatting sqref="NR14:NR19">
    <cfRule type="cellIs" dxfId="6567" priority="10076" operator="lessThan">
      <formula>0</formula>
    </cfRule>
    <cfRule type="cellIs" dxfId="6566" priority="10077" operator="greaterThan">
      <formula>0</formula>
    </cfRule>
  </conditionalFormatting>
  <conditionalFormatting sqref="NR20:NR22">
    <cfRule type="cellIs" dxfId="6565" priority="10074" operator="lessThan">
      <formula>0</formula>
    </cfRule>
    <cfRule type="cellIs" dxfId="6564" priority="10075" operator="greaterThan">
      <formula>0</formula>
    </cfRule>
  </conditionalFormatting>
  <conditionalFormatting sqref="NR45:NR46">
    <cfRule type="cellIs" dxfId="6563" priority="10088" operator="lessThan">
      <formula>0</formula>
    </cfRule>
    <cfRule type="cellIs" dxfId="6562" priority="10089" operator="greaterThan">
      <formula>0</formula>
    </cfRule>
  </conditionalFormatting>
  <conditionalFormatting sqref="NR7">
    <cfRule type="cellIs" dxfId="6561" priority="10060" operator="lessThan">
      <formula>0</formula>
    </cfRule>
    <cfRule type="cellIs" dxfId="6560" priority="10061" operator="greaterThan">
      <formula>0</formula>
    </cfRule>
  </conditionalFormatting>
  <conditionalFormatting sqref="NR7">
    <cfRule type="cellIs" dxfId="6559" priority="10058" operator="lessThan">
      <formula>0</formula>
    </cfRule>
    <cfRule type="cellIs" dxfId="6558" priority="10059" operator="greaterThan">
      <formula>0</formula>
    </cfRule>
  </conditionalFormatting>
  <conditionalFormatting sqref="NR8">
    <cfRule type="cellIs" dxfId="6557" priority="10056" operator="lessThan">
      <formula>0</formula>
    </cfRule>
    <cfRule type="cellIs" dxfId="6556" priority="10057" operator="greaterThan">
      <formula>0</formula>
    </cfRule>
  </conditionalFormatting>
  <conditionalFormatting sqref="NR47">
    <cfRule type="cellIs" dxfId="6555" priority="10054" operator="lessThan">
      <formula>0</formula>
    </cfRule>
    <cfRule type="cellIs" dxfId="6554" priority="10055" operator="greaterThan">
      <formula>0</formula>
    </cfRule>
  </conditionalFormatting>
  <conditionalFormatting sqref="NR44">
    <cfRule type="cellIs" dxfId="6553" priority="10052" operator="lessThan">
      <formula>0</formula>
    </cfRule>
    <cfRule type="cellIs" dxfId="6552" priority="10053" operator="greaterThan">
      <formula>0</formula>
    </cfRule>
  </conditionalFormatting>
  <conditionalFormatting sqref="NR23:NR24">
    <cfRule type="cellIs" dxfId="6551" priority="10048" operator="lessThan">
      <formula>0</formula>
    </cfRule>
    <cfRule type="cellIs" dxfId="6550" priority="10049" operator="greaterThan">
      <formula>0</formula>
    </cfRule>
  </conditionalFormatting>
  <conditionalFormatting sqref="NR33:NR34">
    <cfRule type="cellIs" dxfId="6549" priority="10046" operator="lessThan">
      <formula>0</formula>
    </cfRule>
    <cfRule type="cellIs" dxfId="6548" priority="10047" operator="greaterThan">
      <formula>0</formula>
    </cfRule>
  </conditionalFormatting>
  <conditionalFormatting sqref="NR101">
    <cfRule type="cellIs" dxfId="6547" priority="10038" operator="lessThan">
      <formula>0</formula>
    </cfRule>
    <cfRule type="cellIs" dxfId="6546" priority="10039" operator="greaterThan">
      <formula>0</formula>
    </cfRule>
  </conditionalFormatting>
  <conditionalFormatting sqref="NR104">
    <cfRule type="cellIs" dxfId="6545" priority="10036" operator="lessThan">
      <formula>0</formula>
    </cfRule>
    <cfRule type="cellIs" dxfId="6544" priority="10037" operator="greaterThan">
      <formula>0</formula>
    </cfRule>
  </conditionalFormatting>
  <conditionalFormatting sqref="NR48:NR49">
    <cfRule type="cellIs" dxfId="6543" priority="10002" operator="lessThan">
      <formula>0</formula>
    </cfRule>
    <cfRule type="cellIs" dxfId="6542" priority="10003" operator="greaterThan">
      <formula>0</formula>
    </cfRule>
  </conditionalFormatting>
  <conditionalFormatting sqref="NT98">
    <cfRule type="cellIs" dxfId="6541" priority="9937" operator="lessThan">
      <formula>0</formula>
    </cfRule>
    <cfRule type="cellIs" dxfId="6540" priority="9938" operator="greaterThan">
      <formula>0</formula>
    </cfRule>
  </conditionalFormatting>
  <conditionalFormatting sqref="NT6 NT9:NT11">
    <cfRule type="cellIs" dxfId="6539" priority="9977" operator="lessThan">
      <formula>0</formula>
    </cfRule>
    <cfRule type="cellIs" dxfId="6538" priority="9978" operator="greaterThan">
      <formula>0</formula>
    </cfRule>
  </conditionalFormatting>
  <conditionalFormatting sqref="NT43:NT44">
    <cfRule type="cellIs" dxfId="6537" priority="9941" operator="lessThan">
      <formula>0</formula>
    </cfRule>
    <cfRule type="cellIs" dxfId="6536" priority="9942" operator="greaterThan">
      <formula>0</formula>
    </cfRule>
  </conditionalFormatting>
  <conditionalFormatting sqref="NT11 NT19 NT3 NT24:NT32 NT34:NT42 NT69:NT79">
    <cfRule type="cellIs" dxfId="6535" priority="9987" operator="lessThan">
      <formula>0</formula>
    </cfRule>
    <cfRule type="cellIs" dxfId="6534" priority="9988" operator="greaterThan">
      <formula>0</formula>
    </cfRule>
  </conditionalFormatting>
  <conditionalFormatting sqref="NT4:NT5">
    <cfRule type="cellIs" dxfId="6533" priority="9979" operator="lessThan">
      <formula>0</formula>
    </cfRule>
    <cfRule type="cellIs" dxfId="6532" priority="9980" operator="greaterThan">
      <formula>0</formula>
    </cfRule>
  </conditionalFormatting>
  <conditionalFormatting sqref="NT12:NT13">
    <cfRule type="cellIs" dxfId="6531" priority="9975" operator="lessThan">
      <formula>0</formula>
    </cfRule>
    <cfRule type="cellIs" dxfId="6530" priority="9976" operator="greaterThan">
      <formula>0</formula>
    </cfRule>
  </conditionalFormatting>
  <conditionalFormatting sqref="NT14:NT19">
    <cfRule type="cellIs" dxfId="6529" priority="9973" operator="lessThan">
      <formula>0</formula>
    </cfRule>
    <cfRule type="cellIs" dxfId="6528" priority="9974" operator="greaterThan">
      <formula>0</formula>
    </cfRule>
  </conditionalFormatting>
  <conditionalFormatting sqref="NT20:NT22">
    <cfRule type="cellIs" dxfId="6527" priority="9971" operator="lessThan">
      <formula>0</formula>
    </cfRule>
    <cfRule type="cellIs" dxfId="6526" priority="9972" operator="greaterThan">
      <formula>0</formula>
    </cfRule>
  </conditionalFormatting>
  <conditionalFormatting sqref="NT45:NT46">
    <cfRule type="cellIs" dxfId="6525" priority="9985" operator="lessThan">
      <formula>0</formula>
    </cfRule>
    <cfRule type="cellIs" dxfId="6524" priority="9986" operator="greaterThan">
      <formula>0</formula>
    </cfRule>
  </conditionalFormatting>
  <conditionalFormatting sqref="NT7">
    <cfRule type="cellIs" dxfId="6523" priority="9957" operator="lessThan">
      <formula>0</formula>
    </cfRule>
    <cfRule type="cellIs" dxfId="6522" priority="9958" operator="greaterThan">
      <formula>0</formula>
    </cfRule>
  </conditionalFormatting>
  <conditionalFormatting sqref="NT7">
    <cfRule type="cellIs" dxfId="6521" priority="9955" operator="lessThan">
      <formula>0</formula>
    </cfRule>
    <cfRule type="cellIs" dxfId="6520" priority="9956" operator="greaterThan">
      <formula>0</formula>
    </cfRule>
  </conditionalFormatting>
  <conditionalFormatting sqref="NT8">
    <cfRule type="cellIs" dxfId="6519" priority="9953" operator="lessThan">
      <formula>0</formula>
    </cfRule>
    <cfRule type="cellIs" dxfId="6518" priority="9954" operator="greaterThan">
      <formula>0</formula>
    </cfRule>
  </conditionalFormatting>
  <conditionalFormatting sqref="NT47">
    <cfRule type="cellIs" dxfId="6517" priority="9951" operator="lessThan">
      <formula>0</formula>
    </cfRule>
    <cfRule type="cellIs" dxfId="6516" priority="9952" operator="greaterThan">
      <formula>0</formula>
    </cfRule>
  </conditionalFormatting>
  <conditionalFormatting sqref="NT44">
    <cfRule type="cellIs" dxfId="6515" priority="9949" operator="lessThan">
      <formula>0</formula>
    </cfRule>
    <cfRule type="cellIs" dxfId="6514" priority="9950" operator="greaterThan">
      <formula>0</formula>
    </cfRule>
  </conditionalFormatting>
  <conditionalFormatting sqref="NT23:NT24">
    <cfRule type="cellIs" dxfId="6513" priority="9945" operator="lessThan">
      <formula>0</formula>
    </cfRule>
    <cfRule type="cellIs" dxfId="6512" priority="9946" operator="greaterThan">
      <formula>0</formula>
    </cfRule>
  </conditionalFormatting>
  <conditionalFormatting sqref="NT33:NT34">
    <cfRule type="cellIs" dxfId="6511" priority="9943" operator="lessThan">
      <formula>0</formula>
    </cfRule>
    <cfRule type="cellIs" dxfId="6510" priority="9944" operator="greaterThan">
      <formula>0</formula>
    </cfRule>
  </conditionalFormatting>
  <conditionalFormatting sqref="NT101">
    <cfRule type="cellIs" dxfId="6509" priority="9935" operator="lessThan">
      <formula>0</formula>
    </cfRule>
    <cfRule type="cellIs" dxfId="6508" priority="9936" operator="greaterThan">
      <formula>0</formula>
    </cfRule>
  </conditionalFormatting>
  <conditionalFormatting sqref="NT104">
    <cfRule type="cellIs" dxfId="6507" priority="9933" operator="lessThan">
      <formula>0</formula>
    </cfRule>
    <cfRule type="cellIs" dxfId="6506" priority="9934" operator="greaterThan">
      <formula>0</formula>
    </cfRule>
  </conditionalFormatting>
  <conditionalFormatting sqref="NT48:NT49">
    <cfRule type="cellIs" dxfId="6505" priority="9899" operator="lessThan">
      <formula>0</formula>
    </cfRule>
    <cfRule type="cellIs" dxfId="6504" priority="9900" operator="greaterThan">
      <formula>0</formula>
    </cfRule>
  </conditionalFormatting>
  <conditionalFormatting sqref="NV98">
    <cfRule type="cellIs" dxfId="6503" priority="9834" operator="lessThan">
      <formula>0</formula>
    </cfRule>
    <cfRule type="cellIs" dxfId="6502" priority="9835" operator="greaterThan">
      <formula>0</formula>
    </cfRule>
  </conditionalFormatting>
  <conditionalFormatting sqref="NV6 NV9:NV11">
    <cfRule type="cellIs" dxfId="6501" priority="9874" operator="lessThan">
      <formula>0</formula>
    </cfRule>
    <cfRule type="cellIs" dxfId="6500" priority="9875" operator="greaterThan">
      <formula>0</formula>
    </cfRule>
  </conditionalFormatting>
  <conditionalFormatting sqref="NV43:NV44">
    <cfRule type="cellIs" dxfId="6499" priority="9838" operator="lessThan">
      <formula>0</formula>
    </cfRule>
    <cfRule type="cellIs" dxfId="6498" priority="9839" operator="greaterThan">
      <formula>0</formula>
    </cfRule>
  </conditionalFormatting>
  <conditionalFormatting sqref="NV11 NV19 NV3 NV24:NV32 NV34:NV42 NV69:NV79">
    <cfRule type="cellIs" dxfId="6497" priority="9884" operator="lessThan">
      <formula>0</formula>
    </cfRule>
    <cfRule type="cellIs" dxfId="6496" priority="9885" operator="greaterThan">
      <formula>0</formula>
    </cfRule>
  </conditionalFormatting>
  <conditionalFormatting sqref="NV4:NV5">
    <cfRule type="cellIs" dxfId="6495" priority="9876" operator="lessThan">
      <formula>0</formula>
    </cfRule>
    <cfRule type="cellIs" dxfId="6494" priority="9877" operator="greaterThan">
      <formula>0</formula>
    </cfRule>
  </conditionalFormatting>
  <conditionalFormatting sqref="NV12:NV13">
    <cfRule type="cellIs" dxfId="6493" priority="9872" operator="lessThan">
      <formula>0</formula>
    </cfRule>
    <cfRule type="cellIs" dxfId="6492" priority="9873" operator="greaterThan">
      <formula>0</formula>
    </cfRule>
  </conditionalFormatting>
  <conditionalFormatting sqref="NV14:NV19">
    <cfRule type="cellIs" dxfId="6491" priority="9870" operator="lessThan">
      <formula>0</formula>
    </cfRule>
    <cfRule type="cellIs" dxfId="6490" priority="9871" operator="greaterThan">
      <formula>0</formula>
    </cfRule>
  </conditionalFormatting>
  <conditionalFormatting sqref="NV20:NV22">
    <cfRule type="cellIs" dxfId="6489" priority="9868" operator="lessThan">
      <formula>0</formula>
    </cfRule>
    <cfRule type="cellIs" dxfId="6488" priority="9869" operator="greaterThan">
      <formula>0</formula>
    </cfRule>
  </conditionalFormatting>
  <conditionalFormatting sqref="NV45:NV46">
    <cfRule type="cellIs" dxfId="6487" priority="9882" operator="lessThan">
      <formula>0</formula>
    </cfRule>
    <cfRule type="cellIs" dxfId="6486" priority="9883" operator="greaterThan">
      <formula>0</formula>
    </cfRule>
  </conditionalFormatting>
  <conditionalFormatting sqref="NV7">
    <cfRule type="cellIs" dxfId="6485" priority="9854" operator="lessThan">
      <formula>0</formula>
    </cfRule>
    <cfRule type="cellIs" dxfId="6484" priority="9855" operator="greaterThan">
      <formula>0</formula>
    </cfRule>
  </conditionalFormatting>
  <conditionalFormatting sqref="NV7">
    <cfRule type="cellIs" dxfId="6483" priority="9852" operator="lessThan">
      <formula>0</formula>
    </cfRule>
    <cfRule type="cellIs" dxfId="6482" priority="9853" operator="greaterThan">
      <formula>0</formula>
    </cfRule>
  </conditionalFormatting>
  <conditionalFormatting sqref="NV8">
    <cfRule type="cellIs" dxfId="6481" priority="9850" operator="lessThan">
      <formula>0</formula>
    </cfRule>
    <cfRule type="cellIs" dxfId="6480" priority="9851" operator="greaterThan">
      <formula>0</formula>
    </cfRule>
  </conditionalFormatting>
  <conditionalFormatting sqref="NV47">
    <cfRule type="cellIs" dxfId="6479" priority="9848" operator="lessThan">
      <formula>0</formula>
    </cfRule>
    <cfRule type="cellIs" dxfId="6478" priority="9849" operator="greaterThan">
      <formula>0</formula>
    </cfRule>
  </conditionalFormatting>
  <conditionalFormatting sqref="NV44">
    <cfRule type="cellIs" dxfId="6477" priority="9846" operator="lessThan">
      <formula>0</formula>
    </cfRule>
    <cfRule type="cellIs" dxfId="6476" priority="9847" operator="greaterThan">
      <formula>0</formula>
    </cfRule>
  </conditionalFormatting>
  <conditionalFormatting sqref="NV23:NV24">
    <cfRule type="cellIs" dxfId="6475" priority="9842" operator="lessThan">
      <formula>0</formula>
    </cfRule>
    <cfRule type="cellIs" dxfId="6474" priority="9843" operator="greaterThan">
      <formula>0</formula>
    </cfRule>
  </conditionalFormatting>
  <conditionalFormatting sqref="NV33:NV34">
    <cfRule type="cellIs" dxfId="6473" priority="9840" operator="lessThan">
      <formula>0</formula>
    </cfRule>
    <cfRule type="cellIs" dxfId="6472" priority="9841" operator="greaterThan">
      <formula>0</formula>
    </cfRule>
  </conditionalFormatting>
  <conditionalFormatting sqref="NV101">
    <cfRule type="cellIs" dxfId="6471" priority="9832" operator="lessThan">
      <formula>0</formula>
    </cfRule>
    <cfRule type="cellIs" dxfId="6470" priority="9833" operator="greaterThan">
      <formula>0</formula>
    </cfRule>
  </conditionalFormatting>
  <conditionalFormatting sqref="NV104">
    <cfRule type="cellIs" dxfId="6469" priority="9830" operator="lessThan">
      <formula>0</formula>
    </cfRule>
    <cfRule type="cellIs" dxfId="6468" priority="9831" operator="greaterThan">
      <formula>0</formula>
    </cfRule>
  </conditionalFormatting>
  <conditionalFormatting sqref="NV48:NV49">
    <cfRule type="cellIs" dxfId="6467" priority="9796" operator="lessThan">
      <formula>0</formula>
    </cfRule>
    <cfRule type="cellIs" dxfId="6466" priority="9797" operator="greaterThan">
      <formula>0</formula>
    </cfRule>
  </conditionalFormatting>
  <conditionalFormatting sqref="NX98">
    <cfRule type="cellIs" dxfId="6465" priority="9731" operator="lessThan">
      <formula>0</formula>
    </cfRule>
    <cfRule type="cellIs" dxfId="6464" priority="9732" operator="greaterThan">
      <formula>0</formula>
    </cfRule>
  </conditionalFormatting>
  <conditionalFormatting sqref="NX6 NX9:NX11">
    <cfRule type="cellIs" dxfId="6463" priority="9771" operator="lessThan">
      <formula>0</formula>
    </cfRule>
    <cfRule type="cellIs" dxfId="6462" priority="9772" operator="greaterThan">
      <formula>0</formula>
    </cfRule>
  </conditionalFormatting>
  <conditionalFormatting sqref="NX43:NX44">
    <cfRule type="cellIs" dxfId="6461" priority="9735" operator="lessThan">
      <formula>0</formula>
    </cfRule>
    <cfRule type="cellIs" dxfId="6460" priority="9736" operator="greaterThan">
      <formula>0</formula>
    </cfRule>
  </conditionalFormatting>
  <conditionalFormatting sqref="NX11 NX19 NX3 NX24:NX32 NX34:NX42 NX69:NX79">
    <cfRule type="cellIs" dxfId="6459" priority="9781" operator="lessThan">
      <formula>0</formula>
    </cfRule>
    <cfRule type="cellIs" dxfId="6458" priority="9782" operator="greaterThan">
      <formula>0</formula>
    </cfRule>
  </conditionalFormatting>
  <conditionalFormatting sqref="NX4:NX5">
    <cfRule type="cellIs" dxfId="6457" priority="9773" operator="lessThan">
      <formula>0</formula>
    </cfRule>
    <cfRule type="cellIs" dxfId="6456" priority="9774" operator="greaterThan">
      <formula>0</formula>
    </cfRule>
  </conditionalFormatting>
  <conditionalFormatting sqref="NX12:NX13">
    <cfRule type="cellIs" dxfId="6455" priority="9769" operator="lessThan">
      <formula>0</formula>
    </cfRule>
    <cfRule type="cellIs" dxfId="6454" priority="9770" operator="greaterThan">
      <formula>0</formula>
    </cfRule>
  </conditionalFormatting>
  <conditionalFormatting sqref="NX14:NX19">
    <cfRule type="cellIs" dxfId="6453" priority="9767" operator="lessThan">
      <formula>0</formula>
    </cfRule>
    <cfRule type="cellIs" dxfId="6452" priority="9768" operator="greaterThan">
      <formula>0</formula>
    </cfRule>
  </conditionalFormatting>
  <conditionalFormatting sqref="NX20:NX22">
    <cfRule type="cellIs" dxfId="6451" priority="9765" operator="lessThan">
      <formula>0</formula>
    </cfRule>
    <cfRule type="cellIs" dxfId="6450" priority="9766" operator="greaterThan">
      <formula>0</formula>
    </cfRule>
  </conditionalFormatting>
  <conditionalFormatting sqref="NX45:NX46">
    <cfRule type="cellIs" dxfId="6449" priority="9779" operator="lessThan">
      <formula>0</formula>
    </cfRule>
    <cfRule type="cellIs" dxfId="6448" priority="9780" operator="greaterThan">
      <formula>0</formula>
    </cfRule>
  </conditionalFormatting>
  <conditionalFormatting sqref="NX7">
    <cfRule type="cellIs" dxfId="6447" priority="9751" operator="lessThan">
      <formula>0</formula>
    </cfRule>
    <cfRule type="cellIs" dxfId="6446" priority="9752" operator="greaterThan">
      <formula>0</formula>
    </cfRule>
  </conditionalFormatting>
  <conditionalFormatting sqref="NX7">
    <cfRule type="cellIs" dxfId="6445" priority="9749" operator="lessThan">
      <formula>0</formula>
    </cfRule>
    <cfRule type="cellIs" dxfId="6444" priority="9750" operator="greaterThan">
      <formula>0</formula>
    </cfRule>
  </conditionalFormatting>
  <conditionalFormatting sqref="NX8">
    <cfRule type="cellIs" dxfId="6443" priority="9747" operator="lessThan">
      <formula>0</formula>
    </cfRule>
    <cfRule type="cellIs" dxfId="6442" priority="9748" operator="greaterThan">
      <formula>0</formula>
    </cfRule>
  </conditionalFormatting>
  <conditionalFormatting sqref="NX47">
    <cfRule type="cellIs" dxfId="6441" priority="9745" operator="lessThan">
      <formula>0</formula>
    </cfRule>
    <cfRule type="cellIs" dxfId="6440" priority="9746" operator="greaterThan">
      <formula>0</formula>
    </cfRule>
  </conditionalFormatting>
  <conditionalFormatting sqref="NX44">
    <cfRule type="cellIs" dxfId="6439" priority="9743" operator="lessThan">
      <formula>0</formula>
    </cfRule>
    <cfRule type="cellIs" dxfId="6438" priority="9744" operator="greaterThan">
      <formula>0</formula>
    </cfRule>
  </conditionalFormatting>
  <conditionalFormatting sqref="NX23:NX24">
    <cfRule type="cellIs" dxfId="6437" priority="9739" operator="lessThan">
      <formula>0</formula>
    </cfRule>
    <cfRule type="cellIs" dxfId="6436" priority="9740" operator="greaterThan">
      <formula>0</formula>
    </cfRule>
  </conditionalFormatting>
  <conditionalFormatting sqref="NX33:NX34">
    <cfRule type="cellIs" dxfId="6435" priority="9737" operator="lessThan">
      <formula>0</formula>
    </cfRule>
    <cfRule type="cellIs" dxfId="6434" priority="9738" operator="greaterThan">
      <formula>0</formula>
    </cfRule>
  </conditionalFormatting>
  <conditionalFormatting sqref="NX101">
    <cfRule type="cellIs" dxfId="6433" priority="9729" operator="lessThan">
      <formula>0</formula>
    </cfRule>
    <cfRule type="cellIs" dxfId="6432" priority="9730" operator="greaterThan">
      <formula>0</formula>
    </cfRule>
  </conditionalFormatting>
  <conditionalFormatting sqref="NX104">
    <cfRule type="cellIs" dxfId="6431" priority="9727" operator="lessThan">
      <formula>0</formula>
    </cfRule>
    <cfRule type="cellIs" dxfId="6430" priority="9728" operator="greaterThan">
      <formula>0</formula>
    </cfRule>
  </conditionalFormatting>
  <conditionalFormatting sqref="NX48:NX49">
    <cfRule type="cellIs" dxfId="6429" priority="9693" operator="lessThan">
      <formula>0</formula>
    </cfRule>
    <cfRule type="cellIs" dxfId="6428" priority="9694" operator="greaterThan">
      <formula>0</formula>
    </cfRule>
  </conditionalFormatting>
  <conditionalFormatting sqref="NZ98">
    <cfRule type="cellIs" dxfId="6427" priority="9628" operator="lessThan">
      <formula>0</formula>
    </cfRule>
    <cfRule type="cellIs" dxfId="6426" priority="9629" operator="greaterThan">
      <formula>0</formula>
    </cfRule>
  </conditionalFormatting>
  <conditionalFormatting sqref="NZ6 NZ9:NZ11">
    <cfRule type="cellIs" dxfId="6425" priority="9668" operator="lessThan">
      <formula>0</formula>
    </cfRule>
    <cfRule type="cellIs" dxfId="6424" priority="9669" operator="greaterThan">
      <formula>0</formula>
    </cfRule>
  </conditionalFormatting>
  <conditionalFormatting sqref="NZ43:NZ44">
    <cfRule type="cellIs" dxfId="6423" priority="9632" operator="lessThan">
      <formula>0</formula>
    </cfRule>
    <cfRule type="cellIs" dxfId="6422" priority="9633" operator="greaterThan">
      <formula>0</formula>
    </cfRule>
  </conditionalFormatting>
  <conditionalFormatting sqref="NZ11 NZ19 NZ3 NZ24:NZ32 NZ34:NZ42 NZ69:NZ79">
    <cfRule type="cellIs" dxfId="6421" priority="9678" operator="lessThan">
      <formula>0</formula>
    </cfRule>
    <cfRule type="cellIs" dxfId="6420" priority="9679" operator="greaterThan">
      <formula>0</formula>
    </cfRule>
  </conditionalFormatting>
  <conditionalFormatting sqref="NZ4:NZ5">
    <cfRule type="cellIs" dxfId="6419" priority="9670" operator="lessThan">
      <formula>0</formula>
    </cfRule>
    <cfRule type="cellIs" dxfId="6418" priority="9671" operator="greaterThan">
      <formula>0</formula>
    </cfRule>
  </conditionalFormatting>
  <conditionalFormatting sqref="NZ12:NZ13">
    <cfRule type="cellIs" dxfId="6417" priority="9666" operator="lessThan">
      <formula>0</formula>
    </cfRule>
    <cfRule type="cellIs" dxfId="6416" priority="9667" operator="greaterThan">
      <formula>0</formula>
    </cfRule>
  </conditionalFormatting>
  <conditionalFormatting sqref="NZ14:NZ19">
    <cfRule type="cellIs" dxfId="6415" priority="9664" operator="lessThan">
      <formula>0</formula>
    </cfRule>
    <cfRule type="cellIs" dxfId="6414" priority="9665" operator="greaterThan">
      <formula>0</formula>
    </cfRule>
  </conditionalFormatting>
  <conditionalFormatting sqref="NZ20:NZ22">
    <cfRule type="cellIs" dxfId="6413" priority="9662" operator="lessThan">
      <formula>0</formula>
    </cfRule>
    <cfRule type="cellIs" dxfId="6412" priority="9663" operator="greaterThan">
      <formula>0</formula>
    </cfRule>
  </conditionalFormatting>
  <conditionalFormatting sqref="NZ45:NZ46">
    <cfRule type="cellIs" dxfId="6411" priority="9676" operator="lessThan">
      <formula>0</formula>
    </cfRule>
    <cfRule type="cellIs" dxfId="6410" priority="9677" operator="greaterThan">
      <formula>0</formula>
    </cfRule>
  </conditionalFormatting>
  <conditionalFormatting sqref="NZ7">
    <cfRule type="cellIs" dxfId="6409" priority="9648" operator="lessThan">
      <formula>0</formula>
    </cfRule>
    <cfRule type="cellIs" dxfId="6408" priority="9649" operator="greaterThan">
      <formula>0</formula>
    </cfRule>
  </conditionalFormatting>
  <conditionalFormatting sqref="NZ7">
    <cfRule type="cellIs" dxfId="6407" priority="9646" operator="lessThan">
      <formula>0</formula>
    </cfRule>
    <cfRule type="cellIs" dxfId="6406" priority="9647" operator="greaterThan">
      <formula>0</formula>
    </cfRule>
  </conditionalFormatting>
  <conditionalFormatting sqref="NZ8">
    <cfRule type="cellIs" dxfId="6405" priority="9644" operator="lessThan">
      <formula>0</formula>
    </cfRule>
    <cfRule type="cellIs" dxfId="6404" priority="9645" operator="greaterThan">
      <formula>0</formula>
    </cfRule>
  </conditionalFormatting>
  <conditionalFormatting sqref="NZ47">
    <cfRule type="cellIs" dxfId="6403" priority="9642" operator="lessThan">
      <formula>0</formula>
    </cfRule>
    <cfRule type="cellIs" dxfId="6402" priority="9643" operator="greaterThan">
      <formula>0</formula>
    </cfRule>
  </conditionalFormatting>
  <conditionalFormatting sqref="NZ44">
    <cfRule type="cellIs" dxfId="6401" priority="9640" operator="lessThan">
      <formula>0</formula>
    </cfRule>
    <cfRule type="cellIs" dxfId="6400" priority="9641" operator="greaterThan">
      <formula>0</formula>
    </cfRule>
  </conditionalFormatting>
  <conditionalFormatting sqref="NZ23:NZ24">
    <cfRule type="cellIs" dxfId="6399" priority="9636" operator="lessThan">
      <formula>0</formula>
    </cfRule>
    <cfRule type="cellIs" dxfId="6398" priority="9637" operator="greaterThan">
      <formula>0</formula>
    </cfRule>
  </conditionalFormatting>
  <conditionalFormatting sqref="NZ33:NZ34">
    <cfRule type="cellIs" dxfId="6397" priority="9634" operator="lessThan">
      <formula>0</formula>
    </cfRule>
    <cfRule type="cellIs" dxfId="6396" priority="9635" operator="greaterThan">
      <formula>0</formula>
    </cfRule>
  </conditionalFormatting>
  <conditionalFormatting sqref="NZ101">
    <cfRule type="cellIs" dxfId="6395" priority="9626" operator="lessThan">
      <formula>0</formula>
    </cfRule>
    <cfRule type="cellIs" dxfId="6394" priority="9627" operator="greaterThan">
      <formula>0</formula>
    </cfRule>
  </conditionalFormatting>
  <conditionalFormatting sqref="NZ104">
    <cfRule type="cellIs" dxfId="6393" priority="9624" operator="lessThan">
      <formula>0</formula>
    </cfRule>
    <cfRule type="cellIs" dxfId="6392" priority="9625" operator="greaterThan">
      <formula>0</formula>
    </cfRule>
  </conditionalFormatting>
  <conditionalFormatting sqref="NZ48:NZ49">
    <cfRule type="cellIs" dxfId="6391" priority="9590" operator="lessThan">
      <formula>0</formula>
    </cfRule>
    <cfRule type="cellIs" dxfId="6390" priority="9591" operator="greaterThan">
      <formula>0</formula>
    </cfRule>
  </conditionalFormatting>
  <conditionalFormatting sqref="OB98">
    <cfRule type="cellIs" dxfId="6389" priority="9525" operator="lessThan">
      <formula>0</formula>
    </cfRule>
    <cfRule type="cellIs" dxfId="6388" priority="9526" operator="greaterThan">
      <formula>0</formula>
    </cfRule>
  </conditionalFormatting>
  <conditionalFormatting sqref="OB6 OB9:OB11">
    <cfRule type="cellIs" dxfId="6387" priority="9565" operator="lessThan">
      <formula>0</formula>
    </cfRule>
    <cfRule type="cellIs" dxfId="6386" priority="9566" operator="greaterThan">
      <formula>0</formula>
    </cfRule>
  </conditionalFormatting>
  <conditionalFormatting sqref="OB43:OB44">
    <cfRule type="cellIs" dxfId="6385" priority="9529" operator="lessThan">
      <formula>0</formula>
    </cfRule>
    <cfRule type="cellIs" dxfId="6384" priority="9530" operator="greaterThan">
      <formula>0</formula>
    </cfRule>
  </conditionalFormatting>
  <conditionalFormatting sqref="OB11 OB19 OB3 OB24:OB32 OB34:OB42 OB69:OB79">
    <cfRule type="cellIs" dxfId="6383" priority="9575" operator="lessThan">
      <formula>0</formula>
    </cfRule>
    <cfRule type="cellIs" dxfId="6382" priority="9576" operator="greaterThan">
      <formula>0</formula>
    </cfRule>
  </conditionalFormatting>
  <conditionalFormatting sqref="OB4:OB5">
    <cfRule type="cellIs" dxfId="6381" priority="9567" operator="lessThan">
      <formula>0</formula>
    </cfRule>
    <cfRule type="cellIs" dxfId="6380" priority="9568" operator="greaterThan">
      <formula>0</formula>
    </cfRule>
  </conditionalFormatting>
  <conditionalFormatting sqref="OB12:OB13">
    <cfRule type="cellIs" dxfId="6379" priority="9563" operator="lessThan">
      <formula>0</formula>
    </cfRule>
    <cfRule type="cellIs" dxfId="6378" priority="9564" operator="greaterThan">
      <formula>0</formula>
    </cfRule>
  </conditionalFormatting>
  <conditionalFormatting sqref="OB14:OB19">
    <cfRule type="cellIs" dxfId="6377" priority="9561" operator="lessThan">
      <formula>0</formula>
    </cfRule>
    <cfRule type="cellIs" dxfId="6376" priority="9562" operator="greaterThan">
      <formula>0</formula>
    </cfRule>
  </conditionalFormatting>
  <conditionalFormatting sqref="OB20:OB22">
    <cfRule type="cellIs" dxfId="6375" priority="9559" operator="lessThan">
      <formula>0</formula>
    </cfRule>
    <cfRule type="cellIs" dxfId="6374" priority="9560" operator="greaterThan">
      <formula>0</formula>
    </cfRule>
  </conditionalFormatting>
  <conditionalFormatting sqref="OB45:OB46">
    <cfRule type="cellIs" dxfId="6373" priority="9573" operator="lessThan">
      <formula>0</formula>
    </cfRule>
    <cfRule type="cellIs" dxfId="6372" priority="9574" operator="greaterThan">
      <formula>0</formula>
    </cfRule>
  </conditionalFormatting>
  <conditionalFormatting sqref="OB7">
    <cfRule type="cellIs" dxfId="6371" priority="9545" operator="lessThan">
      <formula>0</formula>
    </cfRule>
    <cfRule type="cellIs" dxfId="6370" priority="9546" operator="greaterThan">
      <formula>0</formula>
    </cfRule>
  </conditionalFormatting>
  <conditionalFormatting sqref="OB7">
    <cfRule type="cellIs" dxfId="6369" priority="9543" operator="lessThan">
      <formula>0</formula>
    </cfRule>
    <cfRule type="cellIs" dxfId="6368" priority="9544" operator="greaterThan">
      <formula>0</formula>
    </cfRule>
  </conditionalFormatting>
  <conditionalFormatting sqref="OB8">
    <cfRule type="cellIs" dxfId="6367" priority="9541" operator="lessThan">
      <formula>0</formula>
    </cfRule>
    <cfRule type="cellIs" dxfId="6366" priority="9542" operator="greaterThan">
      <formula>0</formula>
    </cfRule>
  </conditionalFormatting>
  <conditionalFormatting sqref="OB47">
    <cfRule type="cellIs" dxfId="6365" priority="9539" operator="lessThan">
      <formula>0</formula>
    </cfRule>
    <cfRule type="cellIs" dxfId="6364" priority="9540" operator="greaterThan">
      <formula>0</formula>
    </cfRule>
  </conditionalFormatting>
  <conditionalFormatting sqref="OB44">
    <cfRule type="cellIs" dxfId="6363" priority="9537" operator="lessThan">
      <formula>0</formula>
    </cfRule>
    <cfRule type="cellIs" dxfId="6362" priority="9538" operator="greaterThan">
      <formula>0</formula>
    </cfRule>
  </conditionalFormatting>
  <conditionalFormatting sqref="OB23:OB24">
    <cfRule type="cellIs" dxfId="6361" priority="9533" operator="lessThan">
      <formula>0</formula>
    </cfRule>
    <cfRule type="cellIs" dxfId="6360" priority="9534" operator="greaterThan">
      <formula>0</formula>
    </cfRule>
  </conditionalFormatting>
  <conditionalFormatting sqref="OB33:OB34">
    <cfRule type="cellIs" dxfId="6359" priority="9531" operator="lessThan">
      <formula>0</formula>
    </cfRule>
    <cfRule type="cellIs" dxfId="6358" priority="9532" operator="greaterThan">
      <formula>0</formula>
    </cfRule>
  </conditionalFormatting>
  <conditionalFormatting sqref="OB101">
    <cfRule type="cellIs" dxfId="6357" priority="9523" operator="lessThan">
      <formula>0</formula>
    </cfRule>
    <cfRule type="cellIs" dxfId="6356" priority="9524" operator="greaterThan">
      <formula>0</formula>
    </cfRule>
  </conditionalFormatting>
  <conditionalFormatting sqref="OB104">
    <cfRule type="cellIs" dxfId="6355" priority="9521" operator="lessThan">
      <formula>0</formula>
    </cfRule>
    <cfRule type="cellIs" dxfId="6354" priority="9522" operator="greaterThan">
      <formula>0</formula>
    </cfRule>
  </conditionalFormatting>
  <conditionalFormatting sqref="OB48:OB49">
    <cfRule type="cellIs" dxfId="6353" priority="9487" operator="lessThan">
      <formula>0</formula>
    </cfRule>
    <cfRule type="cellIs" dxfId="6352" priority="9488" operator="greaterThan">
      <formula>0</formula>
    </cfRule>
  </conditionalFormatting>
  <conditionalFormatting sqref="OD98">
    <cfRule type="cellIs" dxfId="6351" priority="9422" operator="lessThan">
      <formula>0</formula>
    </cfRule>
    <cfRule type="cellIs" dxfId="6350" priority="9423" operator="greaterThan">
      <formula>0</formula>
    </cfRule>
  </conditionalFormatting>
  <conditionalFormatting sqref="OD6 OD9:OD11">
    <cfRule type="cellIs" dxfId="6349" priority="9462" operator="lessThan">
      <formula>0</formula>
    </cfRule>
    <cfRule type="cellIs" dxfId="6348" priority="9463" operator="greaterThan">
      <formula>0</formula>
    </cfRule>
  </conditionalFormatting>
  <conditionalFormatting sqref="OD43:OD44">
    <cfRule type="cellIs" dxfId="6347" priority="9426" operator="lessThan">
      <formula>0</formula>
    </cfRule>
    <cfRule type="cellIs" dxfId="6346" priority="9427" operator="greaterThan">
      <formula>0</formula>
    </cfRule>
  </conditionalFormatting>
  <conditionalFormatting sqref="OD11 OD19 OD3 OD24:OD32 OD34:OD42 OD69:OD79">
    <cfRule type="cellIs" dxfId="6345" priority="9472" operator="lessThan">
      <formula>0</formula>
    </cfRule>
    <cfRule type="cellIs" dxfId="6344" priority="9473" operator="greaterThan">
      <formula>0</formula>
    </cfRule>
  </conditionalFormatting>
  <conditionalFormatting sqref="OD4:OD5">
    <cfRule type="cellIs" dxfId="6343" priority="9464" operator="lessThan">
      <formula>0</formula>
    </cfRule>
    <cfRule type="cellIs" dxfId="6342" priority="9465" operator="greaterThan">
      <formula>0</formula>
    </cfRule>
  </conditionalFormatting>
  <conditionalFormatting sqref="OD12:OD13">
    <cfRule type="cellIs" dxfId="6341" priority="9460" operator="lessThan">
      <formula>0</formula>
    </cfRule>
    <cfRule type="cellIs" dxfId="6340" priority="9461" operator="greaterThan">
      <formula>0</formula>
    </cfRule>
  </conditionalFormatting>
  <conditionalFormatting sqref="OD14:OD19">
    <cfRule type="cellIs" dxfId="6339" priority="9458" operator="lessThan">
      <formula>0</formula>
    </cfRule>
    <cfRule type="cellIs" dxfId="6338" priority="9459" operator="greaterThan">
      <formula>0</formula>
    </cfRule>
  </conditionalFormatting>
  <conditionalFormatting sqref="OD20:OD22">
    <cfRule type="cellIs" dxfId="6337" priority="9456" operator="lessThan">
      <formula>0</formula>
    </cfRule>
    <cfRule type="cellIs" dxfId="6336" priority="9457" operator="greaterThan">
      <formula>0</formula>
    </cfRule>
  </conditionalFormatting>
  <conditionalFormatting sqref="OD45:OD46">
    <cfRule type="cellIs" dxfId="6335" priority="9470" operator="lessThan">
      <formula>0</formula>
    </cfRule>
    <cfRule type="cellIs" dxfId="6334" priority="9471" operator="greaterThan">
      <formula>0</formula>
    </cfRule>
  </conditionalFormatting>
  <conditionalFormatting sqref="OD7">
    <cfRule type="cellIs" dxfId="6333" priority="9442" operator="lessThan">
      <formula>0</formula>
    </cfRule>
    <cfRule type="cellIs" dxfId="6332" priority="9443" operator="greaterThan">
      <formula>0</formula>
    </cfRule>
  </conditionalFormatting>
  <conditionalFormatting sqref="OD7">
    <cfRule type="cellIs" dxfId="6331" priority="9440" operator="lessThan">
      <formula>0</formula>
    </cfRule>
    <cfRule type="cellIs" dxfId="6330" priority="9441" operator="greaterThan">
      <formula>0</formula>
    </cfRule>
  </conditionalFormatting>
  <conditionalFormatting sqref="OD8">
    <cfRule type="cellIs" dxfId="6329" priority="9438" operator="lessThan">
      <formula>0</formula>
    </cfRule>
    <cfRule type="cellIs" dxfId="6328" priority="9439" operator="greaterThan">
      <formula>0</formula>
    </cfRule>
  </conditionalFormatting>
  <conditionalFormatting sqref="OD47">
    <cfRule type="cellIs" dxfId="6327" priority="9436" operator="lessThan">
      <formula>0</formula>
    </cfRule>
    <cfRule type="cellIs" dxfId="6326" priority="9437" operator="greaterThan">
      <formula>0</formula>
    </cfRule>
  </conditionalFormatting>
  <conditionalFormatting sqref="OD44">
    <cfRule type="cellIs" dxfId="6325" priority="9434" operator="lessThan">
      <formula>0</formula>
    </cfRule>
    <cfRule type="cellIs" dxfId="6324" priority="9435" operator="greaterThan">
      <formula>0</formula>
    </cfRule>
  </conditionalFormatting>
  <conditionalFormatting sqref="OD23:OD24">
    <cfRule type="cellIs" dxfId="6323" priority="9430" operator="lessThan">
      <formula>0</formula>
    </cfRule>
    <cfRule type="cellIs" dxfId="6322" priority="9431" operator="greaterThan">
      <formula>0</formula>
    </cfRule>
  </conditionalFormatting>
  <conditionalFormatting sqref="OD33:OD34">
    <cfRule type="cellIs" dxfId="6321" priority="9428" operator="lessThan">
      <formula>0</formula>
    </cfRule>
    <cfRule type="cellIs" dxfId="6320" priority="9429" operator="greaterThan">
      <formula>0</formula>
    </cfRule>
  </conditionalFormatting>
  <conditionalFormatting sqref="OD101">
    <cfRule type="cellIs" dxfId="6319" priority="9420" operator="lessThan">
      <formula>0</formula>
    </cfRule>
    <cfRule type="cellIs" dxfId="6318" priority="9421" operator="greaterThan">
      <formula>0</formula>
    </cfRule>
  </conditionalFormatting>
  <conditionalFormatting sqref="OD104">
    <cfRule type="cellIs" dxfId="6317" priority="9418" operator="lessThan">
      <formula>0</formula>
    </cfRule>
    <cfRule type="cellIs" dxfId="6316" priority="9419" operator="greaterThan">
      <formula>0</formula>
    </cfRule>
  </conditionalFormatting>
  <conditionalFormatting sqref="OD48:OD49">
    <cfRule type="cellIs" dxfId="6315" priority="9384" operator="lessThan">
      <formula>0</formula>
    </cfRule>
    <cfRule type="cellIs" dxfId="6314" priority="9385" operator="greaterThan">
      <formula>0</formula>
    </cfRule>
  </conditionalFormatting>
  <conditionalFormatting sqref="OF98">
    <cfRule type="cellIs" dxfId="6313" priority="9319" operator="lessThan">
      <formula>0</formula>
    </cfRule>
    <cfRule type="cellIs" dxfId="6312" priority="9320" operator="greaterThan">
      <formula>0</formula>
    </cfRule>
  </conditionalFormatting>
  <conditionalFormatting sqref="OF6 OF9:OF11">
    <cfRule type="cellIs" dxfId="6311" priority="9359" operator="lessThan">
      <formula>0</formula>
    </cfRule>
    <cfRule type="cellIs" dxfId="6310" priority="9360" operator="greaterThan">
      <formula>0</formula>
    </cfRule>
  </conditionalFormatting>
  <conditionalFormatting sqref="OF43:OF44">
    <cfRule type="cellIs" dxfId="6309" priority="9323" operator="lessThan">
      <formula>0</formula>
    </cfRule>
    <cfRule type="cellIs" dxfId="6308" priority="9324" operator="greaterThan">
      <formula>0</formula>
    </cfRule>
  </conditionalFormatting>
  <conditionalFormatting sqref="OF11 OF19 OF3 OF24:OF32 OF34:OF42 OF69:OF79">
    <cfRule type="cellIs" dxfId="6307" priority="9369" operator="lessThan">
      <formula>0</formula>
    </cfRule>
    <cfRule type="cellIs" dxfId="6306" priority="9370" operator="greaterThan">
      <formula>0</formula>
    </cfRule>
  </conditionalFormatting>
  <conditionalFormatting sqref="OF4:OF5">
    <cfRule type="cellIs" dxfId="6305" priority="9361" operator="lessThan">
      <formula>0</formula>
    </cfRule>
    <cfRule type="cellIs" dxfId="6304" priority="9362" operator="greaterThan">
      <formula>0</formula>
    </cfRule>
  </conditionalFormatting>
  <conditionalFormatting sqref="OF12:OF13">
    <cfRule type="cellIs" dxfId="6303" priority="9357" operator="lessThan">
      <formula>0</formula>
    </cfRule>
    <cfRule type="cellIs" dxfId="6302" priority="9358" operator="greaterThan">
      <formula>0</formula>
    </cfRule>
  </conditionalFormatting>
  <conditionalFormatting sqref="OF14:OF19">
    <cfRule type="cellIs" dxfId="6301" priority="9355" operator="lessThan">
      <formula>0</formula>
    </cfRule>
    <cfRule type="cellIs" dxfId="6300" priority="9356" operator="greaterThan">
      <formula>0</formula>
    </cfRule>
  </conditionalFormatting>
  <conditionalFormatting sqref="OF20:OF22">
    <cfRule type="cellIs" dxfId="6299" priority="9353" operator="lessThan">
      <formula>0</formula>
    </cfRule>
    <cfRule type="cellIs" dxfId="6298" priority="9354" operator="greaterThan">
      <formula>0</formula>
    </cfRule>
  </conditionalFormatting>
  <conditionalFormatting sqref="OF45:OF46">
    <cfRule type="cellIs" dxfId="6297" priority="9367" operator="lessThan">
      <formula>0</formula>
    </cfRule>
    <cfRule type="cellIs" dxfId="6296" priority="9368" operator="greaterThan">
      <formula>0</formula>
    </cfRule>
  </conditionalFormatting>
  <conditionalFormatting sqref="OF7">
    <cfRule type="cellIs" dxfId="6295" priority="9339" operator="lessThan">
      <formula>0</formula>
    </cfRule>
    <cfRule type="cellIs" dxfId="6294" priority="9340" operator="greaterThan">
      <formula>0</formula>
    </cfRule>
  </conditionalFormatting>
  <conditionalFormatting sqref="OF7">
    <cfRule type="cellIs" dxfId="6293" priority="9337" operator="lessThan">
      <formula>0</formula>
    </cfRule>
    <cfRule type="cellIs" dxfId="6292" priority="9338" operator="greaterThan">
      <formula>0</formula>
    </cfRule>
  </conditionalFormatting>
  <conditionalFormatting sqref="OF8">
    <cfRule type="cellIs" dxfId="6291" priority="9335" operator="lessThan">
      <formula>0</formula>
    </cfRule>
    <cfRule type="cellIs" dxfId="6290" priority="9336" operator="greaterThan">
      <formula>0</formula>
    </cfRule>
  </conditionalFormatting>
  <conditionalFormatting sqref="OF47">
    <cfRule type="cellIs" dxfId="6289" priority="9333" operator="lessThan">
      <formula>0</formula>
    </cfRule>
    <cfRule type="cellIs" dxfId="6288" priority="9334" operator="greaterThan">
      <formula>0</formula>
    </cfRule>
  </conditionalFormatting>
  <conditionalFormatting sqref="OF44">
    <cfRule type="cellIs" dxfId="6287" priority="9331" operator="lessThan">
      <formula>0</formula>
    </cfRule>
    <cfRule type="cellIs" dxfId="6286" priority="9332" operator="greaterThan">
      <formula>0</formula>
    </cfRule>
  </conditionalFormatting>
  <conditionalFormatting sqref="OF23:OF24">
    <cfRule type="cellIs" dxfId="6285" priority="9327" operator="lessThan">
      <formula>0</formula>
    </cfRule>
    <cfRule type="cellIs" dxfId="6284" priority="9328" operator="greaterThan">
      <formula>0</formula>
    </cfRule>
  </conditionalFormatting>
  <conditionalFormatting sqref="OF33:OF34">
    <cfRule type="cellIs" dxfId="6283" priority="9325" operator="lessThan">
      <formula>0</formula>
    </cfRule>
    <cfRule type="cellIs" dxfId="6282" priority="9326" operator="greaterThan">
      <formula>0</formula>
    </cfRule>
  </conditionalFormatting>
  <conditionalFormatting sqref="OF101">
    <cfRule type="cellIs" dxfId="6281" priority="9317" operator="lessThan">
      <formula>0</formula>
    </cfRule>
    <cfRule type="cellIs" dxfId="6280" priority="9318" operator="greaterThan">
      <formula>0</formula>
    </cfRule>
  </conditionalFormatting>
  <conditionalFormatting sqref="OF104">
    <cfRule type="cellIs" dxfId="6279" priority="9315" operator="lessThan">
      <formula>0</formula>
    </cfRule>
    <cfRule type="cellIs" dxfId="6278" priority="9316" operator="greaterThan">
      <formula>0</formula>
    </cfRule>
  </conditionalFormatting>
  <conditionalFormatting sqref="OF48:OF49">
    <cfRule type="cellIs" dxfId="6277" priority="9281" operator="lessThan">
      <formula>0</formula>
    </cfRule>
    <cfRule type="cellIs" dxfId="6276" priority="9282" operator="greaterThan">
      <formula>0</formula>
    </cfRule>
  </conditionalFormatting>
  <conditionalFormatting sqref="OH98">
    <cfRule type="cellIs" dxfId="6275" priority="9216" operator="lessThan">
      <formula>0</formula>
    </cfRule>
    <cfRule type="cellIs" dxfId="6274" priority="9217" operator="greaterThan">
      <formula>0</formula>
    </cfRule>
  </conditionalFormatting>
  <conditionalFormatting sqref="OH6 OH9:OH11">
    <cfRule type="cellIs" dxfId="6273" priority="9256" operator="lessThan">
      <formula>0</formula>
    </cfRule>
    <cfRule type="cellIs" dxfId="6272" priority="9257" operator="greaterThan">
      <formula>0</formula>
    </cfRule>
  </conditionalFormatting>
  <conditionalFormatting sqref="OH43:OH44">
    <cfRule type="cellIs" dxfId="6271" priority="9220" operator="lessThan">
      <formula>0</formula>
    </cfRule>
    <cfRule type="cellIs" dxfId="6270" priority="9221" operator="greaterThan">
      <formula>0</formula>
    </cfRule>
  </conditionalFormatting>
  <conditionalFormatting sqref="OH11 OH19 OH3 OH24:OH32 OH34:OH42 OH69:OH79">
    <cfRule type="cellIs" dxfId="6269" priority="9266" operator="lessThan">
      <formula>0</formula>
    </cfRule>
    <cfRule type="cellIs" dxfId="6268" priority="9267" operator="greaterThan">
      <formula>0</formula>
    </cfRule>
  </conditionalFormatting>
  <conditionalFormatting sqref="OH4:OH5">
    <cfRule type="cellIs" dxfId="6267" priority="9258" operator="lessThan">
      <formula>0</formula>
    </cfRule>
    <cfRule type="cellIs" dxfId="6266" priority="9259" operator="greaterThan">
      <formula>0</formula>
    </cfRule>
  </conditionalFormatting>
  <conditionalFormatting sqref="OH12:OH13">
    <cfRule type="cellIs" dxfId="6265" priority="9254" operator="lessThan">
      <formula>0</formula>
    </cfRule>
    <cfRule type="cellIs" dxfId="6264" priority="9255" operator="greaterThan">
      <formula>0</formula>
    </cfRule>
  </conditionalFormatting>
  <conditionalFormatting sqref="OH14:OH19">
    <cfRule type="cellIs" dxfId="6263" priority="9252" operator="lessThan">
      <formula>0</formula>
    </cfRule>
    <cfRule type="cellIs" dxfId="6262" priority="9253" operator="greaterThan">
      <formula>0</formula>
    </cfRule>
  </conditionalFormatting>
  <conditionalFormatting sqref="OH20:OH22">
    <cfRule type="cellIs" dxfId="6261" priority="9250" operator="lessThan">
      <formula>0</formula>
    </cfRule>
    <cfRule type="cellIs" dxfId="6260" priority="9251" operator="greaterThan">
      <formula>0</formula>
    </cfRule>
  </conditionalFormatting>
  <conditionalFormatting sqref="OH45:OH46">
    <cfRule type="cellIs" dxfId="6259" priority="9264" operator="lessThan">
      <formula>0</formula>
    </cfRule>
    <cfRule type="cellIs" dxfId="6258" priority="9265" operator="greaterThan">
      <formula>0</formula>
    </cfRule>
  </conditionalFormatting>
  <conditionalFormatting sqref="OH7">
    <cfRule type="cellIs" dxfId="6257" priority="9236" operator="lessThan">
      <formula>0</formula>
    </cfRule>
    <cfRule type="cellIs" dxfId="6256" priority="9237" operator="greaterThan">
      <formula>0</formula>
    </cfRule>
  </conditionalFormatting>
  <conditionalFormatting sqref="OH7">
    <cfRule type="cellIs" dxfId="6255" priority="9234" operator="lessThan">
      <formula>0</formula>
    </cfRule>
    <cfRule type="cellIs" dxfId="6254" priority="9235" operator="greaterThan">
      <formula>0</formula>
    </cfRule>
  </conditionalFormatting>
  <conditionalFormatting sqref="OH8">
    <cfRule type="cellIs" dxfId="6253" priority="9232" operator="lessThan">
      <formula>0</formula>
    </cfRule>
    <cfRule type="cellIs" dxfId="6252" priority="9233" operator="greaterThan">
      <formula>0</formula>
    </cfRule>
  </conditionalFormatting>
  <conditionalFormatting sqref="OH47">
    <cfRule type="cellIs" dxfId="6251" priority="9230" operator="lessThan">
      <formula>0</formula>
    </cfRule>
    <cfRule type="cellIs" dxfId="6250" priority="9231" operator="greaterThan">
      <formula>0</formula>
    </cfRule>
  </conditionalFormatting>
  <conditionalFormatting sqref="OH44">
    <cfRule type="cellIs" dxfId="6249" priority="9228" operator="lessThan">
      <formula>0</formula>
    </cfRule>
    <cfRule type="cellIs" dxfId="6248" priority="9229" operator="greaterThan">
      <formula>0</formula>
    </cfRule>
  </conditionalFormatting>
  <conditionalFormatting sqref="OH23:OH24">
    <cfRule type="cellIs" dxfId="6247" priority="9224" operator="lessThan">
      <formula>0</formula>
    </cfRule>
    <cfRule type="cellIs" dxfId="6246" priority="9225" operator="greaterThan">
      <formula>0</formula>
    </cfRule>
  </conditionalFormatting>
  <conditionalFormatting sqref="OH33:OH34">
    <cfRule type="cellIs" dxfId="6245" priority="9222" operator="lessThan">
      <formula>0</formula>
    </cfRule>
    <cfRule type="cellIs" dxfId="6244" priority="9223" operator="greaterThan">
      <formula>0</formula>
    </cfRule>
  </conditionalFormatting>
  <conditionalFormatting sqref="OH101">
    <cfRule type="cellIs" dxfId="6243" priority="9214" operator="lessThan">
      <formula>0</formula>
    </cfRule>
    <cfRule type="cellIs" dxfId="6242" priority="9215" operator="greaterThan">
      <formula>0</formula>
    </cfRule>
  </conditionalFormatting>
  <conditionalFormatting sqref="OH104">
    <cfRule type="cellIs" dxfId="6241" priority="9212" operator="lessThan">
      <formula>0</formula>
    </cfRule>
    <cfRule type="cellIs" dxfId="6240" priority="9213" operator="greaterThan">
      <formula>0</formula>
    </cfRule>
  </conditionalFormatting>
  <conditionalFormatting sqref="OH48:OH49">
    <cfRule type="cellIs" dxfId="6239" priority="9178" operator="lessThan">
      <formula>0</formula>
    </cfRule>
    <cfRule type="cellIs" dxfId="6238" priority="9179" operator="greaterThan">
      <formula>0</formula>
    </cfRule>
  </conditionalFormatting>
  <conditionalFormatting sqref="OJ98">
    <cfRule type="cellIs" dxfId="6237" priority="9113" operator="lessThan">
      <formula>0</formula>
    </cfRule>
    <cfRule type="cellIs" dxfId="6236" priority="9114" operator="greaterThan">
      <formula>0</formula>
    </cfRule>
  </conditionalFormatting>
  <conditionalFormatting sqref="OJ6 OJ9:OJ11">
    <cfRule type="cellIs" dxfId="6235" priority="9153" operator="lessThan">
      <formula>0</formula>
    </cfRule>
    <cfRule type="cellIs" dxfId="6234" priority="9154" operator="greaterThan">
      <formula>0</formula>
    </cfRule>
  </conditionalFormatting>
  <conditionalFormatting sqref="OJ43:OJ44">
    <cfRule type="cellIs" dxfId="6233" priority="9117" operator="lessThan">
      <formula>0</formula>
    </cfRule>
    <cfRule type="cellIs" dxfId="6232" priority="9118" operator="greaterThan">
      <formula>0</formula>
    </cfRule>
  </conditionalFormatting>
  <conditionalFormatting sqref="OJ11 OJ19 OJ3 OJ24:OJ32 OJ34:OJ42 OJ69:OJ79">
    <cfRule type="cellIs" dxfId="6231" priority="9163" operator="lessThan">
      <formula>0</formula>
    </cfRule>
    <cfRule type="cellIs" dxfId="6230" priority="9164" operator="greaterThan">
      <formula>0</formula>
    </cfRule>
  </conditionalFormatting>
  <conditionalFormatting sqref="OJ4:OJ5">
    <cfRule type="cellIs" dxfId="6229" priority="9155" operator="lessThan">
      <formula>0</formula>
    </cfRule>
    <cfRule type="cellIs" dxfId="6228" priority="9156" operator="greaterThan">
      <formula>0</formula>
    </cfRule>
  </conditionalFormatting>
  <conditionalFormatting sqref="OJ12:OJ13">
    <cfRule type="cellIs" dxfId="6227" priority="9151" operator="lessThan">
      <formula>0</formula>
    </cfRule>
    <cfRule type="cellIs" dxfId="6226" priority="9152" operator="greaterThan">
      <formula>0</formula>
    </cfRule>
  </conditionalFormatting>
  <conditionalFormatting sqref="OJ14:OJ19">
    <cfRule type="cellIs" dxfId="6225" priority="9149" operator="lessThan">
      <formula>0</formula>
    </cfRule>
    <cfRule type="cellIs" dxfId="6224" priority="9150" operator="greaterThan">
      <formula>0</formula>
    </cfRule>
  </conditionalFormatting>
  <conditionalFormatting sqref="OJ20:OJ22">
    <cfRule type="cellIs" dxfId="6223" priority="9147" operator="lessThan">
      <formula>0</formula>
    </cfRule>
    <cfRule type="cellIs" dxfId="6222" priority="9148" operator="greaterThan">
      <formula>0</formula>
    </cfRule>
  </conditionalFormatting>
  <conditionalFormatting sqref="OJ45:OJ46">
    <cfRule type="cellIs" dxfId="6221" priority="9161" operator="lessThan">
      <formula>0</formula>
    </cfRule>
    <cfRule type="cellIs" dxfId="6220" priority="9162" operator="greaterThan">
      <formula>0</formula>
    </cfRule>
  </conditionalFormatting>
  <conditionalFormatting sqref="OJ7">
    <cfRule type="cellIs" dxfId="6219" priority="9133" operator="lessThan">
      <formula>0</formula>
    </cfRule>
    <cfRule type="cellIs" dxfId="6218" priority="9134" operator="greaterThan">
      <formula>0</formula>
    </cfRule>
  </conditionalFormatting>
  <conditionalFormatting sqref="OJ7">
    <cfRule type="cellIs" dxfId="6217" priority="9131" operator="lessThan">
      <formula>0</formula>
    </cfRule>
    <cfRule type="cellIs" dxfId="6216" priority="9132" operator="greaterThan">
      <formula>0</formula>
    </cfRule>
  </conditionalFormatting>
  <conditionalFormatting sqref="OJ8">
    <cfRule type="cellIs" dxfId="6215" priority="9129" operator="lessThan">
      <formula>0</formula>
    </cfRule>
    <cfRule type="cellIs" dxfId="6214" priority="9130" operator="greaterThan">
      <formula>0</formula>
    </cfRule>
  </conditionalFormatting>
  <conditionalFormatting sqref="OJ47">
    <cfRule type="cellIs" dxfId="6213" priority="9127" operator="lessThan">
      <formula>0</formula>
    </cfRule>
    <cfRule type="cellIs" dxfId="6212" priority="9128" operator="greaterThan">
      <formula>0</formula>
    </cfRule>
  </conditionalFormatting>
  <conditionalFormatting sqref="OJ44">
    <cfRule type="cellIs" dxfId="6211" priority="9125" operator="lessThan">
      <formula>0</formula>
    </cfRule>
    <cfRule type="cellIs" dxfId="6210" priority="9126" operator="greaterThan">
      <formula>0</formula>
    </cfRule>
  </conditionalFormatting>
  <conditionalFormatting sqref="OJ23:OJ24">
    <cfRule type="cellIs" dxfId="6209" priority="9121" operator="lessThan">
      <formula>0</formula>
    </cfRule>
    <cfRule type="cellIs" dxfId="6208" priority="9122" operator="greaterThan">
      <formula>0</formula>
    </cfRule>
  </conditionalFormatting>
  <conditionalFormatting sqref="OJ33:OJ34">
    <cfRule type="cellIs" dxfId="6207" priority="9119" operator="lessThan">
      <formula>0</formula>
    </cfRule>
    <cfRule type="cellIs" dxfId="6206" priority="9120" operator="greaterThan">
      <formula>0</formula>
    </cfRule>
  </conditionalFormatting>
  <conditionalFormatting sqref="OJ101">
    <cfRule type="cellIs" dxfId="6205" priority="9111" operator="lessThan">
      <formula>0</formula>
    </cfRule>
    <cfRule type="cellIs" dxfId="6204" priority="9112" operator="greaterThan">
      <formula>0</formula>
    </cfRule>
  </conditionalFormatting>
  <conditionalFormatting sqref="OJ104">
    <cfRule type="cellIs" dxfId="6203" priority="9109" operator="lessThan">
      <formula>0</formula>
    </cfRule>
    <cfRule type="cellIs" dxfId="6202" priority="9110" operator="greaterThan">
      <formula>0</formula>
    </cfRule>
  </conditionalFormatting>
  <conditionalFormatting sqref="OJ48:OJ49">
    <cfRule type="cellIs" dxfId="6201" priority="9075" operator="lessThan">
      <formula>0</formula>
    </cfRule>
    <cfRule type="cellIs" dxfId="6200" priority="9076" operator="greaterThan">
      <formula>0</formula>
    </cfRule>
  </conditionalFormatting>
  <conditionalFormatting sqref="OL98">
    <cfRule type="cellIs" dxfId="6199" priority="9010" operator="lessThan">
      <formula>0</formula>
    </cfRule>
    <cfRule type="cellIs" dxfId="6198" priority="9011" operator="greaterThan">
      <formula>0</formula>
    </cfRule>
  </conditionalFormatting>
  <conditionalFormatting sqref="OL6 OL9:OL11">
    <cfRule type="cellIs" dxfId="6197" priority="9050" operator="lessThan">
      <formula>0</formula>
    </cfRule>
    <cfRule type="cellIs" dxfId="6196" priority="9051" operator="greaterThan">
      <formula>0</formula>
    </cfRule>
  </conditionalFormatting>
  <conditionalFormatting sqref="OL43:OL44">
    <cfRule type="cellIs" dxfId="6195" priority="9014" operator="lessThan">
      <formula>0</formula>
    </cfRule>
    <cfRule type="cellIs" dxfId="6194" priority="9015" operator="greaterThan">
      <formula>0</formula>
    </cfRule>
  </conditionalFormatting>
  <conditionalFormatting sqref="OL11 OL19 OL3 OL24:OL32 OL34:OL42 OL69:OL79">
    <cfRule type="cellIs" dxfId="6193" priority="9060" operator="lessThan">
      <formula>0</formula>
    </cfRule>
    <cfRule type="cellIs" dxfId="6192" priority="9061" operator="greaterThan">
      <formula>0</formula>
    </cfRule>
  </conditionalFormatting>
  <conditionalFormatting sqref="OL4:OL5">
    <cfRule type="cellIs" dxfId="6191" priority="9052" operator="lessThan">
      <formula>0</formula>
    </cfRule>
    <cfRule type="cellIs" dxfId="6190" priority="9053" operator="greaterThan">
      <formula>0</formula>
    </cfRule>
  </conditionalFormatting>
  <conditionalFormatting sqref="OL12:OL13">
    <cfRule type="cellIs" dxfId="6189" priority="9048" operator="lessThan">
      <formula>0</formula>
    </cfRule>
    <cfRule type="cellIs" dxfId="6188" priority="9049" operator="greaterThan">
      <formula>0</formula>
    </cfRule>
  </conditionalFormatting>
  <conditionalFormatting sqref="OL14:OL19">
    <cfRule type="cellIs" dxfId="6187" priority="9046" operator="lessThan">
      <formula>0</formula>
    </cfRule>
    <cfRule type="cellIs" dxfId="6186" priority="9047" operator="greaterThan">
      <formula>0</formula>
    </cfRule>
  </conditionalFormatting>
  <conditionalFormatting sqref="OL20:OL22">
    <cfRule type="cellIs" dxfId="6185" priority="9044" operator="lessThan">
      <formula>0</formula>
    </cfRule>
    <cfRule type="cellIs" dxfId="6184" priority="9045" operator="greaterThan">
      <formula>0</formula>
    </cfRule>
  </conditionalFormatting>
  <conditionalFormatting sqref="OL45:OL46">
    <cfRule type="cellIs" dxfId="6183" priority="9058" operator="lessThan">
      <formula>0</formula>
    </cfRule>
    <cfRule type="cellIs" dxfId="6182" priority="9059" operator="greaterThan">
      <formula>0</formula>
    </cfRule>
  </conditionalFormatting>
  <conditionalFormatting sqref="OL7">
    <cfRule type="cellIs" dxfId="6181" priority="9030" operator="lessThan">
      <formula>0</formula>
    </cfRule>
    <cfRule type="cellIs" dxfId="6180" priority="9031" operator="greaterThan">
      <formula>0</formula>
    </cfRule>
  </conditionalFormatting>
  <conditionalFormatting sqref="OL7">
    <cfRule type="cellIs" dxfId="6179" priority="9028" operator="lessThan">
      <formula>0</formula>
    </cfRule>
    <cfRule type="cellIs" dxfId="6178" priority="9029" operator="greaterThan">
      <formula>0</formula>
    </cfRule>
  </conditionalFormatting>
  <conditionalFormatting sqref="OL8">
    <cfRule type="cellIs" dxfId="6177" priority="9026" operator="lessThan">
      <formula>0</formula>
    </cfRule>
    <cfRule type="cellIs" dxfId="6176" priority="9027" operator="greaterThan">
      <formula>0</formula>
    </cfRule>
  </conditionalFormatting>
  <conditionalFormatting sqref="OL47">
    <cfRule type="cellIs" dxfId="6175" priority="9024" operator="lessThan">
      <formula>0</formula>
    </cfRule>
    <cfRule type="cellIs" dxfId="6174" priority="9025" operator="greaterThan">
      <formula>0</formula>
    </cfRule>
  </conditionalFormatting>
  <conditionalFormatting sqref="OL44">
    <cfRule type="cellIs" dxfId="6173" priority="9022" operator="lessThan">
      <formula>0</formula>
    </cfRule>
    <cfRule type="cellIs" dxfId="6172" priority="9023" operator="greaterThan">
      <formula>0</formula>
    </cfRule>
  </conditionalFormatting>
  <conditionalFormatting sqref="OL23:OL24">
    <cfRule type="cellIs" dxfId="6171" priority="9018" operator="lessThan">
      <formula>0</formula>
    </cfRule>
    <cfRule type="cellIs" dxfId="6170" priority="9019" operator="greaterThan">
      <formula>0</formula>
    </cfRule>
  </conditionalFormatting>
  <conditionalFormatting sqref="OL33:OL34">
    <cfRule type="cellIs" dxfId="6169" priority="9016" operator="lessThan">
      <formula>0</formula>
    </cfRule>
    <cfRule type="cellIs" dxfId="6168" priority="9017" operator="greaterThan">
      <formula>0</formula>
    </cfRule>
  </conditionalFormatting>
  <conditionalFormatting sqref="OL101">
    <cfRule type="cellIs" dxfId="6167" priority="9008" operator="lessThan">
      <formula>0</formula>
    </cfRule>
    <cfRule type="cellIs" dxfId="6166" priority="9009" operator="greaterThan">
      <formula>0</formula>
    </cfRule>
  </conditionalFormatting>
  <conditionalFormatting sqref="OL104">
    <cfRule type="cellIs" dxfId="6165" priority="9006" operator="lessThan">
      <formula>0</formula>
    </cfRule>
    <cfRule type="cellIs" dxfId="6164" priority="9007" operator="greaterThan">
      <formula>0</formula>
    </cfRule>
  </conditionalFormatting>
  <conditionalFormatting sqref="OL48:OL49">
    <cfRule type="cellIs" dxfId="6163" priority="8972" operator="lessThan">
      <formula>0</formula>
    </cfRule>
    <cfRule type="cellIs" dxfId="6162" priority="8973" operator="greaterThan">
      <formula>0</formula>
    </cfRule>
  </conditionalFormatting>
  <conditionalFormatting sqref="ON98">
    <cfRule type="cellIs" dxfId="6161" priority="8907" operator="lessThan">
      <formula>0</formula>
    </cfRule>
    <cfRule type="cellIs" dxfId="6160" priority="8908" operator="greaterThan">
      <formula>0</formula>
    </cfRule>
  </conditionalFormatting>
  <conditionalFormatting sqref="ON6 ON9:ON11">
    <cfRule type="cellIs" dxfId="6159" priority="8947" operator="lessThan">
      <formula>0</formula>
    </cfRule>
    <cfRule type="cellIs" dxfId="6158" priority="8948" operator="greaterThan">
      <formula>0</formula>
    </cfRule>
  </conditionalFormatting>
  <conditionalFormatting sqref="ON43:ON44">
    <cfRule type="cellIs" dxfId="6157" priority="8911" operator="lessThan">
      <formula>0</formula>
    </cfRule>
    <cfRule type="cellIs" dxfId="6156" priority="8912" operator="greaterThan">
      <formula>0</formula>
    </cfRule>
  </conditionalFormatting>
  <conditionalFormatting sqref="ON11 ON19 ON3 ON24:ON32 ON34:ON42 ON69:ON79">
    <cfRule type="cellIs" dxfId="6155" priority="8957" operator="lessThan">
      <formula>0</formula>
    </cfRule>
    <cfRule type="cellIs" dxfId="6154" priority="8958" operator="greaterThan">
      <formula>0</formula>
    </cfRule>
  </conditionalFormatting>
  <conditionalFormatting sqref="ON4:ON5">
    <cfRule type="cellIs" dxfId="6153" priority="8949" operator="lessThan">
      <formula>0</formula>
    </cfRule>
    <cfRule type="cellIs" dxfId="6152" priority="8950" operator="greaterThan">
      <formula>0</formula>
    </cfRule>
  </conditionalFormatting>
  <conditionalFormatting sqref="ON12:ON13">
    <cfRule type="cellIs" dxfId="6151" priority="8945" operator="lessThan">
      <formula>0</formula>
    </cfRule>
    <cfRule type="cellIs" dxfId="6150" priority="8946" operator="greaterThan">
      <formula>0</formula>
    </cfRule>
  </conditionalFormatting>
  <conditionalFormatting sqref="ON14:ON19">
    <cfRule type="cellIs" dxfId="6149" priority="8943" operator="lessThan">
      <formula>0</formula>
    </cfRule>
    <cfRule type="cellIs" dxfId="6148" priority="8944" operator="greaterThan">
      <formula>0</formula>
    </cfRule>
  </conditionalFormatting>
  <conditionalFormatting sqref="ON20:ON22">
    <cfRule type="cellIs" dxfId="6147" priority="8941" operator="lessThan">
      <formula>0</formula>
    </cfRule>
    <cfRule type="cellIs" dxfId="6146" priority="8942" operator="greaterThan">
      <formula>0</formula>
    </cfRule>
  </conditionalFormatting>
  <conditionalFormatting sqref="ON45:ON46">
    <cfRule type="cellIs" dxfId="6145" priority="8955" operator="lessThan">
      <formula>0</formula>
    </cfRule>
    <cfRule type="cellIs" dxfId="6144" priority="8956" operator="greaterThan">
      <formula>0</formula>
    </cfRule>
  </conditionalFormatting>
  <conditionalFormatting sqref="ON7">
    <cfRule type="cellIs" dxfId="6143" priority="8927" operator="lessThan">
      <formula>0</formula>
    </cfRule>
    <cfRule type="cellIs" dxfId="6142" priority="8928" operator="greaterThan">
      <formula>0</formula>
    </cfRule>
  </conditionalFormatting>
  <conditionalFormatting sqref="ON7">
    <cfRule type="cellIs" dxfId="6141" priority="8925" operator="lessThan">
      <formula>0</formula>
    </cfRule>
    <cfRule type="cellIs" dxfId="6140" priority="8926" operator="greaterThan">
      <formula>0</formula>
    </cfRule>
  </conditionalFormatting>
  <conditionalFormatting sqref="ON8">
    <cfRule type="cellIs" dxfId="6139" priority="8923" operator="lessThan">
      <formula>0</formula>
    </cfRule>
    <cfRule type="cellIs" dxfId="6138" priority="8924" operator="greaterThan">
      <formula>0</formula>
    </cfRule>
  </conditionalFormatting>
  <conditionalFormatting sqref="ON47">
    <cfRule type="cellIs" dxfId="6137" priority="8921" operator="lessThan">
      <formula>0</formula>
    </cfRule>
    <cfRule type="cellIs" dxfId="6136" priority="8922" operator="greaterThan">
      <formula>0</formula>
    </cfRule>
  </conditionalFormatting>
  <conditionalFormatting sqref="ON44">
    <cfRule type="cellIs" dxfId="6135" priority="8919" operator="lessThan">
      <formula>0</formula>
    </cfRule>
    <cfRule type="cellIs" dxfId="6134" priority="8920" operator="greaterThan">
      <formula>0</formula>
    </cfRule>
  </conditionalFormatting>
  <conditionalFormatting sqref="ON23:ON24">
    <cfRule type="cellIs" dxfId="6133" priority="8915" operator="lessThan">
      <formula>0</formula>
    </cfRule>
    <cfRule type="cellIs" dxfId="6132" priority="8916" operator="greaterThan">
      <formula>0</formula>
    </cfRule>
  </conditionalFormatting>
  <conditionalFormatting sqref="ON33:ON34">
    <cfRule type="cellIs" dxfId="6131" priority="8913" operator="lessThan">
      <formula>0</formula>
    </cfRule>
    <cfRule type="cellIs" dxfId="6130" priority="8914" operator="greaterThan">
      <formula>0</formula>
    </cfRule>
  </conditionalFormatting>
  <conditionalFormatting sqref="ON101">
    <cfRule type="cellIs" dxfId="6129" priority="8905" operator="lessThan">
      <formula>0</formula>
    </cfRule>
    <cfRule type="cellIs" dxfId="6128" priority="8906" operator="greaterThan">
      <formula>0</formula>
    </cfRule>
  </conditionalFormatting>
  <conditionalFormatting sqref="ON104">
    <cfRule type="cellIs" dxfId="6127" priority="8903" operator="lessThan">
      <formula>0</formula>
    </cfRule>
    <cfRule type="cellIs" dxfId="6126" priority="8904" operator="greaterThan">
      <formula>0</formula>
    </cfRule>
  </conditionalFormatting>
  <conditionalFormatting sqref="ON48:ON49">
    <cfRule type="cellIs" dxfId="6125" priority="8869" operator="lessThan">
      <formula>0</formula>
    </cfRule>
    <cfRule type="cellIs" dxfId="6124" priority="8870" operator="greaterThan">
      <formula>0</formula>
    </cfRule>
  </conditionalFormatting>
  <conditionalFormatting sqref="OP98">
    <cfRule type="cellIs" dxfId="6123" priority="8804" operator="lessThan">
      <formula>0</formula>
    </cfRule>
    <cfRule type="cellIs" dxfId="6122" priority="8805" operator="greaterThan">
      <formula>0</formula>
    </cfRule>
  </conditionalFormatting>
  <conditionalFormatting sqref="OP6 OP9:OP11">
    <cfRule type="cellIs" dxfId="6121" priority="8844" operator="lessThan">
      <formula>0</formula>
    </cfRule>
    <cfRule type="cellIs" dxfId="6120" priority="8845" operator="greaterThan">
      <formula>0</formula>
    </cfRule>
  </conditionalFormatting>
  <conditionalFormatting sqref="OP43:OP44">
    <cfRule type="cellIs" dxfId="6119" priority="8808" operator="lessThan">
      <formula>0</formula>
    </cfRule>
    <cfRule type="cellIs" dxfId="6118" priority="8809" operator="greaterThan">
      <formula>0</formula>
    </cfRule>
  </conditionalFormatting>
  <conditionalFormatting sqref="OP11 OP19 OP3 OP24:OP32 OP34:OP42 OP69:OP79">
    <cfRule type="cellIs" dxfId="6117" priority="8854" operator="lessThan">
      <formula>0</formula>
    </cfRule>
    <cfRule type="cellIs" dxfId="6116" priority="8855" operator="greaterThan">
      <formula>0</formula>
    </cfRule>
  </conditionalFormatting>
  <conditionalFormatting sqref="OP4:OP5">
    <cfRule type="cellIs" dxfId="6115" priority="8846" operator="lessThan">
      <formula>0</formula>
    </cfRule>
    <cfRule type="cellIs" dxfId="6114" priority="8847" operator="greaterThan">
      <formula>0</formula>
    </cfRule>
  </conditionalFormatting>
  <conditionalFormatting sqref="OP12:OP13">
    <cfRule type="cellIs" dxfId="6113" priority="8842" operator="lessThan">
      <formula>0</formula>
    </cfRule>
    <cfRule type="cellIs" dxfId="6112" priority="8843" operator="greaterThan">
      <formula>0</formula>
    </cfRule>
  </conditionalFormatting>
  <conditionalFormatting sqref="OP14:OP19">
    <cfRule type="cellIs" dxfId="6111" priority="8840" operator="lessThan">
      <formula>0</formula>
    </cfRule>
    <cfRule type="cellIs" dxfId="6110" priority="8841" operator="greaterThan">
      <formula>0</formula>
    </cfRule>
  </conditionalFormatting>
  <conditionalFormatting sqref="OP20:OP22">
    <cfRule type="cellIs" dxfId="6109" priority="8838" operator="lessThan">
      <formula>0</formula>
    </cfRule>
    <cfRule type="cellIs" dxfId="6108" priority="8839" operator="greaterThan">
      <formula>0</formula>
    </cfRule>
  </conditionalFormatting>
  <conditionalFormatting sqref="OP45:OP46">
    <cfRule type="cellIs" dxfId="6107" priority="8852" operator="lessThan">
      <formula>0</formula>
    </cfRule>
    <cfRule type="cellIs" dxfId="6106" priority="8853" operator="greaterThan">
      <formula>0</formula>
    </cfRule>
  </conditionalFormatting>
  <conditionalFormatting sqref="OP7">
    <cfRule type="cellIs" dxfId="6105" priority="8824" operator="lessThan">
      <formula>0</formula>
    </cfRule>
    <cfRule type="cellIs" dxfId="6104" priority="8825" operator="greaterThan">
      <formula>0</formula>
    </cfRule>
  </conditionalFormatting>
  <conditionalFormatting sqref="OP7">
    <cfRule type="cellIs" dxfId="6103" priority="8822" operator="lessThan">
      <formula>0</formula>
    </cfRule>
    <cfRule type="cellIs" dxfId="6102" priority="8823" operator="greaterThan">
      <formula>0</formula>
    </cfRule>
  </conditionalFormatting>
  <conditionalFormatting sqref="OP8">
    <cfRule type="cellIs" dxfId="6101" priority="8820" operator="lessThan">
      <formula>0</formula>
    </cfRule>
    <cfRule type="cellIs" dxfId="6100" priority="8821" operator="greaterThan">
      <formula>0</formula>
    </cfRule>
  </conditionalFormatting>
  <conditionalFormatting sqref="OP47">
    <cfRule type="cellIs" dxfId="6099" priority="8818" operator="lessThan">
      <formula>0</formula>
    </cfRule>
    <cfRule type="cellIs" dxfId="6098" priority="8819" operator="greaterThan">
      <formula>0</formula>
    </cfRule>
  </conditionalFormatting>
  <conditionalFormatting sqref="OP44">
    <cfRule type="cellIs" dxfId="6097" priority="8816" operator="lessThan">
      <formula>0</formula>
    </cfRule>
    <cfRule type="cellIs" dxfId="6096" priority="8817" operator="greaterThan">
      <formula>0</formula>
    </cfRule>
  </conditionalFormatting>
  <conditionalFormatting sqref="OP23:OP24">
    <cfRule type="cellIs" dxfId="6095" priority="8812" operator="lessThan">
      <formula>0</formula>
    </cfRule>
    <cfRule type="cellIs" dxfId="6094" priority="8813" operator="greaterThan">
      <formula>0</formula>
    </cfRule>
  </conditionalFormatting>
  <conditionalFormatting sqref="OP33:OP34">
    <cfRule type="cellIs" dxfId="6093" priority="8810" operator="lessThan">
      <formula>0</formula>
    </cfRule>
    <cfRule type="cellIs" dxfId="6092" priority="8811" operator="greaterThan">
      <formula>0</formula>
    </cfRule>
  </conditionalFormatting>
  <conditionalFormatting sqref="OP101">
    <cfRule type="cellIs" dxfId="6091" priority="8802" operator="lessThan">
      <formula>0</formula>
    </cfRule>
    <cfRule type="cellIs" dxfId="6090" priority="8803" operator="greaterThan">
      <formula>0</formula>
    </cfRule>
  </conditionalFormatting>
  <conditionalFormatting sqref="OP104">
    <cfRule type="cellIs" dxfId="6089" priority="8800" operator="lessThan">
      <formula>0</formula>
    </cfRule>
    <cfRule type="cellIs" dxfId="6088" priority="8801" operator="greaterThan">
      <formula>0</formula>
    </cfRule>
  </conditionalFormatting>
  <conditionalFormatting sqref="OP48:OP49">
    <cfRule type="cellIs" dxfId="6087" priority="8766" operator="lessThan">
      <formula>0</formula>
    </cfRule>
    <cfRule type="cellIs" dxfId="6086" priority="8767" operator="greaterThan">
      <formula>0</formula>
    </cfRule>
  </conditionalFormatting>
  <conditionalFormatting sqref="OR98">
    <cfRule type="cellIs" dxfId="6085" priority="8701" operator="lessThan">
      <formula>0</formula>
    </cfRule>
    <cfRule type="cellIs" dxfId="6084" priority="8702" operator="greaterThan">
      <formula>0</formula>
    </cfRule>
  </conditionalFormatting>
  <conditionalFormatting sqref="OR6 OR9:OR11">
    <cfRule type="cellIs" dxfId="6083" priority="8741" operator="lessThan">
      <formula>0</formula>
    </cfRule>
    <cfRule type="cellIs" dxfId="6082" priority="8742" operator="greaterThan">
      <formula>0</formula>
    </cfRule>
  </conditionalFormatting>
  <conditionalFormatting sqref="OR43:OR44">
    <cfRule type="cellIs" dxfId="6081" priority="8705" operator="lessThan">
      <formula>0</formula>
    </cfRule>
    <cfRule type="cellIs" dxfId="6080" priority="8706" operator="greaterThan">
      <formula>0</formula>
    </cfRule>
  </conditionalFormatting>
  <conditionalFormatting sqref="OR11 OR19 OR3 OR24:OR32 OR34:OR42 OR69:OR79">
    <cfRule type="cellIs" dxfId="6079" priority="8751" operator="lessThan">
      <formula>0</formula>
    </cfRule>
    <cfRule type="cellIs" dxfId="6078" priority="8752" operator="greaterThan">
      <formula>0</formula>
    </cfRule>
  </conditionalFormatting>
  <conditionalFormatting sqref="OR4:OR5">
    <cfRule type="cellIs" dxfId="6077" priority="8743" operator="lessThan">
      <formula>0</formula>
    </cfRule>
    <cfRule type="cellIs" dxfId="6076" priority="8744" operator="greaterThan">
      <formula>0</formula>
    </cfRule>
  </conditionalFormatting>
  <conditionalFormatting sqref="OR12:OR13">
    <cfRule type="cellIs" dxfId="6075" priority="8739" operator="lessThan">
      <formula>0</formula>
    </cfRule>
    <cfRule type="cellIs" dxfId="6074" priority="8740" operator="greaterThan">
      <formula>0</formula>
    </cfRule>
  </conditionalFormatting>
  <conditionalFormatting sqref="OR14:OR19">
    <cfRule type="cellIs" dxfId="6073" priority="8737" operator="lessThan">
      <formula>0</formula>
    </cfRule>
    <cfRule type="cellIs" dxfId="6072" priority="8738" operator="greaterThan">
      <formula>0</formula>
    </cfRule>
  </conditionalFormatting>
  <conditionalFormatting sqref="OR20:OR22">
    <cfRule type="cellIs" dxfId="6071" priority="8735" operator="lessThan">
      <formula>0</formula>
    </cfRule>
    <cfRule type="cellIs" dxfId="6070" priority="8736" operator="greaterThan">
      <formula>0</formula>
    </cfRule>
  </conditionalFormatting>
  <conditionalFormatting sqref="OR45:OR46">
    <cfRule type="cellIs" dxfId="6069" priority="8749" operator="lessThan">
      <formula>0</formula>
    </cfRule>
    <cfRule type="cellIs" dxfId="6068" priority="8750" operator="greaterThan">
      <formula>0</formula>
    </cfRule>
  </conditionalFormatting>
  <conditionalFormatting sqref="OR7">
    <cfRule type="cellIs" dxfId="6067" priority="8721" operator="lessThan">
      <formula>0</formula>
    </cfRule>
    <cfRule type="cellIs" dxfId="6066" priority="8722" operator="greaterThan">
      <formula>0</formula>
    </cfRule>
  </conditionalFormatting>
  <conditionalFormatting sqref="OR7">
    <cfRule type="cellIs" dxfId="6065" priority="8719" operator="lessThan">
      <formula>0</formula>
    </cfRule>
    <cfRule type="cellIs" dxfId="6064" priority="8720" operator="greaterThan">
      <formula>0</formula>
    </cfRule>
  </conditionalFormatting>
  <conditionalFormatting sqref="OR8">
    <cfRule type="cellIs" dxfId="6063" priority="8717" operator="lessThan">
      <formula>0</formula>
    </cfRule>
    <cfRule type="cellIs" dxfId="6062" priority="8718" operator="greaterThan">
      <formula>0</formula>
    </cfRule>
  </conditionalFormatting>
  <conditionalFormatting sqref="OR47">
    <cfRule type="cellIs" dxfId="6061" priority="8715" operator="lessThan">
      <formula>0</formula>
    </cfRule>
    <cfRule type="cellIs" dxfId="6060" priority="8716" operator="greaterThan">
      <formula>0</formula>
    </cfRule>
  </conditionalFormatting>
  <conditionalFormatting sqref="OR44">
    <cfRule type="cellIs" dxfId="6059" priority="8713" operator="lessThan">
      <formula>0</formula>
    </cfRule>
    <cfRule type="cellIs" dxfId="6058" priority="8714" operator="greaterThan">
      <formula>0</formula>
    </cfRule>
  </conditionalFormatting>
  <conditionalFormatting sqref="OR23:OR24">
    <cfRule type="cellIs" dxfId="6057" priority="8709" operator="lessThan">
      <formula>0</formula>
    </cfRule>
    <cfRule type="cellIs" dxfId="6056" priority="8710" operator="greaterThan">
      <formula>0</formula>
    </cfRule>
  </conditionalFormatting>
  <conditionalFormatting sqref="OR33:OR34">
    <cfRule type="cellIs" dxfId="6055" priority="8707" operator="lessThan">
      <formula>0</formula>
    </cfRule>
    <cfRule type="cellIs" dxfId="6054" priority="8708" operator="greaterThan">
      <formula>0</formula>
    </cfRule>
  </conditionalFormatting>
  <conditionalFormatting sqref="OR101">
    <cfRule type="cellIs" dxfId="6053" priority="8699" operator="lessThan">
      <formula>0</formula>
    </cfRule>
    <cfRule type="cellIs" dxfId="6052" priority="8700" operator="greaterThan">
      <formula>0</formula>
    </cfRule>
  </conditionalFormatting>
  <conditionalFormatting sqref="OR104">
    <cfRule type="cellIs" dxfId="6051" priority="8697" operator="lessThan">
      <formula>0</formula>
    </cfRule>
    <cfRule type="cellIs" dxfId="6050" priority="8698" operator="greaterThan">
      <formula>0</formula>
    </cfRule>
  </conditionalFormatting>
  <conditionalFormatting sqref="OR48:OR49">
    <cfRule type="cellIs" dxfId="6049" priority="8663" operator="lessThan">
      <formula>0</formula>
    </cfRule>
    <cfRule type="cellIs" dxfId="6048" priority="8664" operator="greaterThan">
      <formula>0</formula>
    </cfRule>
  </conditionalFormatting>
  <conditionalFormatting sqref="OT98">
    <cfRule type="cellIs" dxfId="6047" priority="8598" operator="lessThan">
      <formula>0</formula>
    </cfRule>
    <cfRule type="cellIs" dxfId="6046" priority="8599" operator="greaterThan">
      <formula>0</formula>
    </cfRule>
  </conditionalFormatting>
  <conditionalFormatting sqref="OT6 OT9:OT11">
    <cfRule type="cellIs" dxfId="6045" priority="8638" operator="lessThan">
      <formula>0</formula>
    </cfRule>
    <cfRule type="cellIs" dxfId="6044" priority="8639" operator="greaterThan">
      <formula>0</formula>
    </cfRule>
  </conditionalFormatting>
  <conditionalFormatting sqref="OT43:OT44">
    <cfRule type="cellIs" dxfId="6043" priority="8602" operator="lessThan">
      <formula>0</formula>
    </cfRule>
    <cfRule type="cellIs" dxfId="6042" priority="8603" operator="greaterThan">
      <formula>0</formula>
    </cfRule>
  </conditionalFormatting>
  <conditionalFormatting sqref="OT11 OT19 OT3 OT24:OT32 OT34:OT42 OT69:OT79">
    <cfRule type="cellIs" dxfId="6041" priority="8648" operator="lessThan">
      <formula>0</formula>
    </cfRule>
    <cfRule type="cellIs" dxfId="6040" priority="8649" operator="greaterThan">
      <formula>0</formula>
    </cfRule>
  </conditionalFormatting>
  <conditionalFormatting sqref="OT4:OT5">
    <cfRule type="cellIs" dxfId="6039" priority="8640" operator="lessThan">
      <formula>0</formula>
    </cfRule>
    <cfRule type="cellIs" dxfId="6038" priority="8641" operator="greaterThan">
      <formula>0</formula>
    </cfRule>
  </conditionalFormatting>
  <conditionalFormatting sqref="OT12:OT13">
    <cfRule type="cellIs" dxfId="6037" priority="8636" operator="lessThan">
      <formula>0</formula>
    </cfRule>
    <cfRule type="cellIs" dxfId="6036" priority="8637" operator="greaterThan">
      <formula>0</formula>
    </cfRule>
  </conditionalFormatting>
  <conditionalFormatting sqref="OT14:OT19">
    <cfRule type="cellIs" dxfId="6035" priority="8634" operator="lessThan">
      <formula>0</formula>
    </cfRule>
    <cfRule type="cellIs" dxfId="6034" priority="8635" operator="greaterThan">
      <formula>0</formula>
    </cfRule>
  </conditionalFormatting>
  <conditionalFormatting sqref="OT20:OT22">
    <cfRule type="cellIs" dxfId="6033" priority="8632" operator="lessThan">
      <formula>0</formula>
    </cfRule>
    <cfRule type="cellIs" dxfId="6032" priority="8633" operator="greaterThan">
      <formula>0</formula>
    </cfRule>
  </conditionalFormatting>
  <conditionalFormatting sqref="OT45:OT46">
    <cfRule type="cellIs" dxfId="6031" priority="8646" operator="lessThan">
      <formula>0</formula>
    </cfRule>
    <cfRule type="cellIs" dxfId="6030" priority="8647" operator="greaterThan">
      <formula>0</formula>
    </cfRule>
  </conditionalFormatting>
  <conditionalFormatting sqref="OT7">
    <cfRule type="cellIs" dxfId="6029" priority="8618" operator="lessThan">
      <formula>0</formula>
    </cfRule>
    <cfRule type="cellIs" dxfId="6028" priority="8619" operator="greaterThan">
      <formula>0</formula>
    </cfRule>
  </conditionalFormatting>
  <conditionalFormatting sqref="OT7">
    <cfRule type="cellIs" dxfId="6027" priority="8616" operator="lessThan">
      <formula>0</formula>
    </cfRule>
    <cfRule type="cellIs" dxfId="6026" priority="8617" operator="greaterThan">
      <formula>0</formula>
    </cfRule>
  </conditionalFormatting>
  <conditionalFormatting sqref="OT8">
    <cfRule type="cellIs" dxfId="6025" priority="8614" operator="lessThan">
      <formula>0</formula>
    </cfRule>
    <cfRule type="cellIs" dxfId="6024" priority="8615" operator="greaterThan">
      <formula>0</formula>
    </cfRule>
  </conditionalFormatting>
  <conditionalFormatting sqref="OT47">
    <cfRule type="cellIs" dxfId="6023" priority="8612" operator="lessThan">
      <formula>0</formula>
    </cfRule>
    <cfRule type="cellIs" dxfId="6022" priority="8613" operator="greaterThan">
      <formula>0</formula>
    </cfRule>
  </conditionalFormatting>
  <conditionalFormatting sqref="OT44">
    <cfRule type="cellIs" dxfId="6021" priority="8610" operator="lessThan">
      <formula>0</formula>
    </cfRule>
    <cfRule type="cellIs" dxfId="6020" priority="8611" operator="greaterThan">
      <formula>0</formula>
    </cfRule>
  </conditionalFormatting>
  <conditionalFormatting sqref="OT23:OT24">
    <cfRule type="cellIs" dxfId="6019" priority="8606" operator="lessThan">
      <formula>0</formula>
    </cfRule>
    <cfRule type="cellIs" dxfId="6018" priority="8607" operator="greaterThan">
      <formula>0</formula>
    </cfRule>
  </conditionalFormatting>
  <conditionalFormatting sqref="OT33:OT34">
    <cfRule type="cellIs" dxfId="6017" priority="8604" operator="lessThan">
      <formula>0</formula>
    </cfRule>
    <cfRule type="cellIs" dxfId="6016" priority="8605" operator="greaterThan">
      <formula>0</formula>
    </cfRule>
  </conditionalFormatting>
  <conditionalFormatting sqref="OT101">
    <cfRule type="cellIs" dxfId="6015" priority="8596" operator="lessThan">
      <formula>0</formula>
    </cfRule>
    <cfRule type="cellIs" dxfId="6014" priority="8597" operator="greaterThan">
      <formula>0</formula>
    </cfRule>
  </conditionalFormatting>
  <conditionalFormatting sqref="OT104">
    <cfRule type="cellIs" dxfId="6013" priority="8594" operator="lessThan">
      <formula>0</formula>
    </cfRule>
    <cfRule type="cellIs" dxfId="6012" priority="8595" operator="greaterThan">
      <formula>0</formula>
    </cfRule>
  </conditionalFormatting>
  <conditionalFormatting sqref="OT48:OT49">
    <cfRule type="cellIs" dxfId="6011" priority="8560" operator="lessThan">
      <formula>0</formula>
    </cfRule>
    <cfRule type="cellIs" dxfId="6010" priority="8561" operator="greaterThan">
      <formula>0</formula>
    </cfRule>
  </conditionalFormatting>
  <conditionalFormatting sqref="OV98">
    <cfRule type="cellIs" dxfId="6009" priority="8495" operator="lessThan">
      <formula>0</formula>
    </cfRule>
    <cfRule type="cellIs" dxfId="6008" priority="8496" operator="greaterThan">
      <formula>0</formula>
    </cfRule>
  </conditionalFormatting>
  <conditionalFormatting sqref="OV6 OV9:OV11">
    <cfRule type="cellIs" dxfId="6007" priority="8535" operator="lessThan">
      <formula>0</formula>
    </cfRule>
    <cfRule type="cellIs" dxfId="6006" priority="8536" operator="greaterThan">
      <formula>0</formula>
    </cfRule>
  </conditionalFormatting>
  <conditionalFormatting sqref="OV43:OV44">
    <cfRule type="cellIs" dxfId="6005" priority="8499" operator="lessThan">
      <formula>0</formula>
    </cfRule>
    <cfRule type="cellIs" dxfId="6004" priority="8500" operator="greaterThan">
      <formula>0</formula>
    </cfRule>
  </conditionalFormatting>
  <conditionalFormatting sqref="OV11 OV19 OV3 OV24:OV32 OV34:OV42 OV69:OV79">
    <cfRule type="cellIs" dxfId="6003" priority="8545" operator="lessThan">
      <formula>0</formula>
    </cfRule>
    <cfRule type="cellIs" dxfId="6002" priority="8546" operator="greaterThan">
      <formula>0</formula>
    </cfRule>
  </conditionalFormatting>
  <conditionalFormatting sqref="OV4:OV5">
    <cfRule type="cellIs" dxfId="6001" priority="8537" operator="lessThan">
      <formula>0</formula>
    </cfRule>
    <cfRule type="cellIs" dxfId="6000" priority="8538" operator="greaterThan">
      <formula>0</formula>
    </cfRule>
  </conditionalFormatting>
  <conditionalFormatting sqref="OV12:OV13">
    <cfRule type="cellIs" dxfId="5999" priority="8533" operator="lessThan">
      <formula>0</formula>
    </cfRule>
    <cfRule type="cellIs" dxfId="5998" priority="8534" operator="greaterThan">
      <formula>0</formula>
    </cfRule>
  </conditionalFormatting>
  <conditionalFormatting sqref="OV14:OV19">
    <cfRule type="cellIs" dxfId="5997" priority="8531" operator="lessThan">
      <formula>0</formula>
    </cfRule>
    <cfRule type="cellIs" dxfId="5996" priority="8532" operator="greaterThan">
      <formula>0</formula>
    </cfRule>
  </conditionalFormatting>
  <conditionalFormatting sqref="OV20:OV22">
    <cfRule type="cellIs" dxfId="5995" priority="8529" operator="lessThan">
      <formula>0</formula>
    </cfRule>
    <cfRule type="cellIs" dxfId="5994" priority="8530" operator="greaterThan">
      <formula>0</formula>
    </cfRule>
  </conditionalFormatting>
  <conditionalFormatting sqref="OV45:OV46">
    <cfRule type="cellIs" dxfId="5993" priority="8543" operator="lessThan">
      <formula>0</formula>
    </cfRule>
    <cfRule type="cellIs" dxfId="5992" priority="8544" operator="greaterThan">
      <formula>0</formula>
    </cfRule>
  </conditionalFormatting>
  <conditionalFormatting sqref="OV7">
    <cfRule type="cellIs" dxfId="5991" priority="8515" operator="lessThan">
      <formula>0</formula>
    </cfRule>
    <cfRule type="cellIs" dxfId="5990" priority="8516" operator="greaterThan">
      <formula>0</formula>
    </cfRule>
  </conditionalFormatting>
  <conditionalFormatting sqref="OV7">
    <cfRule type="cellIs" dxfId="5989" priority="8513" operator="lessThan">
      <formula>0</formula>
    </cfRule>
    <cfRule type="cellIs" dxfId="5988" priority="8514" operator="greaterThan">
      <formula>0</formula>
    </cfRule>
  </conditionalFormatting>
  <conditionalFormatting sqref="OV8">
    <cfRule type="cellIs" dxfId="5987" priority="8511" operator="lessThan">
      <formula>0</formula>
    </cfRule>
    <cfRule type="cellIs" dxfId="5986" priority="8512" operator="greaterThan">
      <formula>0</formula>
    </cfRule>
  </conditionalFormatting>
  <conditionalFormatting sqref="OV47">
    <cfRule type="cellIs" dxfId="5985" priority="8509" operator="lessThan">
      <formula>0</formula>
    </cfRule>
    <cfRule type="cellIs" dxfId="5984" priority="8510" operator="greaterThan">
      <formula>0</formula>
    </cfRule>
  </conditionalFormatting>
  <conditionalFormatting sqref="OV44">
    <cfRule type="cellIs" dxfId="5983" priority="8507" operator="lessThan">
      <formula>0</formula>
    </cfRule>
    <cfRule type="cellIs" dxfId="5982" priority="8508" operator="greaterThan">
      <formula>0</formula>
    </cfRule>
  </conditionalFormatting>
  <conditionalFormatting sqref="OV23:OV24">
    <cfRule type="cellIs" dxfId="5981" priority="8503" operator="lessThan">
      <formula>0</formula>
    </cfRule>
    <cfRule type="cellIs" dxfId="5980" priority="8504" operator="greaterThan">
      <formula>0</formula>
    </cfRule>
  </conditionalFormatting>
  <conditionalFormatting sqref="OV33:OV34">
    <cfRule type="cellIs" dxfId="5979" priority="8501" operator="lessThan">
      <formula>0</formula>
    </cfRule>
    <cfRule type="cellIs" dxfId="5978" priority="8502" operator="greaterThan">
      <formula>0</formula>
    </cfRule>
  </conditionalFormatting>
  <conditionalFormatting sqref="OV101">
    <cfRule type="cellIs" dxfId="5977" priority="8493" operator="lessThan">
      <formula>0</formula>
    </cfRule>
    <cfRule type="cellIs" dxfId="5976" priority="8494" operator="greaterThan">
      <formula>0</formula>
    </cfRule>
  </conditionalFormatting>
  <conditionalFormatting sqref="OV104">
    <cfRule type="cellIs" dxfId="5975" priority="8491" operator="lessThan">
      <formula>0</formula>
    </cfRule>
    <cfRule type="cellIs" dxfId="5974" priority="8492" operator="greaterThan">
      <formula>0</formula>
    </cfRule>
  </conditionalFormatting>
  <conditionalFormatting sqref="OV48:OV49">
    <cfRule type="cellIs" dxfId="5973" priority="8457" operator="lessThan">
      <formula>0</formula>
    </cfRule>
    <cfRule type="cellIs" dxfId="5972" priority="8458" operator="greaterThan">
      <formula>0</formula>
    </cfRule>
  </conditionalFormatting>
  <conditionalFormatting sqref="OX98">
    <cfRule type="cellIs" dxfId="5971" priority="8392" operator="lessThan">
      <formula>0</formula>
    </cfRule>
    <cfRule type="cellIs" dxfId="5970" priority="8393" operator="greaterThan">
      <formula>0</formula>
    </cfRule>
  </conditionalFormatting>
  <conditionalFormatting sqref="OX6 OX9:OX11">
    <cfRule type="cellIs" dxfId="5969" priority="8432" operator="lessThan">
      <formula>0</formula>
    </cfRule>
    <cfRule type="cellIs" dxfId="5968" priority="8433" operator="greaterThan">
      <formula>0</formula>
    </cfRule>
  </conditionalFormatting>
  <conditionalFormatting sqref="OX43:OX44">
    <cfRule type="cellIs" dxfId="5967" priority="8396" operator="lessThan">
      <formula>0</formula>
    </cfRule>
    <cfRule type="cellIs" dxfId="5966" priority="8397" operator="greaterThan">
      <formula>0</formula>
    </cfRule>
  </conditionalFormatting>
  <conditionalFormatting sqref="OX11 OX19 OX3 OX24:OX32 OX34:OX42 OX69:OX79">
    <cfRule type="cellIs" dxfId="5965" priority="8442" operator="lessThan">
      <formula>0</formula>
    </cfRule>
    <cfRule type="cellIs" dxfId="5964" priority="8443" operator="greaterThan">
      <formula>0</formula>
    </cfRule>
  </conditionalFormatting>
  <conditionalFormatting sqref="OX4:OX5">
    <cfRule type="cellIs" dxfId="5963" priority="8434" operator="lessThan">
      <formula>0</formula>
    </cfRule>
    <cfRule type="cellIs" dxfId="5962" priority="8435" operator="greaterThan">
      <formula>0</formula>
    </cfRule>
  </conditionalFormatting>
  <conditionalFormatting sqref="OX12:OX13">
    <cfRule type="cellIs" dxfId="5961" priority="8430" operator="lessThan">
      <formula>0</formula>
    </cfRule>
    <cfRule type="cellIs" dxfId="5960" priority="8431" operator="greaterThan">
      <formula>0</formula>
    </cfRule>
  </conditionalFormatting>
  <conditionalFormatting sqref="OX14:OX19">
    <cfRule type="cellIs" dxfId="5959" priority="8428" operator="lessThan">
      <formula>0</formula>
    </cfRule>
    <cfRule type="cellIs" dxfId="5958" priority="8429" operator="greaterThan">
      <formula>0</formula>
    </cfRule>
  </conditionalFormatting>
  <conditionalFormatting sqref="OX20:OX22">
    <cfRule type="cellIs" dxfId="5957" priority="8426" operator="lessThan">
      <formula>0</formula>
    </cfRule>
    <cfRule type="cellIs" dxfId="5956" priority="8427" operator="greaterThan">
      <formula>0</formula>
    </cfRule>
  </conditionalFormatting>
  <conditionalFormatting sqref="OX45:OX46">
    <cfRule type="cellIs" dxfId="5955" priority="8440" operator="lessThan">
      <formula>0</formula>
    </cfRule>
    <cfRule type="cellIs" dxfId="5954" priority="8441" operator="greaterThan">
      <formula>0</formula>
    </cfRule>
  </conditionalFormatting>
  <conditionalFormatting sqref="OX7">
    <cfRule type="cellIs" dxfId="5953" priority="8412" operator="lessThan">
      <formula>0</formula>
    </cfRule>
    <cfRule type="cellIs" dxfId="5952" priority="8413" operator="greaterThan">
      <formula>0</formula>
    </cfRule>
  </conditionalFormatting>
  <conditionalFormatting sqref="OX7">
    <cfRule type="cellIs" dxfId="5951" priority="8410" operator="lessThan">
      <formula>0</formula>
    </cfRule>
    <cfRule type="cellIs" dxfId="5950" priority="8411" operator="greaterThan">
      <formula>0</formula>
    </cfRule>
  </conditionalFormatting>
  <conditionalFormatting sqref="OX8">
    <cfRule type="cellIs" dxfId="5949" priority="8408" operator="lessThan">
      <formula>0</formula>
    </cfRule>
    <cfRule type="cellIs" dxfId="5948" priority="8409" operator="greaterThan">
      <formula>0</formula>
    </cfRule>
  </conditionalFormatting>
  <conditionalFormatting sqref="OX47">
    <cfRule type="cellIs" dxfId="5947" priority="8406" operator="lessThan">
      <formula>0</formula>
    </cfRule>
    <cfRule type="cellIs" dxfId="5946" priority="8407" operator="greaterThan">
      <formula>0</formula>
    </cfRule>
  </conditionalFormatting>
  <conditionalFormatting sqref="OX44">
    <cfRule type="cellIs" dxfId="5945" priority="8404" operator="lessThan">
      <formula>0</formula>
    </cfRule>
    <cfRule type="cellIs" dxfId="5944" priority="8405" operator="greaterThan">
      <formula>0</formula>
    </cfRule>
  </conditionalFormatting>
  <conditionalFormatting sqref="OX23:OX24">
    <cfRule type="cellIs" dxfId="5943" priority="8400" operator="lessThan">
      <formula>0</formula>
    </cfRule>
    <cfRule type="cellIs" dxfId="5942" priority="8401" operator="greaterThan">
      <formula>0</formula>
    </cfRule>
  </conditionalFormatting>
  <conditionalFormatting sqref="OX33:OX34">
    <cfRule type="cellIs" dxfId="5941" priority="8398" operator="lessThan">
      <formula>0</formula>
    </cfRule>
    <cfRule type="cellIs" dxfId="5940" priority="8399" operator="greaterThan">
      <formula>0</formula>
    </cfRule>
  </conditionalFormatting>
  <conditionalFormatting sqref="OX101">
    <cfRule type="cellIs" dxfId="5939" priority="8390" operator="lessThan">
      <formula>0</formula>
    </cfRule>
    <cfRule type="cellIs" dxfId="5938" priority="8391" operator="greaterThan">
      <formula>0</formula>
    </cfRule>
  </conditionalFormatting>
  <conditionalFormatting sqref="OX104">
    <cfRule type="cellIs" dxfId="5937" priority="8388" operator="lessThan">
      <formula>0</formula>
    </cfRule>
    <cfRule type="cellIs" dxfId="5936" priority="8389" operator="greaterThan">
      <formula>0</formula>
    </cfRule>
  </conditionalFormatting>
  <conditionalFormatting sqref="OX48:OX49">
    <cfRule type="cellIs" dxfId="5935" priority="8354" operator="lessThan">
      <formula>0</formula>
    </cfRule>
    <cfRule type="cellIs" dxfId="5934" priority="8355" operator="greaterThan">
      <formula>0</formula>
    </cfRule>
  </conditionalFormatting>
  <conditionalFormatting sqref="OZ98">
    <cfRule type="cellIs" dxfId="5933" priority="8289" operator="lessThan">
      <formula>0</formula>
    </cfRule>
    <cfRule type="cellIs" dxfId="5932" priority="8290" operator="greaterThan">
      <formula>0</formula>
    </cfRule>
  </conditionalFormatting>
  <conditionalFormatting sqref="OZ6 OZ9:OZ11">
    <cfRule type="cellIs" dxfId="5931" priority="8329" operator="lessThan">
      <formula>0</formula>
    </cfRule>
    <cfRule type="cellIs" dxfId="5930" priority="8330" operator="greaterThan">
      <formula>0</formula>
    </cfRule>
  </conditionalFormatting>
  <conditionalFormatting sqref="OZ43:OZ44">
    <cfRule type="cellIs" dxfId="5929" priority="8293" operator="lessThan">
      <formula>0</formula>
    </cfRule>
    <cfRule type="cellIs" dxfId="5928" priority="8294" operator="greaterThan">
      <formula>0</formula>
    </cfRule>
  </conditionalFormatting>
  <conditionalFormatting sqref="OZ11 OZ19 OZ3 OZ24:OZ32 OZ34:OZ42 OZ69:OZ79">
    <cfRule type="cellIs" dxfId="5927" priority="8339" operator="lessThan">
      <formula>0</formula>
    </cfRule>
    <cfRule type="cellIs" dxfId="5926" priority="8340" operator="greaterThan">
      <formula>0</formula>
    </cfRule>
  </conditionalFormatting>
  <conditionalFormatting sqref="OZ4:OZ5">
    <cfRule type="cellIs" dxfId="5925" priority="8331" operator="lessThan">
      <formula>0</formula>
    </cfRule>
    <cfRule type="cellIs" dxfId="5924" priority="8332" operator="greaterThan">
      <formula>0</formula>
    </cfRule>
  </conditionalFormatting>
  <conditionalFormatting sqref="OZ12:OZ13">
    <cfRule type="cellIs" dxfId="5923" priority="8327" operator="lessThan">
      <formula>0</formula>
    </cfRule>
    <cfRule type="cellIs" dxfId="5922" priority="8328" operator="greaterThan">
      <formula>0</formula>
    </cfRule>
  </conditionalFormatting>
  <conditionalFormatting sqref="OZ14:OZ19">
    <cfRule type="cellIs" dxfId="5921" priority="8325" operator="lessThan">
      <formula>0</formula>
    </cfRule>
    <cfRule type="cellIs" dxfId="5920" priority="8326" operator="greaterThan">
      <formula>0</formula>
    </cfRule>
  </conditionalFormatting>
  <conditionalFormatting sqref="OZ20:OZ22">
    <cfRule type="cellIs" dxfId="5919" priority="8323" operator="lessThan">
      <formula>0</formula>
    </cfRule>
    <cfRule type="cellIs" dxfId="5918" priority="8324" operator="greaterThan">
      <formula>0</formula>
    </cfRule>
  </conditionalFormatting>
  <conditionalFormatting sqref="OZ45:OZ46">
    <cfRule type="cellIs" dxfId="5917" priority="8337" operator="lessThan">
      <formula>0</formula>
    </cfRule>
    <cfRule type="cellIs" dxfId="5916" priority="8338" operator="greaterThan">
      <formula>0</formula>
    </cfRule>
  </conditionalFormatting>
  <conditionalFormatting sqref="OZ7">
    <cfRule type="cellIs" dxfId="5915" priority="8309" operator="lessThan">
      <formula>0</formula>
    </cfRule>
    <cfRule type="cellIs" dxfId="5914" priority="8310" operator="greaterThan">
      <formula>0</formula>
    </cfRule>
  </conditionalFormatting>
  <conditionalFormatting sqref="OZ7">
    <cfRule type="cellIs" dxfId="5913" priority="8307" operator="lessThan">
      <formula>0</formula>
    </cfRule>
    <cfRule type="cellIs" dxfId="5912" priority="8308" operator="greaterThan">
      <formula>0</formula>
    </cfRule>
  </conditionalFormatting>
  <conditionalFormatting sqref="OZ8">
    <cfRule type="cellIs" dxfId="5911" priority="8305" operator="lessThan">
      <formula>0</formula>
    </cfRule>
    <cfRule type="cellIs" dxfId="5910" priority="8306" operator="greaterThan">
      <formula>0</formula>
    </cfRule>
  </conditionalFormatting>
  <conditionalFormatting sqref="OZ47">
    <cfRule type="cellIs" dxfId="5909" priority="8303" operator="lessThan">
      <formula>0</formula>
    </cfRule>
    <cfRule type="cellIs" dxfId="5908" priority="8304" operator="greaterThan">
      <formula>0</formula>
    </cfRule>
  </conditionalFormatting>
  <conditionalFormatting sqref="OZ44">
    <cfRule type="cellIs" dxfId="5907" priority="8301" operator="lessThan">
      <formula>0</formula>
    </cfRule>
    <cfRule type="cellIs" dxfId="5906" priority="8302" operator="greaterThan">
      <formula>0</formula>
    </cfRule>
  </conditionalFormatting>
  <conditionalFormatting sqref="OZ23:OZ24">
    <cfRule type="cellIs" dxfId="5905" priority="8297" operator="lessThan">
      <formula>0</formula>
    </cfRule>
    <cfRule type="cellIs" dxfId="5904" priority="8298" operator="greaterThan">
      <formula>0</formula>
    </cfRule>
  </conditionalFormatting>
  <conditionalFormatting sqref="OZ33:OZ34">
    <cfRule type="cellIs" dxfId="5903" priority="8295" operator="lessThan">
      <formula>0</formula>
    </cfRule>
    <cfRule type="cellIs" dxfId="5902" priority="8296" operator="greaterThan">
      <formula>0</formula>
    </cfRule>
  </conditionalFormatting>
  <conditionalFormatting sqref="OZ101">
    <cfRule type="cellIs" dxfId="5901" priority="8287" operator="lessThan">
      <formula>0</formula>
    </cfRule>
    <cfRule type="cellIs" dxfId="5900" priority="8288" operator="greaterThan">
      <formula>0</formula>
    </cfRule>
  </conditionalFormatting>
  <conditionalFormatting sqref="OZ104">
    <cfRule type="cellIs" dxfId="5899" priority="8285" operator="lessThan">
      <formula>0</formula>
    </cfRule>
    <cfRule type="cellIs" dxfId="5898" priority="8286" operator="greaterThan">
      <formula>0</formula>
    </cfRule>
  </conditionalFormatting>
  <conditionalFormatting sqref="OZ48:OZ49">
    <cfRule type="cellIs" dxfId="5897" priority="8251" operator="lessThan">
      <formula>0</formula>
    </cfRule>
    <cfRule type="cellIs" dxfId="5896" priority="8252" operator="greaterThan">
      <formula>0</formula>
    </cfRule>
  </conditionalFormatting>
  <conditionalFormatting sqref="PB98">
    <cfRule type="cellIs" dxfId="5895" priority="8155" operator="lessThan">
      <formula>0</formula>
    </cfRule>
    <cfRule type="cellIs" dxfId="5894" priority="8156" operator="greaterThan">
      <formula>0</formula>
    </cfRule>
  </conditionalFormatting>
  <conditionalFormatting sqref="PB6 PB9:PB11">
    <cfRule type="cellIs" dxfId="5893" priority="8195" operator="lessThan">
      <formula>0</formula>
    </cfRule>
    <cfRule type="cellIs" dxfId="5892" priority="8196" operator="greaterThan">
      <formula>0</formula>
    </cfRule>
  </conditionalFormatting>
  <conditionalFormatting sqref="PB43:PB44">
    <cfRule type="cellIs" dxfId="5891" priority="8159" operator="lessThan">
      <formula>0</formula>
    </cfRule>
    <cfRule type="cellIs" dxfId="5890" priority="8160" operator="greaterThan">
      <formula>0</formula>
    </cfRule>
  </conditionalFormatting>
  <conditionalFormatting sqref="PB11 PB19 PB3 PB24:PB32 PB34:PB42 PB69:PB79">
    <cfRule type="cellIs" dxfId="5889" priority="8205" operator="lessThan">
      <formula>0</formula>
    </cfRule>
    <cfRule type="cellIs" dxfId="5888" priority="8206" operator="greaterThan">
      <formula>0</formula>
    </cfRule>
  </conditionalFormatting>
  <conditionalFormatting sqref="PB4:PB5">
    <cfRule type="cellIs" dxfId="5887" priority="8197" operator="lessThan">
      <formula>0</formula>
    </cfRule>
    <cfRule type="cellIs" dxfId="5886" priority="8198" operator="greaterThan">
      <formula>0</formula>
    </cfRule>
  </conditionalFormatting>
  <conditionalFormatting sqref="PB12:PB13">
    <cfRule type="cellIs" dxfId="5885" priority="8193" operator="lessThan">
      <formula>0</formula>
    </cfRule>
    <cfRule type="cellIs" dxfId="5884" priority="8194" operator="greaterThan">
      <formula>0</formula>
    </cfRule>
  </conditionalFormatting>
  <conditionalFormatting sqref="PB14:PB19">
    <cfRule type="cellIs" dxfId="5883" priority="8191" operator="lessThan">
      <formula>0</formula>
    </cfRule>
    <cfRule type="cellIs" dxfId="5882" priority="8192" operator="greaterThan">
      <formula>0</formula>
    </cfRule>
  </conditionalFormatting>
  <conditionalFormatting sqref="PB20:PB22">
    <cfRule type="cellIs" dxfId="5881" priority="8189" operator="lessThan">
      <formula>0</formula>
    </cfRule>
    <cfRule type="cellIs" dxfId="5880" priority="8190" operator="greaterThan">
      <formula>0</formula>
    </cfRule>
  </conditionalFormatting>
  <conditionalFormatting sqref="PB45:PB46">
    <cfRule type="cellIs" dxfId="5879" priority="8203" operator="lessThan">
      <formula>0</formula>
    </cfRule>
    <cfRule type="cellIs" dxfId="5878" priority="8204" operator="greaterThan">
      <formula>0</formula>
    </cfRule>
  </conditionalFormatting>
  <conditionalFormatting sqref="PB7">
    <cfRule type="cellIs" dxfId="5877" priority="8175" operator="lessThan">
      <formula>0</formula>
    </cfRule>
    <cfRule type="cellIs" dxfId="5876" priority="8176" operator="greaterThan">
      <formula>0</formula>
    </cfRule>
  </conditionalFormatting>
  <conditionalFormatting sqref="PB7">
    <cfRule type="cellIs" dxfId="5875" priority="8173" operator="lessThan">
      <formula>0</formula>
    </cfRule>
    <cfRule type="cellIs" dxfId="5874" priority="8174" operator="greaterThan">
      <formula>0</formula>
    </cfRule>
  </conditionalFormatting>
  <conditionalFormatting sqref="PB8">
    <cfRule type="cellIs" dxfId="5873" priority="8171" operator="lessThan">
      <formula>0</formula>
    </cfRule>
    <cfRule type="cellIs" dxfId="5872" priority="8172" operator="greaterThan">
      <formula>0</formula>
    </cfRule>
  </conditionalFormatting>
  <conditionalFormatting sqref="PB47">
    <cfRule type="cellIs" dxfId="5871" priority="8169" operator="lessThan">
      <formula>0</formula>
    </cfRule>
    <cfRule type="cellIs" dxfId="5870" priority="8170" operator="greaterThan">
      <formula>0</formula>
    </cfRule>
  </conditionalFormatting>
  <conditionalFormatting sqref="PB44">
    <cfRule type="cellIs" dxfId="5869" priority="8167" operator="lessThan">
      <formula>0</formula>
    </cfRule>
    <cfRule type="cellIs" dxfId="5868" priority="8168" operator="greaterThan">
      <formula>0</formula>
    </cfRule>
  </conditionalFormatting>
  <conditionalFormatting sqref="PB23:PB24">
    <cfRule type="cellIs" dxfId="5867" priority="8163" operator="lessThan">
      <formula>0</formula>
    </cfRule>
    <cfRule type="cellIs" dxfId="5866" priority="8164" operator="greaterThan">
      <formula>0</formula>
    </cfRule>
  </conditionalFormatting>
  <conditionalFormatting sqref="PB33:PB34">
    <cfRule type="cellIs" dxfId="5865" priority="8161" operator="lessThan">
      <formula>0</formula>
    </cfRule>
    <cfRule type="cellIs" dxfId="5864" priority="8162" operator="greaterThan">
      <formula>0</formula>
    </cfRule>
  </conditionalFormatting>
  <conditionalFormatting sqref="PB101">
    <cfRule type="cellIs" dxfId="5863" priority="8153" operator="lessThan">
      <formula>0</formula>
    </cfRule>
    <cfRule type="cellIs" dxfId="5862" priority="8154" operator="greaterThan">
      <formula>0</formula>
    </cfRule>
  </conditionalFormatting>
  <conditionalFormatting sqref="PB104">
    <cfRule type="cellIs" dxfId="5861" priority="8151" operator="lessThan">
      <formula>0</formula>
    </cfRule>
    <cfRule type="cellIs" dxfId="5860" priority="8152" operator="greaterThan">
      <formula>0</formula>
    </cfRule>
  </conditionalFormatting>
  <conditionalFormatting sqref="PB48:PB49">
    <cfRule type="cellIs" dxfId="5859" priority="8117" operator="lessThan">
      <formula>0</formula>
    </cfRule>
    <cfRule type="cellIs" dxfId="5858" priority="8118" operator="greaterThan">
      <formula>0</formula>
    </cfRule>
  </conditionalFormatting>
  <conditionalFormatting sqref="PD98">
    <cfRule type="cellIs" dxfId="5857" priority="8052" operator="lessThan">
      <formula>0</formula>
    </cfRule>
    <cfRule type="cellIs" dxfId="5856" priority="8053" operator="greaterThan">
      <formula>0</formula>
    </cfRule>
  </conditionalFormatting>
  <conditionalFormatting sqref="PD6 PD9:PD11">
    <cfRule type="cellIs" dxfId="5855" priority="8092" operator="lessThan">
      <formula>0</formula>
    </cfRule>
    <cfRule type="cellIs" dxfId="5854" priority="8093" operator="greaterThan">
      <formula>0</formula>
    </cfRule>
  </conditionalFormatting>
  <conditionalFormatting sqref="PD43:PD44">
    <cfRule type="cellIs" dxfId="5853" priority="8056" operator="lessThan">
      <formula>0</formula>
    </cfRule>
    <cfRule type="cellIs" dxfId="5852" priority="8057" operator="greaterThan">
      <formula>0</formula>
    </cfRule>
  </conditionalFormatting>
  <conditionalFormatting sqref="PD11 PD19 PD3 PD24:PD32 PD34:PD42 PD69:PD79">
    <cfRule type="cellIs" dxfId="5851" priority="8102" operator="lessThan">
      <formula>0</formula>
    </cfRule>
    <cfRule type="cellIs" dxfId="5850" priority="8103" operator="greaterThan">
      <formula>0</formula>
    </cfRule>
  </conditionalFormatting>
  <conditionalFormatting sqref="PD4:PD5">
    <cfRule type="cellIs" dxfId="5849" priority="8094" operator="lessThan">
      <formula>0</formula>
    </cfRule>
    <cfRule type="cellIs" dxfId="5848" priority="8095" operator="greaterThan">
      <formula>0</formula>
    </cfRule>
  </conditionalFormatting>
  <conditionalFormatting sqref="PD12:PD13">
    <cfRule type="cellIs" dxfId="5847" priority="8090" operator="lessThan">
      <formula>0</formula>
    </cfRule>
    <cfRule type="cellIs" dxfId="5846" priority="8091" operator="greaterThan">
      <formula>0</formula>
    </cfRule>
  </conditionalFormatting>
  <conditionalFormatting sqref="PD14:PD19">
    <cfRule type="cellIs" dxfId="5845" priority="8088" operator="lessThan">
      <formula>0</formula>
    </cfRule>
    <cfRule type="cellIs" dxfId="5844" priority="8089" operator="greaterThan">
      <formula>0</formula>
    </cfRule>
  </conditionalFormatting>
  <conditionalFormatting sqref="PD20:PD22">
    <cfRule type="cellIs" dxfId="5843" priority="8086" operator="lessThan">
      <formula>0</formula>
    </cfRule>
    <cfRule type="cellIs" dxfId="5842" priority="8087" operator="greaterThan">
      <formula>0</formula>
    </cfRule>
  </conditionalFormatting>
  <conditionalFormatting sqref="PD45:PD46">
    <cfRule type="cellIs" dxfId="5841" priority="8100" operator="lessThan">
      <formula>0</formula>
    </cfRule>
    <cfRule type="cellIs" dxfId="5840" priority="8101" operator="greaterThan">
      <formula>0</formula>
    </cfRule>
  </conditionalFormatting>
  <conditionalFormatting sqref="PD7">
    <cfRule type="cellIs" dxfId="5839" priority="8072" operator="lessThan">
      <formula>0</formula>
    </cfRule>
    <cfRule type="cellIs" dxfId="5838" priority="8073" operator="greaterThan">
      <formula>0</formula>
    </cfRule>
  </conditionalFormatting>
  <conditionalFormatting sqref="PD7">
    <cfRule type="cellIs" dxfId="5837" priority="8070" operator="lessThan">
      <formula>0</formula>
    </cfRule>
    <cfRule type="cellIs" dxfId="5836" priority="8071" operator="greaterThan">
      <formula>0</formula>
    </cfRule>
  </conditionalFormatting>
  <conditionalFormatting sqref="PD8">
    <cfRule type="cellIs" dxfId="5835" priority="8068" operator="lessThan">
      <formula>0</formula>
    </cfRule>
    <cfRule type="cellIs" dxfId="5834" priority="8069" operator="greaterThan">
      <formula>0</formula>
    </cfRule>
  </conditionalFormatting>
  <conditionalFormatting sqref="PD47">
    <cfRule type="cellIs" dxfId="5833" priority="8066" operator="lessThan">
      <formula>0</formula>
    </cfRule>
    <cfRule type="cellIs" dxfId="5832" priority="8067" operator="greaterThan">
      <formula>0</formula>
    </cfRule>
  </conditionalFormatting>
  <conditionalFormatting sqref="PD44">
    <cfRule type="cellIs" dxfId="5831" priority="8064" operator="lessThan">
      <formula>0</formula>
    </cfRule>
    <cfRule type="cellIs" dxfId="5830" priority="8065" operator="greaterThan">
      <formula>0</formula>
    </cfRule>
  </conditionalFormatting>
  <conditionalFormatting sqref="PD23:PD24">
    <cfRule type="cellIs" dxfId="5829" priority="8060" operator="lessThan">
      <formula>0</formula>
    </cfRule>
    <cfRule type="cellIs" dxfId="5828" priority="8061" operator="greaterThan">
      <formula>0</formula>
    </cfRule>
  </conditionalFormatting>
  <conditionalFormatting sqref="PD33:PD34">
    <cfRule type="cellIs" dxfId="5827" priority="8058" operator="lessThan">
      <formula>0</formula>
    </cfRule>
    <cfRule type="cellIs" dxfId="5826" priority="8059" operator="greaterThan">
      <formula>0</formula>
    </cfRule>
  </conditionalFormatting>
  <conditionalFormatting sqref="PD101">
    <cfRule type="cellIs" dxfId="5825" priority="8050" operator="lessThan">
      <formula>0</formula>
    </cfRule>
    <cfRule type="cellIs" dxfId="5824" priority="8051" operator="greaterThan">
      <formula>0</formula>
    </cfRule>
  </conditionalFormatting>
  <conditionalFormatting sqref="PD104">
    <cfRule type="cellIs" dxfId="5823" priority="8048" operator="lessThan">
      <formula>0</formula>
    </cfRule>
    <cfRule type="cellIs" dxfId="5822" priority="8049" operator="greaterThan">
      <formula>0</formula>
    </cfRule>
  </conditionalFormatting>
  <conditionalFormatting sqref="PD48:PD49">
    <cfRule type="cellIs" dxfId="5821" priority="8014" operator="lessThan">
      <formula>0</formula>
    </cfRule>
    <cfRule type="cellIs" dxfId="5820" priority="8015" operator="greaterThan">
      <formula>0</formula>
    </cfRule>
  </conditionalFormatting>
  <conditionalFormatting sqref="PF98">
    <cfRule type="cellIs" dxfId="5819" priority="7949" operator="lessThan">
      <formula>0</formula>
    </cfRule>
    <cfRule type="cellIs" dxfId="5818" priority="7950" operator="greaterThan">
      <formula>0</formula>
    </cfRule>
  </conditionalFormatting>
  <conditionalFormatting sqref="PF6 PF9:PF11">
    <cfRule type="cellIs" dxfId="5817" priority="7989" operator="lessThan">
      <formula>0</formula>
    </cfRule>
    <cfRule type="cellIs" dxfId="5816" priority="7990" operator="greaterThan">
      <formula>0</formula>
    </cfRule>
  </conditionalFormatting>
  <conditionalFormatting sqref="PF43:PF44">
    <cfRule type="cellIs" dxfId="5815" priority="7953" operator="lessThan">
      <formula>0</formula>
    </cfRule>
    <cfRule type="cellIs" dxfId="5814" priority="7954" operator="greaterThan">
      <formula>0</formula>
    </cfRule>
  </conditionalFormatting>
  <conditionalFormatting sqref="PF11 PF19 PF3 PF24:PF32 PF34:PF42 PF69:PF79">
    <cfRule type="cellIs" dxfId="5813" priority="7999" operator="lessThan">
      <formula>0</formula>
    </cfRule>
    <cfRule type="cellIs" dxfId="5812" priority="8000" operator="greaterThan">
      <formula>0</formula>
    </cfRule>
  </conditionalFormatting>
  <conditionalFormatting sqref="PF4:PF5">
    <cfRule type="cellIs" dxfId="5811" priority="7991" operator="lessThan">
      <formula>0</formula>
    </cfRule>
    <cfRule type="cellIs" dxfId="5810" priority="7992" operator="greaterThan">
      <formula>0</formula>
    </cfRule>
  </conditionalFormatting>
  <conditionalFormatting sqref="PF12:PF13">
    <cfRule type="cellIs" dxfId="5809" priority="7987" operator="lessThan">
      <formula>0</formula>
    </cfRule>
    <cfRule type="cellIs" dxfId="5808" priority="7988" operator="greaterThan">
      <formula>0</formula>
    </cfRule>
  </conditionalFormatting>
  <conditionalFormatting sqref="PF14:PF19">
    <cfRule type="cellIs" dxfId="5807" priority="7985" operator="lessThan">
      <formula>0</formula>
    </cfRule>
    <cfRule type="cellIs" dxfId="5806" priority="7986" operator="greaterThan">
      <formula>0</formula>
    </cfRule>
  </conditionalFormatting>
  <conditionalFormatting sqref="PF20:PF22">
    <cfRule type="cellIs" dxfId="5805" priority="7983" operator="lessThan">
      <formula>0</formula>
    </cfRule>
    <cfRule type="cellIs" dxfId="5804" priority="7984" operator="greaterThan">
      <formula>0</formula>
    </cfRule>
  </conditionalFormatting>
  <conditionalFormatting sqref="PF45:PF46">
    <cfRule type="cellIs" dxfId="5803" priority="7997" operator="lessThan">
      <formula>0</formula>
    </cfRule>
    <cfRule type="cellIs" dxfId="5802" priority="7998" operator="greaterThan">
      <formula>0</formula>
    </cfRule>
  </conditionalFormatting>
  <conditionalFormatting sqref="PF7">
    <cfRule type="cellIs" dxfId="5801" priority="7969" operator="lessThan">
      <formula>0</formula>
    </cfRule>
    <cfRule type="cellIs" dxfId="5800" priority="7970" operator="greaterThan">
      <formula>0</formula>
    </cfRule>
  </conditionalFormatting>
  <conditionalFormatting sqref="PF7">
    <cfRule type="cellIs" dxfId="5799" priority="7967" operator="lessThan">
      <formula>0</formula>
    </cfRule>
    <cfRule type="cellIs" dxfId="5798" priority="7968" operator="greaterThan">
      <formula>0</formula>
    </cfRule>
  </conditionalFormatting>
  <conditionalFormatting sqref="PF8">
    <cfRule type="cellIs" dxfId="5797" priority="7965" operator="lessThan">
      <formula>0</formula>
    </cfRule>
    <cfRule type="cellIs" dxfId="5796" priority="7966" operator="greaterThan">
      <formula>0</formula>
    </cfRule>
  </conditionalFormatting>
  <conditionalFormatting sqref="PF47">
    <cfRule type="cellIs" dxfId="5795" priority="7963" operator="lessThan">
      <formula>0</formula>
    </cfRule>
    <cfRule type="cellIs" dxfId="5794" priority="7964" operator="greaterThan">
      <formula>0</formula>
    </cfRule>
  </conditionalFormatting>
  <conditionalFormatting sqref="PF44">
    <cfRule type="cellIs" dxfId="5793" priority="7961" operator="lessThan">
      <formula>0</formula>
    </cfRule>
    <cfRule type="cellIs" dxfId="5792" priority="7962" operator="greaterThan">
      <formula>0</formula>
    </cfRule>
  </conditionalFormatting>
  <conditionalFormatting sqref="PF23:PF24">
    <cfRule type="cellIs" dxfId="5791" priority="7957" operator="lessThan">
      <formula>0</formula>
    </cfRule>
    <cfRule type="cellIs" dxfId="5790" priority="7958" operator="greaterThan">
      <formula>0</formula>
    </cfRule>
  </conditionalFormatting>
  <conditionalFormatting sqref="PF33:PF34">
    <cfRule type="cellIs" dxfId="5789" priority="7955" operator="lessThan">
      <formula>0</formula>
    </cfRule>
    <cfRule type="cellIs" dxfId="5788" priority="7956" operator="greaterThan">
      <formula>0</formula>
    </cfRule>
  </conditionalFormatting>
  <conditionalFormatting sqref="PF101">
    <cfRule type="cellIs" dxfId="5787" priority="7947" operator="lessThan">
      <formula>0</formula>
    </cfRule>
    <cfRule type="cellIs" dxfId="5786" priority="7948" operator="greaterThan">
      <formula>0</formula>
    </cfRule>
  </conditionalFormatting>
  <conditionalFormatting sqref="PF104">
    <cfRule type="cellIs" dxfId="5785" priority="7945" operator="lessThan">
      <formula>0</formula>
    </cfRule>
    <cfRule type="cellIs" dxfId="5784" priority="7946" operator="greaterThan">
      <formula>0</formula>
    </cfRule>
  </conditionalFormatting>
  <conditionalFormatting sqref="PF48:PF49">
    <cfRule type="cellIs" dxfId="5783" priority="7911" operator="lessThan">
      <formula>0</formula>
    </cfRule>
    <cfRule type="cellIs" dxfId="5782" priority="7912" operator="greaterThan">
      <formula>0</formula>
    </cfRule>
  </conditionalFormatting>
  <conditionalFormatting sqref="PH98">
    <cfRule type="cellIs" dxfId="5781" priority="7727" operator="lessThan">
      <formula>0</formula>
    </cfRule>
    <cfRule type="cellIs" dxfId="5780" priority="7728" operator="greaterThan">
      <formula>0</formula>
    </cfRule>
  </conditionalFormatting>
  <conditionalFormatting sqref="PH6 PH9:PH11">
    <cfRule type="cellIs" dxfId="5779" priority="7767" operator="lessThan">
      <formula>0</formula>
    </cfRule>
    <cfRule type="cellIs" dxfId="5778" priority="7768" operator="greaterThan">
      <formula>0</formula>
    </cfRule>
  </conditionalFormatting>
  <conditionalFormatting sqref="PH43:PH44">
    <cfRule type="cellIs" dxfId="5777" priority="7731" operator="lessThan">
      <formula>0</formula>
    </cfRule>
    <cfRule type="cellIs" dxfId="5776" priority="7732" operator="greaterThan">
      <formula>0</formula>
    </cfRule>
  </conditionalFormatting>
  <conditionalFormatting sqref="PH11 PH19 PH3 PH24:PH32 PH34:PH42 PH69:PH79">
    <cfRule type="cellIs" dxfId="5775" priority="7777" operator="lessThan">
      <formula>0</formula>
    </cfRule>
    <cfRule type="cellIs" dxfId="5774" priority="7778" operator="greaterThan">
      <formula>0</formula>
    </cfRule>
  </conditionalFormatting>
  <conditionalFormatting sqref="PH4:PH5">
    <cfRule type="cellIs" dxfId="5773" priority="7769" operator="lessThan">
      <formula>0</formula>
    </cfRule>
    <cfRule type="cellIs" dxfId="5772" priority="7770" operator="greaterThan">
      <formula>0</formula>
    </cfRule>
  </conditionalFormatting>
  <conditionalFormatting sqref="PH12:PH13">
    <cfRule type="cellIs" dxfId="5771" priority="7765" operator="lessThan">
      <formula>0</formula>
    </cfRule>
    <cfRule type="cellIs" dxfId="5770" priority="7766" operator="greaterThan">
      <formula>0</formula>
    </cfRule>
  </conditionalFormatting>
  <conditionalFormatting sqref="PH14:PH19">
    <cfRule type="cellIs" dxfId="5769" priority="7763" operator="lessThan">
      <formula>0</formula>
    </cfRule>
    <cfRule type="cellIs" dxfId="5768" priority="7764" operator="greaterThan">
      <formula>0</formula>
    </cfRule>
  </conditionalFormatting>
  <conditionalFormatting sqref="PH20:PH22">
    <cfRule type="cellIs" dxfId="5767" priority="7761" operator="lessThan">
      <formula>0</formula>
    </cfRule>
    <cfRule type="cellIs" dxfId="5766" priority="7762" operator="greaterThan">
      <formula>0</formula>
    </cfRule>
  </conditionalFormatting>
  <conditionalFormatting sqref="PH45:PH46">
    <cfRule type="cellIs" dxfId="5765" priority="7775" operator="lessThan">
      <formula>0</formula>
    </cfRule>
    <cfRule type="cellIs" dxfId="5764" priority="7776" operator="greaterThan">
      <formula>0</formula>
    </cfRule>
  </conditionalFormatting>
  <conditionalFormatting sqref="PH7">
    <cfRule type="cellIs" dxfId="5763" priority="7747" operator="lessThan">
      <formula>0</formula>
    </cfRule>
    <cfRule type="cellIs" dxfId="5762" priority="7748" operator="greaterThan">
      <formula>0</formula>
    </cfRule>
  </conditionalFormatting>
  <conditionalFormatting sqref="PH7">
    <cfRule type="cellIs" dxfId="5761" priority="7745" operator="lessThan">
      <formula>0</formula>
    </cfRule>
    <cfRule type="cellIs" dxfId="5760" priority="7746" operator="greaterThan">
      <formula>0</formula>
    </cfRule>
  </conditionalFormatting>
  <conditionalFormatting sqref="PH8">
    <cfRule type="cellIs" dxfId="5759" priority="7743" operator="lessThan">
      <formula>0</formula>
    </cfRule>
    <cfRule type="cellIs" dxfId="5758" priority="7744" operator="greaterThan">
      <formula>0</formula>
    </cfRule>
  </conditionalFormatting>
  <conditionalFormatting sqref="PH47">
    <cfRule type="cellIs" dxfId="5757" priority="7741" operator="lessThan">
      <formula>0</formula>
    </cfRule>
    <cfRule type="cellIs" dxfId="5756" priority="7742" operator="greaterThan">
      <formula>0</formula>
    </cfRule>
  </conditionalFormatting>
  <conditionalFormatting sqref="PH44">
    <cfRule type="cellIs" dxfId="5755" priority="7739" operator="lessThan">
      <formula>0</formula>
    </cfRule>
    <cfRule type="cellIs" dxfId="5754" priority="7740" operator="greaterThan">
      <formula>0</formula>
    </cfRule>
  </conditionalFormatting>
  <conditionalFormatting sqref="PH23:PH24">
    <cfRule type="cellIs" dxfId="5753" priority="7735" operator="lessThan">
      <formula>0</formula>
    </cfRule>
    <cfRule type="cellIs" dxfId="5752" priority="7736" operator="greaterThan">
      <formula>0</formula>
    </cfRule>
  </conditionalFormatting>
  <conditionalFormatting sqref="PH33:PH34">
    <cfRule type="cellIs" dxfId="5751" priority="7733" operator="lessThan">
      <formula>0</formula>
    </cfRule>
    <cfRule type="cellIs" dxfId="5750" priority="7734" operator="greaterThan">
      <formula>0</formula>
    </cfRule>
  </conditionalFormatting>
  <conditionalFormatting sqref="PH101">
    <cfRule type="cellIs" dxfId="5749" priority="7725" operator="lessThan">
      <formula>0</formula>
    </cfRule>
    <cfRule type="cellIs" dxfId="5748" priority="7726" operator="greaterThan">
      <formula>0</formula>
    </cfRule>
  </conditionalFormatting>
  <conditionalFormatting sqref="PH104">
    <cfRule type="cellIs" dxfId="5747" priority="7723" operator="lessThan">
      <formula>0</formula>
    </cfRule>
    <cfRule type="cellIs" dxfId="5746" priority="7724" operator="greaterThan">
      <formula>0</formula>
    </cfRule>
  </conditionalFormatting>
  <conditionalFormatting sqref="PH48:PH49">
    <cfRule type="cellIs" dxfId="5745" priority="7689" operator="lessThan">
      <formula>0</formula>
    </cfRule>
    <cfRule type="cellIs" dxfId="5744" priority="7690" operator="greaterThan">
      <formula>0</formula>
    </cfRule>
  </conditionalFormatting>
  <conditionalFormatting sqref="PJ98">
    <cfRule type="cellIs" dxfId="5743" priority="7624" operator="lessThan">
      <formula>0</formula>
    </cfRule>
    <cfRule type="cellIs" dxfId="5742" priority="7625" operator="greaterThan">
      <formula>0</formula>
    </cfRule>
  </conditionalFormatting>
  <conditionalFormatting sqref="PJ6 PJ9:PJ11">
    <cfRule type="cellIs" dxfId="5741" priority="7664" operator="lessThan">
      <formula>0</formula>
    </cfRule>
    <cfRule type="cellIs" dxfId="5740" priority="7665" operator="greaterThan">
      <formula>0</formula>
    </cfRule>
  </conditionalFormatting>
  <conditionalFormatting sqref="PJ43:PJ44">
    <cfRule type="cellIs" dxfId="5739" priority="7628" operator="lessThan">
      <formula>0</formula>
    </cfRule>
    <cfRule type="cellIs" dxfId="5738" priority="7629" operator="greaterThan">
      <formula>0</formula>
    </cfRule>
  </conditionalFormatting>
  <conditionalFormatting sqref="PJ11 PJ19 PJ3 PJ24:PJ32 PJ34:PJ42 PJ69:PJ79">
    <cfRule type="cellIs" dxfId="5737" priority="7674" operator="lessThan">
      <formula>0</formula>
    </cfRule>
    <cfRule type="cellIs" dxfId="5736" priority="7675" operator="greaterThan">
      <formula>0</formula>
    </cfRule>
  </conditionalFormatting>
  <conditionalFormatting sqref="PJ4:PJ5">
    <cfRule type="cellIs" dxfId="5735" priority="7666" operator="lessThan">
      <formula>0</formula>
    </cfRule>
    <cfRule type="cellIs" dxfId="5734" priority="7667" operator="greaterThan">
      <formula>0</formula>
    </cfRule>
  </conditionalFormatting>
  <conditionalFormatting sqref="PJ12:PJ13">
    <cfRule type="cellIs" dxfId="5733" priority="7662" operator="lessThan">
      <formula>0</formula>
    </cfRule>
    <cfRule type="cellIs" dxfId="5732" priority="7663" operator="greaterThan">
      <formula>0</formula>
    </cfRule>
  </conditionalFormatting>
  <conditionalFormatting sqref="PJ14:PJ19">
    <cfRule type="cellIs" dxfId="5731" priority="7660" operator="lessThan">
      <formula>0</formula>
    </cfRule>
    <cfRule type="cellIs" dxfId="5730" priority="7661" operator="greaterThan">
      <formula>0</formula>
    </cfRule>
  </conditionalFormatting>
  <conditionalFormatting sqref="PJ20:PJ22">
    <cfRule type="cellIs" dxfId="5729" priority="7658" operator="lessThan">
      <formula>0</formula>
    </cfRule>
    <cfRule type="cellIs" dxfId="5728" priority="7659" operator="greaterThan">
      <formula>0</formula>
    </cfRule>
  </conditionalFormatting>
  <conditionalFormatting sqref="PJ45:PJ46">
    <cfRule type="cellIs" dxfId="5727" priority="7672" operator="lessThan">
      <formula>0</formula>
    </cfRule>
    <cfRule type="cellIs" dxfId="5726" priority="7673" operator="greaterThan">
      <formula>0</formula>
    </cfRule>
  </conditionalFormatting>
  <conditionalFormatting sqref="PJ7">
    <cfRule type="cellIs" dxfId="5725" priority="7644" operator="lessThan">
      <formula>0</formula>
    </cfRule>
    <cfRule type="cellIs" dxfId="5724" priority="7645" operator="greaterThan">
      <formula>0</formula>
    </cfRule>
  </conditionalFormatting>
  <conditionalFormatting sqref="PJ7">
    <cfRule type="cellIs" dxfId="5723" priority="7642" operator="lessThan">
      <formula>0</formula>
    </cfRule>
    <cfRule type="cellIs" dxfId="5722" priority="7643" operator="greaterThan">
      <formula>0</formula>
    </cfRule>
  </conditionalFormatting>
  <conditionalFormatting sqref="PJ8">
    <cfRule type="cellIs" dxfId="5721" priority="7640" operator="lessThan">
      <formula>0</formula>
    </cfRule>
    <cfRule type="cellIs" dxfId="5720" priority="7641" operator="greaterThan">
      <formula>0</formula>
    </cfRule>
  </conditionalFormatting>
  <conditionalFormatting sqref="PJ47">
    <cfRule type="cellIs" dxfId="5719" priority="7638" operator="lessThan">
      <formula>0</formula>
    </cfRule>
    <cfRule type="cellIs" dxfId="5718" priority="7639" operator="greaterThan">
      <formula>0</formula>
    </cfRule>
  </conditionalFormatting>
  <conditionalFormatting sqref="PJ44">
    <cfRule type="cellIs" dxfId="5717" priority="7636" operator="lessThan">
      <formula>0</formula>
    </cfRule>
    <cfRule type="cellIs" dxfId="5716" priority="7637" operator="greaterThan">
      <formula>0</formula>
    </cfRule>
  </conditionalFormatting>
  <conditionalFormatting sqref="PJ23:PJ24">
    <cfRule type="cellIs" dxfId="5715" priority="7632" operator="lessThan">
      <formula>0</formula>
    </cfRule>
    <cfRule type="cellIs" dxfId="5714" priority="7633" operator="greaterThan">
      <formula>0</formula>
    </cfRule>
  </conditionalFormatting>
  <conditionalFormatting sqref="PJ33:PJ34">
    <cfRule type="cellIs" dxfId="5713" priority="7630" operator="lessThan">
      <formula>0</formula>
    </cfRule>
    <cfRule type="cellIs" dxfId="5712" priority="7631" operator="greaterThan">
      <formula>0</formula>
    </cfRule>
  </conditionalFormatting>
  <conditionalFormatting sqref="PJ101">
    <cfRule type="cellIs" dxfId="5711" priority="7622" operator="lessThan">
      <formula>0</formula>
    </cfRule>
    <cfRule type="cellIs" dxfId="5710" priority="7623" operator="greaterThan">
      <formula>0</formula>
    </cfRule>
  </conditionalFormatting>
  <conditionalFormatting sqref="PJ104">
    <cfRule type="cellIs" dxfId="5709" priority="7620" operator="lessThan">
      <formula>0</formula>
    </cfRule>
    <cfRule type="cellIs" dxfId="5708" priority="7621" operator="greaterThan">
      <formula>0</formula>
    </cfRule>
  </conditionalFormatting>
  <conditionalFormatting sqref="PJ48:PJ49">
    <cfRule type="cellIs" dxfId="5707" priority="7586" operator="lessThan">
      <formula>0</formula>
    </cfRule>
    <cfRule type="cellIs" dxfId="5706" priority="7587" operator="greaterThan">
      <formula>0</formula>
    </cfRule>
  </conditionalFormatting>
  <conditionalFormatting sqref="PL98">
    <cfRule type="cellIs" dxfId="5705" priority="7521" operator="lessThan">
      <formula>0</formula>
    </cfRule>
    <cfRule type="cellIs" dxfId="5704" priority="7522" operator="greaterThan">
      <formula>0</formula>
    </cfRule>
  </conditionalFormatting>
  <conditionalFormatting sqref="PL6 PL9:PL11">
    <cfRule type="cellIs" dxfId="5703" priority="7561" operator="lessThan">
      <formula>0</formula>
    </cfRule>
    <cfRule type="cellIs" dxfId="5702" priority="7562" operator="greaterThan">
      <formula>0</formula>
    </cfRule>
  </conditionalFormatting>
  <conditionalFormatting sqref="PL43:PL44">
    <cfRule type="cellIs" dxfId="5701" priority="7525" operator="lessThan">
      <formula>0</formula>
    </cfRule>
    <cfRule type="cellIs" dxfId="5700" priority="7526" operator="greaterThan">
      <formula>0</formula>
    </cfRule>
  </conditionalFormatting>
  <conditionalFormatting sqref="PL11 PL19 PL3 PL24:PL32 PL34:PL42 PL69:PL79">
    <cfRule type="cellIs" dxfId="5699" priority="7571" operator="lessThan">
      <formula>0</formula>
    </cfRule>
    <cfRule type="cellIs" dxfId="5698" priority="7572" operator="greaterThan">
      <formula>0</formula>
    </cfRule>
  </conditionalFormatting>
  <conditionalFormatting sqref="PL4:PL5">
    <cfRule type="cellIs" dxfId="5697" priority="7563" operator="lessThan">
      <formula>0</formula>
    </cfRule>
    <cfRule type="cellIs" dxfId="5696" priority="7564" operator="greaterThan">
      <formula>0</formula>
    </cfRule>
  </conditionalFormatting>
  <conditionalFormatting sqref="PL12:PL13">
    <cfRule type="cellIs" dxfId="5695" priority="7559" operator="lessThan">
      <formula>0</formula>
    </cfRule>
    <cfRule type="cellIs" dxfId="5694" priority="7560" operator="greaterThan">
      <formula>0</formula>
    </cfRule>
  </conditionalFormatting>
  <conditionalFormatting sqref="PL14:PL19">
    <cfRule type="cellIs" dxfId="5693" priority="7557" operator="lessThan">
      <formula>0</formula>
    </cfRule>
    <cfRule type="cellIs" dxfId="5692" priority="7558" operator="greaterThan">
      <formula>0</formula>
    </cfRule>
  </conditionalFormatting>
  <conditionalFormatting sqref="PL20:PL22">
    <cfRule type="cellIs" dxfId="5691" priority="7555" operator="lessThan">
      <formula>0</formula>
    </cfRule>
    <cfRule type="cellIs" dxfId="5690" priority="7556" operator="greaterThan">
      <formula>0</formula>
    </cfRule>
  </conditionalFormatting>
  <conditionalFormatting sqref="PL45:PL46">
    <cfRule type="cellIs" dxfId="5689" priority="7569" operator="lessThan">
      <formula>0</formula>
    </cfRule>
    <cfRule type="cellIs" dxfId="5688" priority="7570" operator="greaterThan">
      <formula>0</formula>
    </cfRule>
  </conditionalFormatting>
  <conditionalFormatting sqref="PL7">
    <cfRule type="cellIs" dxfId="5687" priority="7541" operator="lessThan">
      <formula>0</formula>
    </cfRule>
    <cfRule type="cellIs" dxfId="5686" priority="7542" operator="greaterThan">
      <formula>0</formula>
    </cfRule>
  </conditionalFormatting>
  <conditionalFormatting sqref="PL7">
    <cfRule type="cellIs" dxfId="5685" priority="7539" operator="lessThan">
      <formula>0</formula>
    </cfRule>
    <cfRule type="cellIs" dxfId="5684" priority="7540" operator="greaterThan">
      <formula>0</formula>
    </cfRule>
  </conditionalFormatting>
  <conditionalFormatting sqref="PL8">
    <cfRule type="cellIs" dxfId="5683" priority="7537" operator="lessThan">
      <formula>0</formula>
    </cfRule>
    <cfRule type="cellIs" dxfId="5682" priority="7538" operator="greaterThan">
      <formula>0</formula>
    </cfRule>
  </conditionalFormatting>
  <conditionalFormatting sqref="PL47">
    <cfRule type="cellIs" dxfId="5681" priority="7535" operator="lessThan">
      <formula>0</formula>
    </cfRule>
    <cfRule type="cellIs" dxfId="5680" priority="7536" operator="greaterThan">
      <formula>0</formula>
    </cfRule>
  </conditionalFormatting>
  <conditionalFormatting sqref="PL44">
    <cfRule type="cellIs" dxfId="5679" priority="7533" operator="lessThan">
      <formula>0</formula>
    </cfRule>
    <cfRule type="cellIs" dxfId="5678" priority="7534" operator="greaterThan">
      <formula>0</formula>
    </cfRule>
  </conditionalFormatting>
  <conditionalFormatting sqref="PL23:PL24">
    <cfRule type="cellIs" dxfId="5677" priority="7529" operator="lessThan">
      <formula>0</formula>
    </cfRule>
    <cfRule type="cellIs" dxfId="5676" priority="7530" operator="greaterThan">
      <formula>0</formula>
    </cfRule>
  </conditionalFormatting>
  <conditionalFormatting sqref="PL33:PL34">
    <cfRule type="cellIs" dxfId="5675" priority="7527" operator="lessThan">
      <formula>0</formula>
    </cfRule>
    <cfRule type="cellIs" dxfId="5674" priority="7528" operator="greaterThan">
      <formula>0</formula>
    </cfRule>
  </conditionalFormatting>
  <conditionalFormatting sqref="PL101">
    <cfRule type="cellIs" dxfId="5673" priority="7519" operator="lessThan">
      <formula>0</formula>
    </cfRule>
    <cfRule type="cellIs" dxfId="5672" priority="7520" operator="greaterThan">
      <formula>0</formula>
    </cfRule>
  </conditionalFormatting>
  <conditionalFormatting sqref="PL104">
    <cfRule type="cellIs" dxfId="5671" priority="7517" operator="lessThan">
      <formula>0</formula>
    </cfRule>
    <cfRule type="cellIs" dxfId="5670" priority="7518" operator="greaterThan">
      <formula>0</formula>
    </cfRule>
  </conditionalFormatting>
  <conditionalFormatting sqref="PL48:PL49">
    <cfRule type="cellIs" dxfId="5669" priority="7483" operator="lessThan">
      <formula>0</formula>
    </cfRule>
    <cfRule type="cellIs" dxfId="5668" priority="7484" operator="greaterThan">
      <formula>0</formula>
    </cfRule>
  </conditionalFormatting>
  <conditionalFormatting sqref="PN98">
    <cfRule type="cellIs" dxfId="5667" priority="7418" operator="lessThan">
      <formula>0</formula>
    </cfRule>
    <cfRule type="cellIs" dxfId="5666" priority="7419" operator="greaterThan">
      <formula>0</formula>
    </cfRule>
  </conditionalFormatting>
  <conditionalFormatting sqref="PN6 PN9:PN11">
    <cfRule type="cellIs" dxfId="5665" priority="7458" operator="lessThan">
      <formula>0</formula>
    </cfRule>
    <cfRule type="cellIs" dxfId="5664" priority="7459" operator="greaterThan">
      <formula>0</formula>
    </cfRule>
  </conditionalFormatting>
  <conditionalFormatting sqref="PN43:PN44">
    <cfRule type="cellIs" dxfId="5663" priority="7422" operator="lessThan">
      <formula>0</formula>
    </cfRule>
    <cfRule type="cellIs" dxfId="5662" priority="7423" operator="greaterThan">
      <formula>0</formula>
    </cfRule>
  </conditionalFormatting>
  <conditionalFormatting sqref="PN11 PN19 PN3 PN24:PN32 PN34:PN42 PN69:PN79">
    <cfRule type="cellIs" dxfId="5661" priority="7468" operator="lessThan">
      <formula>0</formula>
    </cfRule>
    <cfRule type="cellIs" dxfId="5660" priority="7469" operator="greaterThan">
      <formula>0</formula>
    </cfRule>
  </conditionalFormatting>
  <conditionalFormatting sqref="PN4:PN5">
    <cfRule type="cellIs" dxfId="5659" priority="7460" operator="lessThan">
      <formula>0</formula>
    </cfRule>
    <cfRule type="cellIs" dxfId="5658" priority="7461" operator="greaterThan">
      <formula>0</formula>
    </cfRule>
  </conditionalFormatting>
  <conditionalFormatting sqref="PN12:PN13">
    <cfRule type="cellIs" dxfId="5657" priority="7456" operator="lessThan">
      <formula>0</formula>
    </cfRule>
    <cfRule type="cellIs" dxfId="5656" priority="7457" operator="greaterThan">
      <formula>0</formula>
    </cfRule>
  </conditionalFormatting>
  <conditionalFormatting sqref="PN14:PN19">
    <cfRule type="cellIs" dxfId="5655" priority="7454" operator="lessThan">
      <formula>0</formula>
    </cfRule>
    <cfRule type="cellIs" dxfId="5654" priority="7455" operator="greaterThan">
      <formula>0</formula>
    </cfRule>
  </conditionalFormatting>
  <conditionalFormatting sqref="PN20:PN22">
    <cfRule type="cellIs" dxfId="5653" priority="7452" operator="lessThan">
      <formula>0</formula>
    </cfRule>
    <cfRule type="cellIs" dxfId="5652" priority="7453" operator="greaterThan">
      <formula>0</formula>
    </cfRule>
  </conditionalFormatting>
  <conditionalFormatting sqref="PN45:PN46">
    <cfRule type="cellIs" dxfId="5651" priority="7466" operator="lessThan">
      <formula>0</formula>
    </cfRule>
    <cfRule type="cellIs" dxfId="5650" priority="7467" operator="greaterThan">
      <formula>0</formula>
    </cfRule>
  </conditionalFormatting>
  <conditionalFormatting sqref="PN7">
    <cfRule type="cellIs" dxfId="5649" priority="7438" operator="lessThan">
      <formula>0</formula>
    </cfRule>
    <cfRule type="cellIs" dxfId="5648" priority="7439" operator="greaterThan">
      <formula>0</formula>
    </cfRule>
  </conditionalFormatting>
  <conditionalFormatting sqref="PN7">
    <cfRule type="cellIs" dxfId="5647" priority="7436" operator="lessThan">
      <formula>0</formula>
    </cfRule>
    <cfRule type="cellIs" dxfId="5646" priority="7437" operator="greaterThan">
      <formula>0</formula>
    </cfRule>
  </conditionalFormatting>
  <conditionalFormatting sqref="PN8">
    <cfRule type="cellIs" dxfId="5645" priority="7434" operator="lessThan">
      <formula>0</formula>
    </cfRule>
    <cfRule type="cellIs" dxfId="5644" priority="7435" operator="greaterThan">
      <formula>0</formula>
    </cfRule>
  </conditionalFormatting>
  <conditionalFormatting sqref="PN47">
    <cfRule type="cellIs" dxfId="5643" priority="7432" operator="lessThan">
      <formula>0</formula>
    </cfRule>
    <cfRule type="cellIs" dxfId="5642" priority="7433" operator="greaterThan">
      <formula>0</formula>
    </cfRule>
  </conditionalFormatting>
  <conditionalFormatting sqref="PN44">
    <cfRule type="cellIs" dxfId="5641" priority="7430" operator="lessThan">
      <formula>0</formula>
    </cfRule>
    <cfRule type="cellIs" dxfId="5640" priority="7431" operator="greaterThan">
      <formula>0</formula>
    </cfRule>
  </conditionalFormatting>
  <conditionalFormatting sqref="PN23:PN24">
    <cfRule type="cellIs" dxfId="5639" priority="7426" operator="lessThan">
      <formula>0</formula>
    </cfRule>
    <cfRule type="cellIs" dxfId="5638" priority="7427" operator="greaterThan">
      <formula>0</formula>
    </cfRule>
  </conditionalFormatting>
  <conditionalFormatting sqref="PN33:PN34">
    <cfRule type="cellIs" dxfId="5637" priority="7424" operator="lessThan">
      <formula>0</formula>
    </cfRule>
    <cfRule type="cellIs" dxfId="5636" priority="7425" operator="greaterThan">
      <formula>0</formula>
    </cfRule>
  </conditionalFormatting>
  <conditionalFormatting sqref="PN101">
    <cfRule type="cellIs" dxfId="5635" priority="7416" operator="lessThan">
      <formula>0</formula>
    </cfRule>
    <cfRule type="cellIs" dxfId="5634" priority="7417" operator="greaterThan">
      <formula>0</formula>
    </cfRule>
  </conditionalFormatting>
  <conditionalFormatting sqref="PN104">
    <cfRule type="cellIs" dxfId="5633" priority="7414" operator="lessThan">
      <formula>0</formula>
    </cfRule>
    <cfRule type="cellIs" dxfId="5632" priority="7415" operator="greaterThan">
      <formula>0</formula>
    </cfRule>
  </conditionalFormatting>
  <conditionalFormatting sqref="PN48:PN49">
    <cfRule type="cellIs" dxfId="5631" priority="7380" operator="lessThan">
      <formula>0</formula>
    </cfRule>
    <cfRule type="cellIs" dxfId="5630" priority="7381" operator="greaterThan">
      <formula>0</formula>
    </cfRule>
  </conditionalFormatting>
  <conditionalFormatting sqref="PP98">
    <cfRule type="cellIs" dxfId="5629" priority="7315" operator="lessThan">
      <formula>0</formula>
    </cfRule>
    <cfRule type="cellIs" dxfId="5628" priority="7316" operator="greaterThan">
      <formula>0</formula>
    </cfRule>
  </conditionalFormatting>
  <conditionalFormatting sqref="PP6 PP9:PP11">
    <cfRule type="cellIs" dxfId="5627" priority="7355" operator="lessThan">
      <formula>0</formula>
    </cfRule>
    <cfRule type="cellIs" dxfId="5626" priority="7356" operator="greaterThan">
      <formula>0</formula>
    </cfRule>
  </conditionalFormatting>
  <conditionalFormatting sqref="PP43:PP44">
    <cfRule type="cellIs" dxfId="5625" priority="7319" operator="lessThan">
      <formula>0</formula>
    </cfRule>
    <cfRule type="cellIs" dxfId="5624" priority="7320" operator="greaterThan">
      <formula>0</formula>
    </cfRule>
  </conditionalFormatting>
  <conditionalFormatting sqref="PP11 PP19 PP3 PP24:PP32 PP34:PP42 PP69:PP79">
    <cfRule type="cellIs" dxfId="5623" priority="7365" operator="lessThan">
      <formula>0</formula>
    </cfRule>
    <cfRule type="cellIs" dxfId="5622" priority="7366" operator="greaterThan">
      <formula>0</formula>
    </cfRule>
  </conditionalFormatting>
  <conditionalFormatting sqref="PP4:PP5">
    <cfRule type="cellIs" dxfId="5621" priority="7357" operator="lessThan">
      <formula>0</formula>
    </cfRule>
    <cfRule type="cellIs" dxfId="5620" priority="7358" operator="greaterThan">
      <formula>0</formula>
    </cfRule>
  </conditionalFormatting>
  <conditionalFormatting sqref="PP12:PP13">
    <cfRule type="cellIs" dxfId="5619" priority="7353" operator="lessThan">
      <formula>0</formula>
    </cfRule>
    <cfRule type="cellIs" dxfId="5618" priority="7354" operator="greaterThan">
      <formula>0</formula>
    </cfRule>
  </conditionalFormatting>
  <conditionalFormatting sqref="PP14:PP19">
    <cfRule type="cellIs" dxfId="5617" priority="7351" operator="lessThan">
      <formula>0</formula>
    </cfRule>
    <cfRule type="cellIs" dxfId="5616" priority="7352" operator="greaterThan">
      <formula>0</formula>
    </cfRule>
  </conditionalFormatting>
  <conditionalFormatting sqref="PP20:PP22">
    <cfRule type="cellIs" dxfId="5615" priority="7349" operator="lessThan">
      <formula>0</formula>
    </cfRule>
    <cfRule type="cellIs" dxfId="5614" priority="7350" operator="greaterThan">
      <formula>0</formula>
    </cfRule>
  </conditionalFormatting>
  <conditionalFormatting sqref="PP45:PP46">
    <cfRule type="cellIs" dxfId="5613" priority="7363" operator="lessThan">
      <formula>0</formula>
    </cfRule>
    <cfRule type="cellIs" dxfId="5612" priority="7364" operator="greaterThan">
      <formula>0</formula>
    </cfRule>
  </conditionalFormatting>
  <conditionalFormatting sqref="PP7">
    <cfRule type="cellIs" dxfId="5611" priority="7335" operator="lessThan">
      <formula>0</formula>
    </cfRule>
    <cfRule type="cellIs" dxfId="5610" priority="7336" operator="greaterThan">
      <formula>0</formula>
    </cfRule>
  </conditionalFormatting>
  <conditionalFormatting sqref="PP7">
    <cfRule type="cellIs" dxfId="5609" priority="7333" operator="lessThan">
      <formula>0</formula>
    </cfRule>
    <cfRule type="cellIs" dxfId="5608" priority="7334" operator="greaterThan">
      <formula>0</formula>
    </cfRule>
  </conditionalFormatting>
  <conditionalFormatting sqref="PP8">
    <cfRule type="cellIs" dxfId="5607" priority="7331" operator="lessThan">
      <formula>0</formula>
    </cfRule>
    <cfRule type="cellIs" dxfId="5606" priority="7332" operator="greaterThan">
      <formula>0</formula>
    </cfRule>
  </conditionalFormatting>
  <conditionalFormatting sqref="PP47">
    <cfRule type="cellIs" dxfId="5605" priority="7329" operator="lessThan">
      <formula>0</formula>
    </cfRule>
    <cfRule type="cellIs" dxfId="5604" priority="7330" operator="greaterThan">
      <formula>0</formula>
    </cfRule>
  </conditionalFormatting>
  <conditionalFormatting sqref="PP44">
    <cfRule type="cellIs" dxfId="5603" priority="7327" operator="lessThan">
      <formula>0</formula>
    </cfRule>
    <cfRule type="cellIs" dxfId="5602" priority="7328" operator="greaterThan">
      <formula>0</formula>
    </cfRule>
  </conditionalFormatting>
  <conditionalFormatting sqref="PP23:PP24">
    <cfRule type="cellIs" dxfId="5601" priority="7323" operator="lessThan">
      <formula>0</formula>
    </cfRule>
    <cfRule type="cellIs" dxfId="5600" priority="7324" operator="greaterThan">
      <formula>0</formula>
    </cfRule>
  </conditionalFormatting>
  <conditionalFormatting sqref="PP33:PP34">
    <cfRule type="cellIs" dxfId="5599" priority="7321" operator="lessThan">
      <formula>0</formula>
    </cfRule>
    <cfRule type="cellIs" dxfId="5598" priority="7322" operator="greaterThan">
      <formula>0</formula>
    </cfRule>
  </conditionalFormatting>
  <conditionalFormatting sqref="PP101">
    <cfRule type="cellIs" dxfId="5597" priority="7313" operator="lessThan">
      <formula>0</formula>
    </cfRule>
    <cfRule type="cellIs" dxfId="5596" priority="7314" operator="greaterThan">
      <formula>0</formula>
    </cfRule>
  </conditionalFormatting>
  <conditionalFormatting sqref="PP104">
    <cfRule type="cellIs" dxfId="5595" priority="7311" operator="lessThan">
      <formula>0</formula>
    </cfRule>
    <cfRule type="cellIs" dxfId="5594" priority="7312" operator="greaterThan">
      <formula>0</formula>
    </cfRule>
  </conditionalFormatting>
  <conditionalFormatting sqref="PP48:PP49">
    <cfRule type="cellIs" dxfId="5593" priority="7277" operator="lessThan">
      <formula>0</formula>
    </cfRule>
    <cfRule type="cellIs" dxfId="5592" priority="7278" operator="greaterThan">
      <formula>0</formula>
    </cfRule>
  </conditionalFormatting>
  <conditionalFormatting sqref="PR98">
    <cfRule type="cellIs" dxfId="5591" priority="7212" operator="lessThan">
      <formula>0</formula>
    </cfRule>
    <cfRule type="cellIs" dxfId="5590" priority="7213" operator="greaterThan">
      <formula>0</formula>
    </cfRule>
  </conditionalFormatting>
  <conditionalFormatting sqref="PR6 PR9:PR11">
    <cfRule type="cellIs" dxfId="5589" priority="7252" operator="lessThan">
      <formula>0</formula>
    </cfRule>
    <cfRule type="cellIs" dxfId="5588" priority="7253" operator="greaterThan">
      <formula>0</formula>
    </cfRule>
  </conditionalFormatting>
  <conditionalFormatting sqref="PR43:PR44">
    <cfRule type="cellIs" dxfId="5587" priority="7216" operator="lessThan">
      <formula>0</formula>
    </cfRule>
    <cfRule type="cellIs" dxfId="5586" priority="7217" operator="greaterThan">
      <formula>0</formula>
    </cfRule>
  </conditionalFormatting>
  <conditionalFormatting sqref="PR11 PR19 PR3 PR24:PR32 PR34:PR42 PR69:PR79">
    <cfRule type="cellIs" dxfId="5585" priority="7262" operator="lessThan">
      <formula>0</formula>
    </cfRule>
    <cfRule type="cellIs" dxfId="5584" priority="7263" operator="greaterThan">
      <formula>0</formula>
    </cfRule>
  </conditionalFormatting>
  <conditionalFormatting sqref="PR4:PR5">
    <cfRule type="cellIs" dxfId="5583" priority="7254" operator="lessThan">
      <formula>0</formula>
    </cfRule>
    <cfRule type="cellIs" dxfId="5582" priority="7255" operator="greaterThan">
      <formula>0</formula>
    </cfRule>
  </conditionalFormatting>
  <conditionalFormatting sqref="PR12:PR13">
    <cfRule type="cellIs" dxfId="5581" priority="7250" operator="lessThan">
      <formula>0</formula>
    </cfRule>
    <cfRule type="cellIs" dxfId="5580" priority="7251" operator="greaterThan">
      <formula>0</formula>
    </cfRule>
  </conditionalFormatting>
  <conditionalFormatting sqref="PR14:PR19">
    <cfRule type="cellIs" dxfId="5579" priority="7248" operator="lessThan">
      <formula>0</formula>
    </cfRule>
    <cfRule type="cellIs" dxfId="5578" priority="7249" operator="greaterThan">
      <formula>0</formula>
    </cfRule>
  </conditionalFormatting>
  <conditionalFormatting sqref="PR20:PR22">
    <cfRule type="cellIs" dxfId="5577" priority="7246" operator="lessThan">
      <formula>0</formula>
    </cfRule>
    <cfRule type="cellIs" dxfId="5576" priority="7247" operator="greaterThan">
      <formula>0</formula>
    </cfRule>
  </conditionalFormatting>
  <conditionalFormatting sqref="PR45:PR46">
    <cfRule type="cellIs" dxfId="5575" priority="7260" operator="lessThan">
      <formula>0</formula>
    </cfRule>
    <cfRule type="cellIs" dxfId="5574" priority="7261" operator="greaterThan">
      <formula>0</formula>
    </cfRule>
  </conditionalFormatting>
  <conditionalFormatting sqref="PR7">
    <cfRule type="cellIs" dxfId="5573" priority="7232" operator="lessThan">
      <formula>0</formula>
    </cfRule>
    <cfRule type="cellIs" dxfId="5572" priority="7233" operator="greaterThan">
      <formula>0</formula>
    </cfRule>
  </conditionalFormatting>
  <conditionalFormatting sqref="PR7">
    <cfRule type="cellIs" dxfId="5571" priority="7230" operator="lessThan">
      <formula>0</formula>
    </cfRule>
    <cfRule type="cellIs" dxfId="5570" priority="7231" operator="greaterThan">
      <formula>0</formula>
    </cfRule>
  </conditionalFormatting>
  <conditionalFormatting sqref="PR8">
    <cfRule type="cellIs" dxfId="5569" priority="7228" operator="lessThan">
      <formula>0</formula>
    </cfRule>
    <cfRule type="cellIs" dxfId="5568" priority="7229" operator="greaterThan">
      <formula>0</formula>
    </cfRule>
  </conditionalFormatting>
  <conditionalFormatting sqref="PR47">
    <cfRule type="cellIs" dxfId="5567" priority="7226" operator="lessThan">
      <formula>0</formula>
    </cfRule>
    <cfRule type="cellIs" dxfId="5566" priority="7227" operator="greaterThan">
      <formula>0</formula>
    </cfRule>
  </conditionalFormatting>
  <conditionalFormatting sqref="PR44">
    <cfRule type="cellIs" dxfId="5565" priority="7224" operator="lessThan">
      <formula>0</formula>
    </cfRule>
    <cfRule type="cellIs" dxfId="5564" priority="7225" operator="greaterThan">
      <formula>0</formula>
    </cfRule>
  </conditionalFormatting>
  <conditionalFormatting sqref="PR23:PR24">
    <cfRule type="cellIs" dxfId="5563" priority="7220" operator="lessThan">
      <formula>0</formula>
    </cfRule>
    <cfRule type="cellIs" dxfId="5562" priority="7221" operator="greaterThan">
      <formula>0</formula>
    </cfRule>
  </conditionalFormatting>
  <conditionalFormatting sqref="PR33:PR34">
    <cfRule type="cellIs" dxfId="5561" priority="7218" operator="lessThan">
      <formula>0</formula>
    </cfRule>
    <cfRule type="cellIs" dxfId="5560" priority="7219" operator="greaterThan">
      <formula>0</formula>
    </cfRule>
  </conditionalFormatting>
  <conditionalFormatting sqref="PR101">
    <cfRule type="cellIs" dxfId="5559" priority="7210" operator="lessThan">
      <formula>0</formula>
    </cfRule>
    <cfRule type="cellIs" dxfId="5558" priority="7211" operator="greaterThan">
      <formula>0</formula>
    </cfRule>
  </conditionalFormatting>
  <conditionalFormatting sqref="PR104">
    <cfRule type="cellIs" dxfId="5557" priority="7208" operator="lessThan">
      <formula>0</formula>
    </cfRule>
    <cfRule type="cellIs" dxfId="5556" priority="7209" operator="greaterThan">
      <formula>0</formula>
    </cfRule>
  </conditionalFormatting>
  <conditionalFormatting sqref="PR48:PR49">
    <cfRule type="cellIs" dxfId="5555" priority="7174" operator="lessThan">
      <formula>0</formula>
    </cfRule>
    <cfRule type="cellIs" dxfId="5554" priority="7175" operator="greaterThan">
      <formula>0</formula>
    </cfRule>
  </conditionalFormatting>
  <conditionalFormatting sqref="PT98">
    <cfRule type="cellIs" dxfId="5553" priority="7109" operator="lessThan">
      <formula>0</formula>
    </cfRule>
    <cfRule type="cellIs" dxfId="5552" priority="7110" operator="greaterThan">
      <formula>0</formula>
    </cfRule>
  </conditionalFormatting>
  <conditionalFormatting sqref="PT6 PT9:PT11">
    <cfRule type="cellIs" dxfId="5551" priority="7149" operator="lessThan">
      <formula>0</formula>
    </cfRule>
    <cfRule type="cellIs" dxfId="5550" priority="7150" operator="greaterThan">
      <formula>0</formula>
    </cfRule>
  </conditionalFormatting>
  <conditionalFormatting sqref="PT43:PT44">
    <cfRule type="cellIs" dxfId="5549" priority="7113" operator="lessThan">
      <formula>0</formula>
    </cfRule>
    <cfRule type="cellIs" dxfId="5548" priority="7114" operator="greaterThan">
      <formula>0</formula>
    </cfRule>
  </conditionalFormatting>
  <conditionalFormatting sqref="PT11 PT19 PT3 PT24:PT32 PT34:PT42 PT69:PT79">
    <cfRule type="cellIs" dxfId="5547" priority="7159" operator="lessThan">
      <formula>0</formula>
    </cfRule>
    <cfRule type="cellIs" dxfId="5546" priority="7160" operator="greaterThan">
      <formula>0</formula>
    </cfRule>
  </conditionalFormatting>
  <conditionalFormatting sqref="PT4:PT5">
    <cfRule type="cellIs" dxfId="5545" priority="7151" operator="lessThan">
      <formula>0</formula>
    </cfRule>
    <cfRule type="cellIs" dxfId="5544" priority="7152" operator="greaterThan">
      <formula>0</formula>
    </cfRule>
  </conditionalFormatting>
  <conditionalFormatting sqref="PT12:PT13">
    <cfRule type="cellIs" dxfId="5543" priority="7147" operator="lessThan">
      <formula>0</formula>
    </cfRule>
    <cfRule type="cellIs" dxfId="5542" priority="7148" operator="greaterThan">
      <formula>0</formula>
    </cfRule>
  </conditionalFormatting>
  <conditionalFormatting sqref="PT14:PT19">
    <cfRule type="cellIs" dxfId="5541" priority="7145" operator="lessThan">
      <formula>0</formula>
    </cfRule>
    <cfRule type="cellIs" dxfId="5540" priority="7146" operator="greaterThan">
      <formula>0</formula>
    </cfRule>
  </conditionalFormatting>
  <conditionalFormatting sqref="PT20:PT22">
    <cfRule type="cellIs" dxfId="5539" priority="7143" operator="lessThan">
      <formula>0</formula>
    </cfRule>
    <cfRule type="cellIs" dxfId="5538" priority="7144" operator="greaterThan">
      <formula>0</formula>
    </cfRule>
  </conditionalFormatting>
  <conditionalFormatting sqref="PT45:PT46">
    <cfRule type="cellIs" dxfId="5537" priority="7157" operator="lessThan">
      <formula>0</formula>
    </cfRule>
    <cfRule type="cellIs" dxfId="5536" priority="7158" operator="greaterThan">
      <formula>0</formula>
    </cfRule>
  </conditionalFormatting>
  <conditionalFormatting sqref="PT7">
    <cfRule type="cellIs" dxfId="5535" priority="7129" operator="lessThan">
      <formula>0</formula>
    </cfRule>
    <cfRule type="cellIs" dxfId="5534" priority="7130" operator="greaterThan">
      <formula>0</formula>
    </cfRule>
  </conditionalFormatting>
  <conditionalFormatting sqref="PT7">
    <cfRule type="cellIs" dxfId="5533" priority="7127" operator="lessThan">
      <formula>0</formula>
    </cfRule>
    <cfRule type="cellIs" dxfId="5532" priority="7128" operator="greaterThan">
      <formula>0</formula>
    </cfRule>
  </conditionalFormatting>
  <conditionalFormatting sqref="PT8">
    <cfRule type="cellIs" dxfId="5531" priority="7125" operator="lessThan">
      <formula>0</formula>
    </cfRule>
    <cfRule type="cellIs" dxfId="5530" priority="7126" operator="greaterThan">
      <formula>0</formula>
    </cfRule>
  </conditionalFormatting>
  <conditionalFormatting sqref="PT47">
    <cfRule type="cellIs" dxfId="5529" priority="7123" operator="lessThan">
      <formula>0</formula>
    </cfRule>
    <cfRule type="cellIs" dxfId="5528" priority="7124" operator="greaterThan">
      <formula>0</formula>
    </cfRule>
  </conditionalFormatting>
  <conditionalFormatting sqref="PT44">
    <cfRule type="cellIs" dxfId="5527" priority="7121" operator="lessThan">
      <formula>0</formula>
    </cfRule>
    <cfRule type="cellIs" dxfId="5526" priority="7122" operator="greaterThan">
      <formula>0</formula>
    </cfRule>
  </conditionalFormatting>
  <conditionalFormatting sqref="PT23:PT24">
    <cfRule type="cellIs" dxfId="5525" priority="7117" operator="lessThan">
      <formula>0</formula>
    </cfRule>
    <cfRule type="cellIs" dxfId="5524" priority="7118" operator="greaterThan">
      <formula>0</formula>
    </cfRule>
  </conditionalFormatting>
  <conditionalFormatting sqref="PT33:PT34">
    <cfRule type="cellIs" dxfId="5523" priority="7115" operator="lessThan">
      <formula>0</formula>
    </cfRule>
    <cfRule type="cellIs" dxfId="5522" priority="7116" operator="greaterThan">
      <formula>0</formula>
    </cfRule>
  </conditionalFormatting>
  <conditionalFormatting sqref="PT101">
    <cfRule type="cellIs" dxfId="5521" priority="7107" operator="lessThan">
      <formula>0</formula>
    </cfRule>
    <cfRule type="cellIs" dxfId="5520" priority="7108" operator="greaterThan">
      <formula>0</formula>
    </cfRule>
  </conditionalFormatting>
  <conditionalFormatting sqref="PT104">
    <cfRule type="cellIs" dxfId="5519" priority="7105" operator="lessThan">
      <formula>0</formula>
    </cfRule>
    <cfRule type="cellIs" dxfId="5518" priority="7106" operator="greaterThan">
      <formula>0</formula>
    </cfRule>
  </conditionalFormatting>
  <conditionalFormatting sqref="PT48:PT49">
    <cfRule type="cellIs" dxfId="5517" priority="7071" operator="lessThan">
      <formula>0</formula>
    </cfRule>
    <cfRule type="cellIs" dxfId="5516" priority="7072" operator="greaterThan">
      <formula>0</formula>
    </cfRule>
  </conditionalFormatting>
  <conditionalFormatting sqref="PV98">
    <cfRule type="cellIs" dxfId="5515" priority="7006" operator="lessThan">
      <formula>0</formula>
    </cfRule>
    <cfRule type="cellIs" dxfId="5514" priority="7007" operator="greaterThan">
      <formula>0</formula>
    </cfRule>
  </conditionalFormatting>
  <conditionalFormatting sqref="PV6 PV9:PV11">
    <cfRule type="cellIs" dxfId="5513" priority="7046" operator="lessThan">
      <formula>0</formula>
    </cfRule>
    <cfRule type="cellIs" dxfId="5512" priority="7047" operator="greaterThan">
      <formula>0</formula>
    </cfRule>
  </conditionalFormatting>
  <conditionalFormatting sqref="PV43:PV44">
    <cfRule type="cellIs" dxfId="5511" priority="7010" operator="lessThan">
      <formula>0</formula>
    </cfRule>
    <cfRule type="cellIs" dxfId="5510" priority="7011" operator="greaterThan">
      <formula>0</formula>
    </cfRule>
  </conditionalFormatting>
  <conditionalFormatting sqref="PV11 PV19 PV3 PV24:PV32 PV34:PV42 PV69:PV79">
    <cfRule type="cellIs" dxfId="5509" priority="7056" operator="lessThan">
      <formula>0</formula>
    </cfRule>
    <cfRule type="cellIs" dxfId="5508" priority="7057" operator="greaterThan">
      <formula>0</formula>
    </cfRule>
  </conditionalFormatting>
  <conditionalFormatting sqref="PV4:PV5">
    <cfRule type="cellIs" dxfId="5507" priority="7048" operator="lessThan">
      <formula>0</formula>
    </cfRule>
    <cfRule type="cellIs" dxfId="5506" priority="7049" operator="greaterThan">
      <formula>0</formula>
    </cfRule>
  </conditionalFormatting>
  <conditionalFormatting sqref="PV12:PV13">
    <cfRule type="cellIs" dxfId="5505" priority="7044" operator="lessThan">
      <formula>0</formula>
    </cfRule>
    <cfRule type="cellIs" dxfId="5504" priority="7045" operator="greaterThan">
      <formula>0</formula>
    </cfRule>
  </conditionalFormatting>
  <conditionalFormatting sqref="PV14:PV19">
    <cfRule type="cellIs" dxfId="5503" priority="7042" operator="lessThan">
      <formula>0</formula>
    </cfRule>
    <cfRule type="cellIs" dxfId="5502" priority="7043" operator="greaterThan">
      <formula>0</formula>
    </cfRule>
  </conditionalFormatting>
  <conditionalFormatting sqref="PV20:PV22">
    <cfRule type="cellIs" dxfId="5501" priority="7040" operator="lessThan">
      <formula>0</formula>
    </cfRule>
    <cfRule type="cellIs" dxfId="5500" priority="7041" operator="greaterThan">
      <formula>0</formula>
    </cfRule>
  </conditionalFormatting>
  <conditionalFormatting sqref="PV45:PV46">
    <cfRule type="cellIs" dxfId="5499" priority="7054" operator="lessThan">
      <formula>0</formula>
    </cfRule>
    <cfRule type="cellIs" dxfId="5498" priority="7055" operator="greaterThan">
      <formula>0</formula>
    </cfRule>
  </conditionalFormatting>
  <conditionalFormatting sqref="PV7">
    <cfRule type="cellIs" dxfId="5497" priority="7026" operator="lessThan">
      <formula>0</formula>
    </cfRule>
    <cfRule type="cellIs" dxfId="5496" priority="7027" operator="greaterThan">
      <formula>0</formula>
    </cfRule>
  </conditionalFormatting>
  <conditionalFormatting sqref="PV7">
    <cfRule type="cellIs" dxfId="5495" priority="7024" operator="lessThan">
      <formula>0</formula>
    </cfRule>
    <cfRule type="cellIs" dxfId="5494" priority="7025" operator="greaterThan">
      <formula>0</formula>
    </cfRule>
  </conditionalFormatting>
  <conditionalFormatting sqref="PV8">
    <cfRule type="cellIs" dxfId="5493" priority="7022" operator="lessThan">
      <formula>0</formula>
    </cfRule>
    <cfRule type="cellIs" dxfId="5492" priority="7023" operator="greaterThan">
      <formula>0</formula>
    </cfRule>
  </conditionalFormatting>
  <conditionalFormatting sqref="PV47">
    <cfRule type="cellIs" dxfId="5491" priority="7020" operator="lessThan">
      <formula>0</formula>
    </cfRule>
    <cfRule type="cellIs" dxfId="5490" priority="7021" operator="greaterThan">
      <formula>0</formula>
    </cfRule>
  </conditionalFormatting>
  <conditionalFormatting sqref="PV44">
    <cfRule type="cellIs" dxfId="5489" priority="7018" operator="lessThan">
      <formula>0</formula>
    </cfRule>
    <cfRule type="cellIs" dxfId="5488" priority="7019" operator="greaterThan">
      <formula>0</formula>
    </cfRule>
  </conditionalFormatting>
  <conditionalFormatting sqref="PV23:PV24">
    <cfRule type="cellIs" dxfId="5487" priority="7014" operator="lessThan">
      <formula>0</formula>
    </cfRule>
    <cfRule type="cellIs" dxfId="5486" priority="7015" operator="greaterThan">
      <formula>0</formula>
    </cfRule>
  </conditionalFormatting>
  <conditionalFormatting sqref="PV33:PV34">
    <cfRule type="cellIs" dxfId="5485" priority="7012" operator="lessThan">
      <formula>0</formula>
    </cfRule>
    <cfRule type="cellIs" dxfId="5484" priority="7013" operator="greaterThan">
      <formula>0</formula>
    </cfRule>
  </conditionalFormatting>
  <conditionalFormatting sqref="PV101">
    <cfRule type="cellIs" dxfId="5483" priority="7004" operator="lessThan">
      <formula>0</formula>
    </cfRule>
    <cfRule type="cellIs" dxfId="5482" priority="7005" operator="greaterThan">
      <formula>0</formula>
    </cfRule>
  </conditionalFormatting>
  <conditionalFormatting sqref="PV104">
    <cfRule type="cellIs" dxfId="5481" priority="7002" operator="lessThan">
      <formula>0</formula>
    </cfRule>
    <cfRule type="cellIs" dxfId="5480" priority="7003" operator="greaterThan">
      <formula>0</formula>
    </cfRule>
  </conditionalFormatting>
  <conditionalFormatting sqref="PV48:PV49">
    <cfRule type="cellIs" dxfId="5479" priority="6968" operator="lessThan">
      <formula>0</formula>
    </cfRule>
    <cfRule type="cellIs" dxfId="5478" priority="6969" operator="greaterThan">
      <formula>0</formula>
    </cfRule>
  </conditionalFormatting>
  <conditionalFormatting sqref="PX98">
    <cfRule type="cellIs" dxfId="5477" priority="6903" operator="lessThan">
      <formula>0</formula>
    </cfRule>
    <cfRule type="cellIs" dxfId="5476" priority="6904" operator="greaterThan">
      <formula>0</formula>
    </cfRule>
  </conditionalFormatting>
  <conditionalFormatting sqref="PX6 PX9:PX11">
    <cfRule type="cellIs" dxfId="5475" priority="6943" operator="lessThan">
      <formula>0</formula>
    </cfRule>
    <cfRule type="cellIs" dxfId="5474" priority="6944" operator="greaterThan">
      <formula>0</formula>
    </cfRule>
  </conditionalFormatting>
  <conditionalFormatting sqref="PX43:PX44">
    <cfRule type="cellIs" dxfId="5473" priority="6907" operator="lessThan">
      <formula>0</formula>
    </cfRule>
    <cfRule type="cellIs" dxfId="5472" priority="6908" operator="greaterThan">
      <formula>0</formula>
    </cfRule>
  </conditionalFormatting>
  <conditionalFormatting sqref="PX11 PX19 PX3 PX24:PX32 PX34:PX42 PX69:PX79">
    <cfRule type="cellIs" dxfId="5471" priority="6953" operator="lessThan">
      <formula>0</formula>
    </cfRule>
    <cfRule type="cellIs" dxfId="5470" priority="6954" operator="greaterThan">
      <formula>0</formula>
    </cfRule>
  </conditionalFormatting>
  <conditionalFormatting sqref="PX4:PX5">
    <cfRule type="cellIs" dxfId="5469" priority="6945" operator="lessThan">
      <formula>0</formula>
    </cfRule>
    <cfRule type="cellIs" dxfId="5468" priority="6946" operator="greaterThan">
      <formula>0</formula>
    </cfRule>
  </conditionalFormatting>
  <conditionalFormatting sqref="PX12:PX13">
    <cfRule type="cellIs" dxfId="5467" priority="6941" operator="lessThan">
      <formula>0</formula>
    </cfRule>
    <cfRule type="cellIs" dxfId="5466" priority="6942" operator="greaterThan">
      <formula>0</formula>
    </cfRule>
  </conditionalFormatting>
  <conditionalFormatting sqref="PX14:PX19">
    <cfRule type="cellIs" dxfId="5465" priority="6939" operator="lessThan">
      <formula>0</formula>
    </cfRule>
    <cfRule type="cellIs" dxfId="5464" priority="6940" operator="greaterThan">
      <formula>0</formula>
    </cfRule>
  </conditionalFormatting>
  <conditionalFormatting sqref="PX20:PX22">
    <cfRule type="cellIs" dxfId="5463" priority="6937" operator="lessThan">
      <formula>0</formula>
    </cfRule>
    <cfRule type="cellIs" dxfId="5462" priority="6938" operator="greaterThan">
      <formula>0</formula>
    </cfRule>
  </conditionalFormatting>
  <conditionalFormatting sqref="PX45:PX46">
    <cfRule type="cellIs" dxfId="5461" priority="6951" operator="lessThan">
      <formula>0</formula>
    </cfRule>
    <cfRule type="cellIs" dxfId="5460" priority="6952" operator="greaterThan">
      <formula>0</formula>
    </cfRule>
  </conditionalFormatting>
  <conditionalFormatting sqref="PX7">
    <cfRule type="cellIs" dxfId="5459" priority="6923" operator="lessThan">
      <formula>0</formula>
    </cfRule>
    <cfRule type="cellIs" dxfId="5458" priority="6924" operator="greaterThan">
      <formula>0</formula>
    </cfRule>
  </conditionalFormatting>
  <conditionalFormatting sqref="PX7">
    <cfRule type="cellIs" dxfId="5457" priority="6921" operator="lessThan">
      <formula>0</formula>
    </cfRule>
    <cfRule type="cellIs" dxfId="5456" priority="6922" operator="greaterThan">
      <formula>0</formula>
    </cfRule>
  </conditionalFormatting>
  <conditionalFormatting sqref="PX8">
    <cfRule type="cellIs" dxfId="5455" priority="6919" operator="lessThan">
      <formula>0</formula>
    </cfRule>
    <cfRule type="cellIs" dxfId="5454" priority="6920" operator="greaterThan">
      <formula>0</formula>
    </cfRule>
  </conditionalFormatting>
  <conditionalFormatting sqref="PX47">
    <cfRule type="cellIs" dxfId="5453" priority="6917" operator="lessThan">
      <formula>0</formula>
    </cfRule>
    <cfRule type="cellIs" dxfId="5452" priority="6918" operator="greaterThan">
      <formula>0</formula>
    </cfRule>
  </conditionalFormatting>
  <conditionalFormatting sqref="PX44">
    <cfRule type="cellIs" dxfId="5451" priority="6915" operator="lessThan">
      <formula>0</formula>
    </cfRule>
    <cfRule type="cellIs" dxfId="5450" priority="6916" operator="greaterThan">
      <formula>0</formula>
    </cfRule>
  </conditionalFormatting>
  <conditionalFormatting sqref="PX23:PX24">
    <cfRule type="cellIs" dxfId="5449" priority="6911" operator="lessThan">
      <formula>0</formula>
    </cfRule>
    <cfRule type="cellIs" dxfId="5448" priority="6912" operator="greaterThan">
      <formula>0</formula>
    </cfRule>
  </conditionalFormatting>
  <conditionalFormatting sqref="PX33:PX34">
    <cfRule type="cellIs" dxfId="5447" priority="6909" operator="lessThan">
      <formula>0</formula>
    </cfRule>
    <cfRule type="cellIs" dxfId="5446" priority="6910" operator="greaterThan">
      <formula>0</formula>
    </cfRule>
  </conditionalFormatting>
  <conditionalFormatting sqref="PX101">
    <cfRule type="cellIs" dxfId="5445" priority="6901" operator="lessThan">
      <formula>0</formula>
    </cfRule>
    <cfRule type="cellIs" dxfId="5444" priority="6902" operator="greaterThan">
      <formula>0</formula>
    </cfRule>
  </conditionalFormatting>
  <conditionalFormatting sqref="PX104">
    <cfRule type="cellIs" dxfId="5443" priority="6899" operator="lessThan">
      <formula>0</formula>
    </cfRule>
    <cfRule type="cellIs" dxfId="5442" priority="6900" operator="greaterThan">
      <formula>0</formula>
    </cfRule>
  </conditionalFormatting>
  <conditionalFormatting sqref="PX48:PX49">
    <cfRule type="cellIs" dxfId="5441" priority="6865" operator="lessThan">
      <formula>0</formula>
    </cfRule>
    <cfRule type="cellIs" dxfId="5440" priority="6866" operator="greaterThan">
      <formula>0</formula>
    </cfRule>
  </conditionalFormatting>
  <conditionalFormatting sqref="PZ98">
    <cfRule type="cellIs" dxfId="5439" priority="6800" operator="lessThan">
      <formula>0</formula>
    </cfRule>
    <cfRule type="cellIs" dxfId="5438" priority="6801" operator="greaterThan">
      <formula>0</formula>
    </cfRule>
  </conditionalFormatting>
  <conditionalFormatting sqref="PZ6 PZ9:PZ11">
    <cfRule type="cellIs" dxfId="5437" priority="6840" operator="lessThan">
      <formula>0</formula>
    </cfRule>
    <cfRule type="cellIs" dxfId="5436" priority="6841" operator="greaterThan">
      <formula>0</formula>
    </cfRule>
  </conditionalFormatting>
  <conditionalFormatting sqref="PZ43:PZ44">
    <cfRule type="cellIs" dxfId="5435" priority="6804" operator="lessThan">
      <formula>0</formula>
    </cfRule>
    <cfRule type="cellIs" dxfId="5434" priority="6805" operator="greaterThan">
      <formula>0</formula>
    </cfRule>
  </conditionalFormatting>
  <conditionalFormatting sqref="PZ11 PZ19 PZ3 PZ24:PZ32 PZ34:PZ42 PZ69:PZ79">
    <cfRule type="cellIs" dxfId="5433" priority="6850" operator="lessThan">
      <formula>0</formula>
    </cfRule>
    <cfRule type="cellIs" dxfId="5432" priority="6851" operator="greaterThan">
      <formula>0</formula>
    </cfRule>
  </conditionalFormatting>
  <conditionalFormatting sqref="PZ4:PZ5">
    <cfRule type="cellIs" dxfId="5431" priority="6842" operator="lessThan">
      <formula>0</formula>
    </cfRule>
    <cfRule type="cellIs" dxfId="5430" priority="6843" operator="greaterThan">
      <formula>0</formula>
    </cfRule>
  </conditionalFormatting>
  <conditionalFormatting sqref="PZ12:PZ13">
    <cfRule type="cellIs" dxfId="5429" priority="6838" operator="lessThan">
      <formula>0</formula>
    </cfRule>
    <cfRule type="cellIs" dxfId="5428" priority="6839" operator="greaterThan">
      <formula>0</formula>
    </cfRule>
  </conditionalFormatting>
  <conditionalFormatting sqref="PZ14:PZ19">
    <cfRule type="cellIs" dxfId="5427" priority="6836" operator="lessThan">
      <formula>0</formula>
    </cfRule>
    <cfRule type="cellIs" dxfId="5426" priority="6837" operator="greaterThan">
      <formula>0</formula>
    </cfRule>
  </conditionalFormatting>
  <conditionalFormatting sqref="PZ20:PZ22">
    <cfRule type="cellIs" dxfId="5425" priority="6834" operator="lessThan">
      <formula>0</formula>
    </cfRule>
    <cfRule type="cellIs" dxfId="5424" priority="6835" operator="greaterThan">
      <formula>0</formula>
    </cfRule>
  </conditionalFormatting>
  <conditionalFormatting sqref="PZ45:PZ46">
    <cfRule type="cellIs" dxfId="5423" priority="6848" operator="lessThan">
      <formula>0</formula>
    </cfRule>
    <cfRule type="cellIs" dxfId="5422" priority="6849" operator="greaterThan">
      <formula>0</formula>
    </cfRule>
  </conditionalFormatting>
  <conditionalFormatting sqref="PZ7">
    <cfRule type="cellIs" dxfId="5421" priority="6820" operator="lessThan">
      <formula>0</formula>
    </cfRule>
    <cfRule type="cellIs" dxfId="5420" priority="6821" operator="greaterThan">
      <formula>0</formula>
    </cfRule>
  </conditionalFormatting>
  <conditionalFormatting sqref="PZ7">
    <cfRule type="cellIs" dxfId="5419" priority="6818" operator="lessThan">
      <formula>0</formula>
    </cfRule>
    <cfRule type="cellIs" dxfId="5418" priority="6819" operator="greaterThan">
      <formula>0</formula>
    </cfRule>
  </conditionalFormatting>
  <conditionalFormatting sqref="PZ8">
    <cfRule type="cellIs" dxfId="5417" priority="6816" operator="lessThan">
      <formula>0</formula>
    </cfRule>
    <cfRule type="cellIs" dxfId="5416" priority="6817" operator="greaterThan">
      <formula>0</formula>
    </cfRule>
  </conditionalFormatting>
  <conditionalFormatting sqref="PZ47">
    <cfRule type="cellIs" dxfId="5415" priority="6814" operator="lessThan">
      <formula>0</formula>
    </cfRule>
    <cfRule type="cellIs" dxfId="5414" priority="6815" operator="greaterThan">
      <formula>0</formula>
    </cfRule>
  </conditionalFormatting>
  <conditionalFormatting sqref="PZ44">
    <cfRule type="cellIs" dxfId="5413" priority="6812" operator="lessThan">
      <formula>0</formula>
    </cfRule>
    <cfRule type="cellIs" dxfId="5412" priority="6813" operator="greaterThan">
      <formula>0</formula>
    </cfRule>
  </conditionalFormatting>
  <conditionalFormatting sqref="PZ23:PZ24">
    <cfRule type="cellIs" dxfId="5411" priority="6808" operator="lessThan">
      <formula>0</formula>
    </cfRule>
    <cfRule type="cellIs" dxfId="5410" priority="6809" operator="greaterThan">
      <formula>0</formula>
    </cfRule>
  </conditionalFormatting>
  <conditionalFormatting sqref="PZ33:PZ34">
    <cfRule type="cellIs" dxfId="5409" priority="6806" operator="lessThan">
      <formula>0</formula>
    </cfRule>
    <cfRule type="cellIs" dxfId="5408" priority="6807" operator="greaterThan">
      <formula>0</formula>
    </cfRule>
  </conditionalFormatting>
  <conditionalFormatting sqref="PZ101">
    <cfRule type="cellIs" dxfId="5407" priority="6798" operator="lessThan">
      <formula>0</formula>
    </cfRule>
    <cfRule type="cellIs" dxfId="5406" priority="6799" operator="greaterThan">
      <formula>0</formula>
    </cfRule>
  </conditionalFormatting>
  <conditionalFormatting sqref="PZ104">
    <cfRule type="cellIs" dxfId="5405" priority="6796" operator="lessThan">
      <formula>0</formula>
    </cfRule>
    <cfRule type="cellIs" dxfId="5404" priority="6797" operator="greaterThan">
      <formula>0</formula>
    </cfRule>
  </conditionalFormatting>
  <conditionalFormatting sqref="PZ48:PZ49">
    <cfRule type="cellIs" dxfId="5403" priority="6762" operator="lessThan">
      <formula>0</formula>
    </cfRule>
    <cfRule type="cellIs" dxfId="5402" priority="6763" operator="greaterThan">
      <formula>0</formula>
    </cfRule>
  </conditionalFormatting>
  <conditionalFormatting sqref="QB98">
    <cfRule type="cellIs" dxfId="5401" priority="6697" operator="lessThan">
      <formula>0</formula>
    </cfRule>
    <cfRule type="cellIs" dxfId="5400" priority="6698" operator="greaterThan">
      <formula>0</formula>
    </cfRule>
  </conditionalFormatting>
  <conditionalFormatting sqref="QB6 QB9:QB11">
    <cfRule type="cellIs" dxfId="5399" priority="6737" operator="lessThan">
      <formula>0</formula>
    </cfRule>
    <cfRule type="cellIs" dxfId="5398" priority="6738" operator="greaterThan">
      <formula>0</formula>
    </cfRule>
  </conditionalFormatting>
  <conditionalFormatting sqref="QB43:QB44">
    <cfRule type="cellIs" dxfId="5397" priority="6701" operator="lessThan">
      <formula>0</formula>
    </cfRule>
    <cfRule type="cellIs" dxfId="5396" priority="6702" operator="greaterThan">
      <formula>0</formula>
    </cfRule>
  </conditionalFormatting>
  <conditionalFormatting sqref="QB11 QB19 QB3 QB24:QB32 QB34:QB42 QB69:QB79">
    <cfRule type="cellIs" dxfId="5395" priority="6747" operator="lessThan">
      <formula>0</formula>
    </cfRule>
    <cfRule type="cellIs" dxfId="5394" priority="6748" operator="greaterThan">
      <formula>0</formula>
    </cfRule>
  </conditionalFormatting>
  <conditionalFormatting sqref="QB4:QB5">
    <cfRule type="cellIs" dxfId="5393" priority="6739" operator="lessThan">
      <formula>0</formula>
    </cfRule>
    <cfRule type="cellIs" dxfId="5392" priority="6740" operator="greaterThan">
      <formula>0</formula>
    </cfRule>
  </conditionalFormatting>
  <conditionalFormatting sqref="QB12:QB13">
    <cfRule type="cellIs" dxfId="5391" priority="6735" operator="lessThan">
      <formula>0</formula>
    </cfRule>
    <cfRule type="cellIs" dxfId="5390" priority="6736" operator="greaterThan">
      <formula>0</formula>
    </cfRule>
  </conditionalFormatting>
  <conditionalFormatting sqref="QB14:QB19">
    <cfRule type="cellIs" dxfId="5389" priority="6733" operator="lessThan">
      <formula>0</formula>
    </cfRule>
    <cfRule type="cellIs" dxfId="5388" priority="6734" operator="greaterThan">
      <formula>0</formula>
    </cfRule>
  </conditionalFormatting>
  <conditionalFormatting sqref="QB20:QB22">
    <cfRule type="cellIs" dxfId="5387" priority="6731" operator="lessThan">
      <formula>0</formula>
    </cfRule>
    <cfRule type="cellIs" dxfId="5386" priority="6732" operator="greaterThan">
      <formula>0</formula>
    </cfRule>
  </conditionalFormatting>
  <conditionalFormatting sqref="QB45:QB46">
    <cfRule type="cellIs" dxfId="5385" priority="6745" operator="lessThan">
      <formula>0</formula>
    </cfRule>
    <cfRule type="cellIs" dxfId="5384" priority="6746" operator="greaterThan">
      <formula>0</formula>
    </cfRule>
  </conditionalFormatting>
  <conditionalFormatting sqref="QB7">
    <cfRule type="cellIs" dxfId="5383" priority="6717" operator="lessThan">
      <formula>0</formula>
    </cfRule>
    <cfRule type="cellIs" dxfId="5382" priority="6718" operator="greaterThan">
      <formula>0</formula>
    </cfRule>
  </conditionalFormatting>
  <conditionalFormatting sqref="QB7">
    <cfRule type="cellIs" dxfId="5381" priority="6715" operator="lessThan">
      <formula>0</formula>
    </cfRule>
    <cfRule type="cellIs" dxfId="5380" priority="6716" operator="greaterThan">
      <formula>0</formula>
    </cfRule>
  </conditionalFormatting>
  <conditionalFormatting sqref="QB8">
    <cfRule type="cellIs" dxfId="5379" priority="6713" operator="lessThan">
      <formula>0</formula>
    </cfRule>
    <cfRule type="cellIs" dxfId="5378" priority="6714" operator="greaterThan">
      <formula>0</formula>
    </cfRule>
  </conditionalFormatting>
  <conditionalFormatting sqref="QB47">
    <cfRule type="cellIs" dxfId="5377" priority="6711" operator="lessThan">
      <formula>0</formula>
    </cfRule>
    <cfRule type="cellIs" dxfId="5376" priority="6712" operator="greaterThan">
      <formula>0</formula>
    </cfRule>
  </conditionalFormatting>
  <conditionalFormatting sqref="QB44">
    <cfRule type="cellIs" dxfId="5375" priority="6709" operator="lessThan">
      <formula>0</formula>
    </cfRule>
    <cfRule type="cellIs" dxfId="5374" priority="6710" operator="greaterThan">
      <formula>0</formula>
    </cfRule>
  </conditionalFormatting>
  <conditionalFormatting sqref="QB23:QB24">
    <cfRule type="cellIs" dxfId="5373" priority="6705" operator="lessThan">
      <formula>0</formula>
    </cfRule>
    <cfRule type="cellIs" dxfId="5372" priority="6706" operator="greaterThan">
      <formula>0</formula>
    </cfRule>
  </conditionalFormatting>
  <conditionalFormatting sqref="QB33:QB34">
    <cfRule type="cellIs" dxfId="5371" priority="6703" operator="lessThan">
      <formula>0</formula>
    </cfRule>
    <cfRule type="cellIs" dxfId="5370" priority="6704" operator="greaterThan">
      <formula>0</formula>
    </cfRule>
  </conditionalFormatting>
  <conditionalFormatting sqref="QB101">
    <cfRule type="cellIs" dxfId="5369" priority="6695" operator="lessThan">
      <formula>0</formula>
    </cfRule>
    <cfRule type="cellIs" dxfId="5368" priority="6696" operator="greaterThan">
      <formula>0</formula>
    </cfRule>
  </conditionalFormatting>
  <conditionalFormatting sqref="QB104">
    <cfRule type="cellIs" dxfId="5367" priority="6693" operator="lessThan">
      <formula>0</formula>
    </cfRule>
    <cfRule type="cellIs" dxfId="5366" priority="6694" operator="greaterThan">
      <formula>0</formula>
    </cfRule>
  </conditionalFormatting>
  <conditionalFormatting sqref="QB48:QB49">
    <cfRule type="cellIs" dxfId="5365" priority="6659" operator="lessThan">
      <formula>0</formula>
    </cfRule>
    <cfRule type="cellIs" dxfId="5364" priority="6660" operator="greaterThan">
      <formula>0</formula>
    </cfRule>
  </conditionalFormatting>
  <conditionalFormatting sqref="QD98">
    <cfRule type="cellIs" dxfId="5363" priority="6594" operator="lessThan">
      <formula>0</formula>
    </cfRule>
    <cfRule type="cellIs" dxfId="5362" priority="6595" operator="greaterThan">
      <formula>0</formula>
    </cfRule>
  </conditionalFormatting>
  <conditionalFormatting sqref="QD6 QD9:QD11">
    <cfRule type="cellIs" dxfId="5361" priority="6634" operator="lessThan">
      <formula>0</formula>
    </cfRule>
    <cfRule type="cellIs" dxfId="5360" priority="6635" operator="greaterThan">
      <formula>0</formula>
    </cfRule>
  </conditionalFormatting>
  <conditionalFormatting sqref="QD43:QD44">
    <cfRule type="cellIs" dxfId="5359" priority="6598" operator="lessThan">
      <formula>0</formula>
    </cfRule>
    <cfRule type="cellIs" dxfId="5358" priority="6599" operator="greaterThan">
      <formula>0</formula>
    </cfRule>
  </conditionalFormatting>
  <conditionalFormatting sqref="QD11 QD19 QD3 QD24:QD32 QD34:QD42 QD69:QD79">
    <cfRule type="cellIs" dxfId="5357" priority="6644" operator="lessThan">
      <formula>0</formula>
    </cfRule>
    <cfRule type="cellIs" dxfId="5356" priority="6645" operator="greaterThan">
      <formula>0</formula>
    </cfRule>
  </conditionalFormatting>
  <conditionalFormatting sqref="QD4:QD5">
    <cfRule type="cellIs" dxfId="5355" priority="6636" operator="lessThan">
      <formula>0</formula>
    </cfRule>
    <cfRule type="cellIs" dxfId="5354" priority="6637" operator="greaterThan">
      <formula>0</formula>
    </cfRule>
  </conditionalFormatting>
  <conditionalFormatting sqref="QD12:QD13">
    <cfRule type="cellIs" dxfId="5353" priority="6632" operator="lessThan">
      <formula>0</formula>
    </cfRule>
    <cfRule type="cellIs" dxfId="5352" priority="6633" operator="greaterThan">
      <formula>0</formula>
    </cfRule>
  </conditionalFormatting>
  <conditionalFormatting sqref="QD14:QD19">
    <cfRule type="cellIs" dxfId="5351" priority="6630" operator="lessThan">
      <formula>0</formula>
    </cfRule>
    <cfRule type="cellIs" dxfId="5350" priority="6631" operator="greaterThan">
      <formula>0</formula>
    </cfRule>
  </conditionalFormatting>
  <conditionalFormatting sqref="QD20:QD22">
    <cfRule type="cellIs" dxfId="5349" priority="6628" operator="lessThan">
      <formula>0</formula>
    </cfRule>
    <cfRule type="cellIs" dxfId="5348" priority="6629" operator="greaterThan">
      <formula>0</formula>
    </cfRule>
  </conditionalFormatting>
  <conditionalFormatting sqref="QD45:QD46">
    <cfRule type="cellIs" dxfId="5347" priority="6642" operator="lessThan">
      <formula>0</formula>
    </cfRule>
    <cfRule type="cellIs" dxfId="5346" priority="6643" operator="greaterThan">
      <formula>0</formula>
    </cfRule>
  </conditionalFormatting>
  <conditionalFormatting sqref="QD7">
    <cfRule type="cellIs" dxfId="5345" priority="6614" operator="lessThan">
      <formula>0</formula>
    </cfRule>
    <cfRule type="cellIs" dxfId="5344" priority="6615" operator="greaterThan">
      <formula>0</formula>
    </cfRule>
  </conditionalFormatting>
  <conditionalFormatting sqref="QD7">
    <cfRule type="cellIs" dxfId="5343" priority="6612" operator="lessThan">
      <formula>0</formula>
    </cfRule>
    <cfRule type="cellIs" dxfId="5342" priority="6613" operator="greaterThan">
      <formula>0</formula>
    </cfRule>
  </conditionalFormatting>
  <conditionalFormatting sqref="QD8">
    <cfRule type="cellIs" dxfId="5341" priority="6610" operator="lessThan">
      <formula>0</formula>
    </cfRule>
    <cfRule type="cellIs" dxfId="5340" priority="6611" operator="greaterThan">
      <formula>0</formula>
    </cfRule>
  </conditionalFormatting>
  <conditionalFormatting sqref="QD47">
    <cfRule type="cellIs" dxfId="5339" priority="6608" operator="lessThan">
      <formula>0</formula>
    </cfRule>
    <cfRule type="cellIs" dxfId="5338" priority="6609" operator="greaterThan">
      <formula>0</formula>
    </cfRule>
  </conditionalFormatting>
  <conditionalFormatting sqref="QD44">
    <cfRule type="cellIs" dxfId="5337" priority="6606" operator="lessThan">
      <formula>0</formula>
    </cfRule>
    <cfRule type="cellIs" dxfId="5336" priority="6607" operator="greaterThan">
      <formula>0</formula>
    </cfRule>
  </conditionalFormatting>
  <conditionalFormatting sqref="QD23:QD24">
    <cfRule type="cellIs" dxfId="5335" priority="6602" operator="lessThan">
      <formula>0</formula>
    </cfRule>
    <cfRule type="cellIs" dxfId="5334" priority="6603" operator="greaterThan">
      <formula>0</formula>
    </cfRule>
  </conditionalFormatting>
  <conditionalFormatting sqref="QD33:QD34">
    <cfRule type="cellIs" dxfId="5333" priority="6600" operator="lessThan">
      <formula>0</formula>
    </cfRule>
    <cfRule type="cellIs" dxfId="5332" priority="6601" operator="greaterThan">
      <formula>0</formula>
    </cfRule>
  </conditionalFormatting>
  <conditionalFormatting sqref="QD101">
    <cfRule type="cellIs" dxfId="5331" priority="6592" operator="lessThan">
      <formula>0</formula>
    </cfRule>
    <cfRule type="cellIs" dxfId="5330" priority="6593" operator="greaterThan">
      <formula>0</formula>
    </cfRule>
  </conditionalFormatting>
  <conditionalFormatting sqref="QD104">
    <cfRule type="cellIs" dxfId="5329" priority="6590" operator="lessThan">
      <formula>0</formula>
    </cfRule>
    <cfRule type="cellIs" dxfId="5328" priority="6591" operator="greaterThan">
      <formula>0</formula>
    </cfRule>
  </conditionalFormatting>
  <conditionalFormatting sqref="QD48:QD49">
    <cfRule type="cellIs" dxfId="5327" priority="6556" operator="lessThan">
      <formula>0</formula>
    </cfRule>
    <cfRule type="cellIs" dxfId="5326" priority="6557" operator="greaterThan">
      <formula>0</formula>
    </cfRule>
  </conditionalFormatting>
  <conditionalFormatting sqref="QF98">
    <cfRule type="cellIs" dxfId="5325" priority="6491" operator="lessThan">
      <formula>0</formula>
    </cfRule>
    <cfRule type="cellIs" dxfId="5324" priority="6492" operator="greaterThan">
      <formula>0</formula>
    </cfRule>
  </conditionalFormatting>
  <conditionalFormatting sqref="QF6 QF9:QF11">
    <cfRule type="cellIs" dxfId="5323" priority="6531" operator="lessThan">
      <formula>0</formula>
    </cfRule>
    <cfRule type="cellIs" dxfId="5322" priority="6532" operator="greaterThan">
      <formula>0</formula>
    </cfRule>
  </conditionalFormatting>
  <conditionalFormatting sqref="QF43:QF44">
    <cfRule type="cellIs" dxfId="5321" priority="6495" operator="lessThan">
      <formula>0</formula>
    </cfRule>
    <cfRule type="cellIs" dxfId="5320" priority="6496" operator="greaterThan">
      <formula>0</formula>
    </cfRule>
  </conditionalFormatting>
  <conditionalFormatting sqref="QF11 QF19 QF3 QF24:QF32 QF34:QF42 QF69:QF79">
    <cfRule type="cellIs" dxfId="5319" priority="6541" operator="lessThan">
      <formula>0</formula>
    </cfRule>
    <cfRule type="cellIs" dxfId="5318" priority="6542" operator="greaterThan">
      <formula>0</formula>
    </cfRule>
  </conditionalFormatting>
  <conditionalFormatting sqref="QF4:QF5">
    <cfRule type="cellIs" dxfId="5317" priority="6533" operator="lessThan">
      <formula>0</formula>
    </cfRule>
    <cfRule type="cellIs" dxfId="5316" priority="6534" operator="greaterThan">
      <formula>0</formula>
    </cfRule>
  </conditionalFormatting>
  <conditionalFormatting sqref="QF12:QF13">
    <cfRule type="cellIs" dxfId="5315" priority="6529" operator="lessThan">
      <formula>0</formula>
    </cfRule>
    <cfRule type="cellIs" dxfId="5314" priority="6530" operator="greaterThan">
      <formula>0</formula>
    </cfRule>
  </conditionalFormatting>
  <conditionalFormatting sqref="QF14:QF19">
    <cfRule type="cellIs" dxfId="5313" priority="6527" operator="lessThan">
      <formula>0</formula>
    </cfRule>
    <cfRule type="cellIs" dxfId="5312" priority="6528" operator="greaterThan">
      <formula>0</formula>
    </cfRule>
  </conditionalFormatting>
  <conditionalFormatting sqref="QF20:QF22">
    <cfRule type="cellIs" dxfId="5311" priority="6525" operator="lessThan">
      <formula>0</formula>
    </cfRule>
    <cfRule type="cellIs" dxfId="5310" priority="6526" operator="greaterThan">
      <formula>0</formula>
    </cfRule>
  </conditionalFormatting>
  <conditionalFormatting sqref="QF45:QF46">
    <cfRule type="cellIs" dxfId="5309" priority="6539" operator="lessThan">
      <formula>0</formula>
    </cfRule>
    <cfRule type="cellIs" dxfId="5308" priority="6540" operator="greaterThan">
      <formula>0</formula>
    </cfRule>
  </conditionalFormatting>
  <conditionalFormatting sqref="QF7">
    <cfRule type="cellIs" dxfId="5307" priority="6511" operator="lessThan">
      <formula>0</formula>
    </cfRule>
    <cfRule type="cellIs" dxfId="5306" priority="6512" operator="greaterThan">
      <formula>0</formula>
    </cfRule>
  </conditionalFormatting>
  <conditionalFormatting sqref="QF7">
    <cfRule type="cellIs" dxfId="5305" priority="6509" operator="lessThan">
      <formula>0</formula>
    </cfRule>
    <cfRule type="cellIs" dxfId="5304" priority="6510" operator="greaterThan">
      <formula>0</formula>
    </cfRule>
  </conditionalFormatting>
  <conditionalFormatting sqref="QF8">
    <cfRule type="cellIs" dxfId="5303" priority="6507" operator="lessThan">
      <formula>0</formula>
    </cfRule>
    <cfRule type="cellIs" dxfId="5302" priority="6508" operator="greaterThan">
      <formula>0</formula>
    </cfRule>
  </conditionalFormatting>
  <conditionalFormatting sqref="QF47">
    <cfRule type="cellIs" dxfId="5301" priority="6505" operator="lessThan">
      <formula>0</formula>
    </cfRule>
    <cfRule type="cellIs" dxfId="5300" priority="6506" operator="greaterThan">
      <formula>0</formula>
    </cfRule>
  </conditionalFormatting>
  <conditionalFormatting sqref="QF44">
    <cfRule type="cellIs" dxfId="5299" priority="6503" operator="lessThan">
      <formula>0</formula>
    </cfRule>
    <cfRule type="cellIs" dxfId="5298" priority="6504" operator="greaterThan">
      <formula>0</formula>
    </cfRule>
  </conditionalFormatting>
  <conditionalFormatting sqref="QF23:QF24">
    <cfRule type="cellIs" dxfId="5297" priority="6499" operator="lessThan">
      <formula>0</formula>
    </cfRule>
    <cfRule type="cellIs" dxfId="5296" priority="6500" operator="greaterThan">
      <formula>0</formula>
    </cfRule>
  </conditionalFormatting>
  <conditionalFormatting sqref="QF33:QF34">
    <cfRule type="cellIs" dxfId="5295" priority="6497" operator="lessThan">
      <formula>0</formula>
    </cfRule>
    <cfRule type="cellIs" dxfId="5294" priority="6498" operator="greaterThan">
      <formula>0</formula>
    </cfRule>
  </conditionalFormatting>
  <conditionalFormatting sqref="QF101">
    <cfRule type="cellIs" dxfId="5293" priority="6489" operator="lessThan">
      <formula>0</formula>
    </cfRule>
    <cfRule type="cellIs" dxfId="5292" priority="6490" operator="greaterThan">
      <formula>0</formula>
    </cfRule>
  </conditionalFormatting>
  <conditionalFormatting sqref="QF104">
    <cfRule type="cellIs" dxfId="5291" priority="6487" operator="lessThan">
      <formula>0</formula>
    </cfRule>
    <cfRule type="cellIs" dxfId="5290" priority="6488" operator="greaterThan">
      <formula>0</formula>
    </cfRule>
  </conditionalFormatting>
  <conditionalFormatting sqref="QF48:QF49">
    <cfRule type="cellIs" dxfId="5289" priority="6453" operator="lessThan">
      <formula>0</formula>
    </cfRule>
    <cfRule type="cellIs" dxfId="5288" priority="6454" operator="greaterThan">
      <formula>0</formula>
    </cfRule>
  </conditionalFormatting>
  <conditionalFormatting sqref="QH98">
    <cfRule type="cellIs" dxfId="5287" priority="6388" operator="lessThan">
      <formula>0</formula>
    </cfRule>
    <cfRule type="cellIs" dxfId="5286" priority="6389" operator="greaterThan">
      <formula>0</formula>
    </cfRule>
  </conditionalFormatting>
  <conditionalFormatting sqref="QH6 QH9:QH11">
    <cfRule type="cellIs" dxfId="5285" priority="6428" operator="lessThan">
      <formula>0</formula>
    </cfRule>
    <cfRule type="cellIs" dxfId="5284" priority="6429" operator="greaterThan">
      <formula>0</formula>
    </cfRule>
  </conditionalFormatting>
  <conditionalFormatting sqref="QH43:QH44">
    <cfRule type="cellIs" dxfId="5283" priority="6392" operator="lessThan">
      <formula>0</formula>
    </cfRule>
    <cfRule type="cellIs" dxfId="5282" priority="6393" operator="greaterThan">
      <formula>0</formula>
    </cfRule>
  </conditionalFormatting>
  <conditionalFormatting sqref="QH11 QH19 QH3 QH24:QH32 QH34:QH42 QH69:QH79">
    <cfRule type="cellIs" dxfId="5281" priority="6438" operator="lessThan">
      <formula>0</formula>
    </cfRule>
    <cfRule type="cellIs" dxfId="5280" priority="6439" operator="greaterThan">
      <formula>0</formula>
    </cfRule>
  </conditionalFormatting>
  <conditionalFormatting sqref="QH4:QH5">
    <cfRule type="cellIs" dxfId="5279" priority="6430" operator="lessThan">
      <formula>0</formula>
    </cfRule>
    <cfRule type="cellIs" dxfId="5278" priority="6431" operator="greaterThan">
      <formula>0</formula>
    </cfRule>
  </conditionalFormatting>
  <conditionalFormatting sqref="QH12:QH13">
    <cfRule type="cellIs" dxfId="5277" priority="6426" operator="lessThan">
      <formula>0</formula>
    </cfRule>
    <cfRule type="cellIs" dxfId="5276" priority="6427" operator="greaterThan">
      <formula>0</formula>
    </cfRule>
  </conditionalFormatting>
  <conditionalFormatting sqref="QH14:QH19">
    <cfRule type="cellIs" dxfId="5275" priority="6424" operator="lessThan">
      <formula>0</formula>
    </cfRule>
    <cfRule type="cellIs" dxfId="5274" priority="6425" operator="greaterThan">
      <formula>0</formula>
    </cfRule>
  </conditionalFormatting>
  <conditionalFormatting sqref="QH20:QH22">
    <cfRule type="cellIs" dxfId="5273" priority="6422" operator="lessThan">
      <formula>0</formula>
    </cfRule>
    <cfRule type="cellIs" dxfId="5272" priority="6423" operator="greaterThan">
      <formula>0</formula>
    </cfRule>
  </conditionalFormatting>
  <conditionalFormatting sqref="QH45:QH46">
    <cfRule type="cellIs" dxfId="5271" priority="6436" operator="lessThan">
      <formula>0</formula>
    </cfRule>
    <cfRule type="cellIs" dxfId="5270" priority="6437" operator="greaterThan">
      <formula>0</formula>
    </cfRule>
  </conditionalFormatting>
  <conditionalFormatting sqref="QH7">
    <cfRule type="cellIs" dxfId="5269" priority="6408" operator="lessThan">
      <formula>0</formula>
    </cfRule>
    <cfRule type="cellIs" dxfId="5268" priority="6409" operator="greaterThan">
      <formula>0</formula>
    </cfRule>
  </conditionalFormatting>
  <conditionalFormatting sqref="QH7">
    <cfRule type="cellIs" dxfId="5267" priority="6406" operator="lessThan">
      <formula>0</formula>
    </cfRule>
    <cfRule type="cellIs" dxfId="5266" priority="6407" operator="greaterThan">
      <formula>0</formula>
    </cfRule>
  </conditionalFormatting>
  <conditionalFormatting sqref="QH8">
    <cfRule type="cellIs" dxfId="5265" priority="6404" operator="lessThan">
      <formula>0</formula>
    </cfRule>
    <cfRule type="cellIs" dxfId="5264" priority="6405" operator="greaterThan">
      <formula>0</formula>
    </cfRule>
  </conditionalFormatting>
  <conditionalFormatting sqref="QH47">
    <cfRule type="cellIs" dxfId="5263" priority="6402" operator="lessThan">
      <formula>0</formula>
    </cfRule>
    <cfRule type="cellIs" dxfId="5262" priority="6403" operator="greaterThan">
      <formula>0</formula>
    </cfRule>
  </conditionalFormatting>
  <conditionalFormatting sqref="QH44">
    <cfRule type="cellIs" dxfId="5261" priority="6400" operator="lessThan">
      <formula>0</formula>
    </cfRule>
    <cfRule type="cellIs" dxfId="5260" priority="6401" operator="greaterThan">
      <formula>0</formula>
    </cfRule>
  </conditionalFormatting>
  <conditionalFormatting sqref="QH23:QH24">
    <cfRule type="cellIs" dxfId="5259" priority="6396" operator="lessThan">
      <formula>0</formula>
    </cfRule>
    <cfRule type="cellIs" dxfId="5258" priority="6397" operator="greaterThan">
      <formula>0</formula>
    </cfRule>
  </conditionalFormatting>
  <conditionalFormatting sqref="QH33:QH34">
    <cfRule type="cellIs" dxfId="5257" priority="6394" operator="lessThan">
      <formula>0</formula>
    </cfRule>
    <cfRule type="cellIs" dxfId="5256" priority="6395" operator="greaterThan">
      <formula>0</formula>
    </cfRule>
  </conditionalFormatting>
  <conditionalFormatting sqref="QH101">
    <cfRule type="cellIs" dxfId="5255" priority="6386" operator="lessThan">
      <formula>0</formula>
    </cfRule>
    <cfRule type="cellIs" dxfId="5254" priority="6387" operator="greaterThan">
      <formula>0</formula>
    </cfRule>
  </conditionalFormatting>
  <conditionalFormatting sqref="QH104">
    <cfRule type="cellIs" dxfId="5253" priority="6384" operator="lessThan">
      <formula>0</formula>
    </cfRule>
    <cfRule type="cellIs" dxfId="5252" priority="6385" operator="greaterThan">
      <formula>0</formula>
    </cfRule>
  </conditionalFormatting>
  <conditionalFormatting sqref="QH48:QH49">
    <cfRule type="cellIs" dxfId="5251" priority="6350" operator="lessThan">
      <formula>0</formula>
    </cfRule>
    <cfRule type="cellIs" dxfId="5250" priority="6351" operator="greaterThan">
      <formula>0</formula>
    </cfRule>
  </conditionalFormatting>
  <conditionalFormatting sqref="QJ98">
    <cfRule type="cellIs" dxfId="5249" priority="6285" operator="lessThan">
      <formula>0</formula>
    </cfRule>
    <cfRule type="cellIs" dxfId="5248" priority="6286" operator="greaterThan">
      <formula>0</formula>
    </cfRule>
  </conditionalFormatting>
  <conditionalFormatting sqref="QJ6 QJ9:QJ11">
    <cfRule type="cellIs" dxfId="5247" priority="6325" operator="lessThan">
      <formula>0</formula>
    </cfRule>
    <cfRule type="cellIs" dxfId="5246" priority="6326" operator="greaterThan">
      <formula>0</formula>
    </cfRule>
  </conditionalFormatting>
  <conditionalFormatting sqref="QJ43:QJ44">
    <cfRule type="cellIs" dxfId="5245" priority="6289" operator="lessThan">
      <formula>0</formula>
    </cfRule>
    <cfRule type="cellIs" dxfId="5244" priority="6290" operator="greaterThan">
      <formula>0</formula>
    </cfRule>
  </conditionalFormatting>
  <conditionalFormatting sqref="QJ11 QJ19 QJ3 QJ24:QJ32 QJ34:QJ42 QJ69:QJ79">
    <cfRule type="cellIs" dxfId="5243" priority="6335" operator="lessThan">
      <formula>0</formula>
    </cfRule>
    <cfRule type="cellIs" dxfId="5242" priority="6336" operator="greaterThan">
      <formula>0</formula>
    </cfRule>
  </conditionalFormatting>
  <conditionalFormatting sqref="QJ4:QJ5">
    <cfRule type="cellIs" dxfId="5241" priority="6327" operator="lessThan">
      <formula>0</formula>
    </cfRule>
    <cfRule type="cellIs" dxfId="5240" priority="6328" operator="greaterThan">
      <formula>0</formula>
    </cfRule>
  </conditionalFormatting>
  <conditionalFormatting sqref="QJ12:QJ13">
    <cfRule type="cellIs" dxfId="5239" priority="6323" operator="lessThan">
      <formula>0</formula>
    </cfRule>
    <cfRule type="cellIs" dxfId="5238" priority="6324" operator="greaterThan">
      <formula>0</formula>
    </cfRule>
  </conditionalFormatting>
  <conditionalFormatting sqref="QJ14:QJ19">
    <cfRule type="cellIs" dxfId="5237" priority="6321" operator="lessThan">
      <formula>0</formula>
    </cfRule>
    <cfRule type="cellIs" dxfId="5236" priority="6322" operator="greaterThan">
      <formula>0</formula>
    </cfRule>
  </conditionalFormatting>
  <conditionalFormatting sqref="QJ20:QJ22">
    <cfRule type="cellIs" dxfId="5235" priority="6319" operator="lessThan">
      <formula>0</formula>
    </cfRule>
    <cfRule type="cellIs" dxfId="5234" priority="6320" operator="greaterThan">
      <formula>0</formula>
    </cfRule>
  </conditionalFormatting>
  <conditionalFormatting sqref="QJ45:QJ46">
    <cfRule type="cellIs" dxfId="5233" priority="6333" operator="lessThan">
      <formula>0</formula>
    </cfRule>
    <cfRule type="cellIs" dxfId="5232" priority="6334" operator="greaterThan">
      <formula>0</formula>
    </cfRule>
  </conditionalFormatting>
  <conditionalFormatting sqref="QJ7">
    <cfRule type="cellIs" dxfId="5231" priority="6305" operator="lessThan">
      <formula>0</formula>
    </cfRule>
    <cfRule type="cellIs" dxfId="5230" priority="6306" operator="greaterThan">
      <formula>0</formula>
    </cfRule>
  </conditionalFormatting>
  <conditionalFormatting sqref="QJ7">
    <cfRule type="cellIs" dxfId="5229" priority="6303" operator="lessThan">
      <formula>0</formula>
    </cfRule>
    <cfRule type="cellIs" dxfId="5228" priority="6304" operator="greaterThan">
      <formula>0</formula>
    </cfRule>
  </conditionalFormatting>
  <conditionalFormatting sqref="QJ8">
    <cfRule type="cellIs" dxfId="5227" priority="6301" operator="lessThan">
      <formula>0</formula>
    </cfRule>
    <cfRule type="cellIs" dxfId="5226" priority="6302" operator="greaterThan">
      <formula>0</formula>
    </cfRule>
  </conditionalFormatting>
  <conditionalFormatting sqref="QJ47">
    <cfRule type="cellIs" dxfId="5225" priority="6299" operator="lessThan">
      <formula>0</formula>
    </cfRule>
    <cfRule type="cellIs" dxfId="5224" priority="6300" operator="greaterThan">
      <formula>0</formula>
    </cfRule>
  </conditionalFormatting>
  <conditionalFormatting sqref="QJ44">
    <cfRule type="cellIs" dxfId="5223" priority="6297" operator="lessThan">
      <formula>0</formula>
    </cfRule>
    <cfRule type="cellIs" dxfId="5222" priority="6298" operator="greaterThan">
      <formula>0</formula>
    </cfRule>
  </conditionalFormatting>
  <conditionalFormatting sqref="QJ23:QJ24">
    <cfRule type="cellIs" dxfId="5221" priority="6293" operator="lessThan">
      <formula>0</formula>
    </cfRule>
    <cfRule type="cellIs" dxfId="5220" priority="6294" operator="greaterThan">
      <formula>0</formula>
    </cfRule>
  </conditionalFormatting>
  <conditionalFormatting sqref="QJ33:QJ34">
    <cfRule type="cellIs" dxfId="5219" priority="6291" operator="lessThan">
      <formula>0</formula>
    </cfRule>
    <cfRule type="cellIs" dxfId="5218" priority="6292" operator="greaterThan">
      <formula>0</formula>
    </cfRule>
  </conditionalFormatting>
  <conditionalFormatting sqref="QJ101">
    <cfRule type="cellIs" dxfId="5217" priority="6283" operator="lessThan">
      <formula>0</formula>
    </cfRule>
    <cfRule type="cellIs" dxfId="5216" priority="6284" operator="greaterThan">
      <formula>0</formula>
    </cfRule>
  </conditionalFormatting>
  <conditionalFormatting sqref="QJ104">
    <cfRule type="cellIs" dxfId="5215" priority="6281" operator="lessThan">
      <formula>0</formula>
    </cfRule>
    <cfRule type="cellIs" dxfId="5214" priority="6282" operator="greaterThan">
      <formula>0</formula>
    </cfRule>
  </conditionalFormatting>
  <conditionalFormatting sqref="QJ48:QJ49">
    <cfRule type="cellIs" dxfId="5213" priority="6247" operator="lessThan">
      <formula>0</formula>
    </cfRule>
    <cfRule type="cellIs" dxfId="5212" priority="6248" operator="greaterThan">
      <formula>0</formula>
    </cfRule>
  </conditionalFormatting>
  <conditionalFormatting sqref="QL98">
    <cfRule type="cellIs" dxfId="5211" priority="6182" operator="lessThan">
      <formula>0</formula>
    </cfRule>
    <cfRule type="cellIs" dxfId="5210" priority="6183" operator="greaterThan">
      <formula>0</formula>
    </cfRule>
  </conditionalFormatting>
  <conditionalFormatting sqref="QL6 QL9:QL11">
    <cfRule type="cellIs" dxfId="5209" priority="6222" operator="lessThan">
      <formula>0</formula>
    </cfRule>
    <cfRule type="cellIs" dxfId="5208" priority="6223" operator="greaterThan">
      <formula>0</formula>
    </cfRule>
  </conditionalFormatting>
  <conditionalFormatting sqref="QL43:QL44">
    <cfRule type="cellIs" dxfId="5207" priority="6186" operator="lessThan">
      <formula>0</formula>
    </cfRule>
    <cfRule type="cellIs" dxfId="5206" priority="6187" operator="greaterThan">
      <formula>0</formula>
    </cfRule>
  </conditionalFormatting>
  <conditionalFormatting sqref="QL11 QL19 QL3 QL24:QL32 QL34:QL42 QL69:QL79">
    <cfRule type="cellIs" dxfId="5205" priority="6232" operator="lessThan">
      <formula>0</formula>
    </cfRule>
    <cfRule type="cellIs" dxfId="5204" priority="6233" operator="greaterThan">
      <formula>0</formula>
    </cfRule>
  </conditionalFormatting>
  <conditionalFormatting sqref="QL4:QL5">
    <cfRule type="cellIs" dxfId="5203" priority="6224" operator="lessThan">
      <formula>0</formula>
    </cfRule>
    <cfRule type="cellIs" dxfId="5202" priority="6225" operator="greaterThan">
      <formula>0</formula>
    </cfRule>
  </conditionalFormatting>
  <conditionalFormatting sqref="QL12:QL13">
    <cfRule type="cellIs" dxfId="5201" priority="6220" operator="lessThan">
      <formula>0</formula>
    </cfRule>
    <cfRule type="cellIs" dxfId="5200" priority="6221" operator="greaterThan">
      <formula>0</formula>
    </cfRule>
  </conditionalFormatting>
  <conditionalFormatting sqref="QL14:QL19">
    <cfRule type="cellIs" dxfId="5199" priority="6218" operator="lessThan">
      <formula>0</formula>
    </cfRule>
    <cfRule type="cellIs" dxfId="5198" priority="6219" operator="greaterThan">
      <formula>0</formula>
    </cfRule>
  </conditionalFormatting>
  <conditionalFormatting sqref="QL20:QL22">
    <cfRule type="cellIs" dxfId="5197" priority="6216" operator="lessThan">
      <formula>0</formula>
    </cfRule>
    <cfRule type="cellIs" dxfId="5196" priority="6217" operator="greaterThan">
      <formula>0</formula>
    </cfRule>
  </conditionalFormatting>
  <conditionalFormatting sqref="QL45:QL46">
    <cfRule type="cellIs" dxfId="5195" priority="6230" operator="lessThan">
      <formula>0</formula>
    </cfRule>
    <cfRule type="cellIs" dxfId="5194" priority="6231" operator="greaterThan">
      <formula>0</formula>
    </cfRule>
  </conditionalFormatting>
  <conditionalFormatting sqref="QL7">
    <cfRule type="cellIs" dxfId="5193" priority="6202" operator="lessThan">
      <formula>0</formula>
    </cfRule>
    <cfRule type="cellIs" dxfId="5192" priority="6203" operator="greaterThan">
      <formula>0</formula>
    </cfRule>
  </conditionalFormatting>
  <conditionalFormatting sqref="QL7">
    <cfRule type="cellIs" dxfId="5191" priority="6200" operator="lessThan">
      <formula>0</formula>
    </cfRule>
    <cfRule type="cellIs" dxfId="5190" priority="6201" operator="greaterThan">
      <formula>0</formula>
    </cfRule>
  </conditionalFormatting>
  <conditionalFormatting sqref="QL8">
    <cfRule type="cellIs" dxfId="5189" priority="6198" operator="lessThan">
      <formula>0</formula>
    </cfRule>
    <cfRule type="cellIs" dxfId="5188" priority="6199" operator="greaterThan">
      <formula>0</formula>
    </cfRule>
  </conditionalFormatting>
  <conditionalFormatting sqref="QL47">
    <cfRule type="cellIs" dxfId="5187" priority="6196" operator="lessThan">
      <formula>0</formula>
    </cfRule>
    <cfRule type="cellIs" dxfId="5186" priority="6197" operator="greaterThan">
      <formula>0</formula>
    </cfRule>
  </conditionalFormatting>
  <conditionalFormatting sqref="QL44">
    <cfRule type="cellIs" dxfId="5185" priority="6194" operator="lessThan">
      <formula>0</formula>
    </cfRule>
    <cfRule type="cellIs" dxfId="5184" priority="6195" operator="greaterThan">
      <formula>0</formula>
    </cfRule>
  </conditionalFormatting>
  <conditionalFormatting sqref="QL23:QL24">
    <cfRule type="cellIs" dxfId="5183" priority="6190" operator="lessThan">
      <formula>0</formula>
    </cfRule>
    <cfRule type="cellIs" dxfId="5182" priority="6191" operator="greaterThan">
      <formula>0</formula>
    </cfRule>
  </conditionalFormatting>
  <conditionalFormatting sqref="QL33:QL34">
    <cfRule type="cellIs" dxfId="5181" priority="6188" operator="lessThan">
      <formula>0</formula>
    </cfRule>
    <cfRule type="cellIs" dxfId="5180" priority="6189" operator="greaterThan">
      <formula>0</formula>
    </cfRule>
  </conditionalFormatting>
  <conditionalFormatting sqref="QL101">
    <cfRule type="cellIs" dxfId="5179" priority="6180" operator="lessThan">
      <formula>0</formula>
    </cfRule>
    <cfRule type="cellIs" dxfId="5178" priority="6181" operator="greaterThan">
      <formula>0</formula>
    </cfRule>
  </conditionalFormatting>
  <conditionalFormatting sqref="QL104">
    <cfRule type="cellIs" dxfId="5177" priority="6178" operator="lessThan">
      <formula>0</formula>
    </cfRule>
    <cfRule type="cellIs" dxfId="5176" priority="6179" operator="greaterThan">
      <formula>0</formula>
    </cfRule>
  </conditionalFormatting>
  <conditionalFormatting sqref="QL48:QL49">
    <cfRule type="cellIs" dxfId="5175" priority="6144" operator="lessThan">
      <formula>0</formula>
    </cfRule>
    <cfRule type="cellIs" dxfId="5174" priority="6145" operator="greaterThan">
      <formula>0</formula>
    </cfRule>
  </conditionalFormatting>
  <conditionalFormatting sqref="QN98">
    <cfRule type="cellIs" dxfId="5173" priority="6079" operator="lessThan">
      <formula>0</formula>
    </cfRule>
    <cfRule type="cellIs" dxfId="5172" priority="6080" operator="greaterThan">
      <formula>0</formula>
    </cfRule>
  </conditionalFormatting>
  <conditionalFormatting sqref="QN6 QN9:QN11">
    <cfRule type="cellIs" dxfId="5171" priority="6119" operator="lessThan">
      <formula>0</formula>
    </cfRule>
    <cfRule type="cellIs" dxfId="5170" priority="6120" operator="greaterThan">
      <formula>0</formula>
    </cfRule>
  </conditionalFormatting>
  <conditionalFormatting sqref="QN43:QN44">
    <cfRule type="cellIs" dxfId="5169" priority="6083" operator="lessThan">
      <formula>0</formula>
    </cfRule>
    <cfRule type="cellIs" dxfId="5168" priority="6084" operator="greaterThan">
      <formula>0</formula>
    </cfRule>
  </conditionalFormatting>
  <conditionalFormatting sqref="QN11 QN19 QN3 QN24:QN32 QN34:QN42 QN69:QN79">
    <cfRule type="cellIs" dxfId="5167" priority="6129" operator="lessThan">
      <formula>0</formula>
    </cfRule>
    <cfRule type="cellIs" dxfId="5166" priority="6130" operator="greaterThan">
      <formula>0</formula>
    </cfRule>
  </conditionalFormatting>
  <conditionalFormatting sqref="QN4:QN5">
    <cfRule type="cellIs" dxfId="5165" priority="6121" operator="lessThan">
      <formula>0</formula>
    </cfRule>
    <cfRule type="cellIs" dxfId="5164" priority="6122" operator="greaterThan">
      <formula>0</formula>
    </cfRule>
  </conditionalFormatting>
  <conditionalFormatting sqref="QN12:QN13">
    <cfRule type="cellIs" dxfId="5163" priority="6117" operator="lessThan">
      <formula>0</formula>
    </cfRule>
    <cfRule type="cellIs" dxfId="5162" priority="6118" operator="greaterThan">
      <formula>0</formula>
    </cfRule>
  </conditionalFormatting>
  <conditionalFormatting sqref="QN14:QN19">
    <cfRule type="cellIs" dxfId="5161" priority="6115" operator="lessThan">
      <formula>0</formula>
    </cfRule>
    <cfRule type="cellIs" dxfId="5160" priority="6116" operator="greaterThan">
      <formula>0</formula>
    </cfRule>
  </conditionalFormatting>
  <conditionalFormatting sqref="QN20:QN22">
    <cfRule type="cellIs" dxfId="5159" priority="6113" operator="lessThan">
      <formula>0</formula>
    </cfRule>
    <cfRule type="cellIs" dxfId="5158" priority="6114" operator="greaterThan">
      <formula>0</formula>
    </cfRule>
  </conditionalFormatting>
  <conditionalFormatting sqref="QN45:QN46">
    <cfRule type="cellIs" dxfId="5157" priority="6127" operator="lessThan">
      <formula>0</formula>
    </cfRule>
    <cfRule type="cellIs" dxfId="5156" priority="6128" operator="greaterThan">
      <formula>0</formula>
    </cfRule>
  </conditionalFormatting>
  <conditionalFormatting sqref="QN7">
    <cfRule type="cellIs" dxfId="5155" priority="6099" operator="lessThan">
      <formula>0</formula>
    </cfRule>
    <cfRule type="cellIs" dxfId="5154" priority="6100" operator="greaterThan">
      <formula>0</formula>
    </cfRule>
  </conditionalFormatting>
  <conditionalFormatting sqref="QN7">
    <cfRule type="cellIs" dxfId="5153" priority="6097" operator="lessThan">
      <formula>0</formula>
    </cfRule>
    <cfRule type="cellIs" dxfId="5152" priority="6098" operator="greaterThan">
      <formula>0</formula>
    </cfRule>
  </conditionalFormatting>
  <conditionalFormatting sqref="QN8">
    <cfRule type="cellIs" dxfId="5151" priority="6095" operator="lessThan">
      <formula>0</formula>
    </cfRule>
    <cfRule type="cellIs" dxfId="5150" priority="6096" operator="greaterThan">
      <formula>0</formula>
    </cfRule>
  </conditionalFormatting>
  <conditionalFormatting sqref="QN47">
    <cfRule type="cellIs" dxfId="5149" priority="6093" operator="lessThan">
      <formula>0</formula>
    </cfRule>
    <cfRule type="cellIs" dxfId="5148" priority="6094" operator="greaterThan">
      <formula>0</formula>
    </cfRule>
  </conditionalFormatting>
  <conditionalFormatting sqref="QN44">
    <cfRule type="cellIs" dxfId="5147" priority="6091" operator="lessThan">
      <formula>0</formula>
    </cfRule>
    <cfRule type="cellIs" dxfId="5146" priority="6092" operator="greaterThan">
      <formula>0</formula>
    </cfRule>
  </conditionalFormatting>
  <conditionalFormatting sqref="QN23:QN24">
    <cfRule type="cellIs" dxfId="5145" priority="6087" operator="lessThan">
      <formula>0</formula>
    </cfRule>
    <cfRule type="cellIs" dxfId="5144" priority="6088" operator="greaterThan">
      <formula>0</formula>
    </cfRule>
  </conditionalFormatting>
  <conditionalFormatting sqref="QN33:QN34">
    <cfRule type="cellIs" dxfId="5143" priority="6085" operator="lessThan">
      <formula>0</formula>
    </cfRule>
    <cfRule type="cellIs" dxfId="5142" priority="6086" operator="greaterThan">
      <formula>0</formula>
    </cfRule>
  </conditionalFormatting>
  <conditionalFormatting sqref="QN101">
    <cfRule type="cellIs" dxfId="5141" priority="6077" operator="lessThan">
      <formula>0</formula>
    </cfRule>
    <cfRule type="cellIs" dxfId="5140" priority="6078" operator="greaterThan">
      <formula>0</formula>
    </cfRule>
  </conditionalFormatting>
  <conditionalFormatting sqref="QN104">
    <cfRule type="cellIs" dxfId="5139" priority="6075" operator="lessThan">
      <formula>0</formula>
    </cfRule>
    <cfRule type="cellIs" dxfId="5138" priority="6076" operator="greaterThan">
      <formula>0</formula>
    </cfRule>
  </conditionalFormatting>
  <conditionalFormatting sqref="QN48:QN49">
    <cfRule type="cellIs" dxfId="5137" priority="6041" operator="lessThan">
      <formula>0</formula>
    </cfRule>
    <cfRule type="cellIs" dxfId="5136" priority="6042" operator="greaterThan">
      <formula>0</formula>
    </cfRule>
  </conditionalFormatting>
  <conditionalFormatting sqref="QP98">
    <cfRule type="cellIs" dxfId="5135" priority="5976" operator="lessThan">
      <formula>0</formula>
    </cfRule>
    <cfRule type="cellIs" dxfId="5134" priority="5977" operator="greaterThan">
      <formula>0</formula>
    </cfRule>
  </conditionalFormatting>
  <conditionalFormatting sqref="QP6 QP9:QP11">
    <cfRule type="cellIs" dxfId="5133" priority="6016" operator="lessThan">
      <formula>0</formula>
    </cfRule>
    <cfRule type="cellIs" dxfId="5132" priority="6017" operator="greaterThan">
      <formula>0</formula>
    </cfRule>
  </conditionalFormatting>
  <conditionalFormatting sqref="QP43:QP44">
    <cfRule type="cellIs" dxfId="5131" priority="5980" operator="lessThan">
      <formula>0</formula>
    </cfRule>
    <cfRule type="cellIs" dxfId="5130" priority="5981" operator="greaterThan">
      <formula>0</formula>
    </cfRule>
  </conditionalFormatting>
  <conditionalFormatting sqref="QP11 QP19 QP3 QP24:QP32 QP34:QP42 QP69:QP79">
    <cfRule type="cellIs" dxfId="5129" priority="6026" operator="lessThan">
      <formula>0</formula>
    </cfRule>
    <cfRule type="cellIs" dxfId="5128" priority="6027" operator="greaterThan">
      <formula>0</formula>
    </cfRule>
  </conditionalFormatting>
  <conditionalFormatting sqref="QP4:QP5">
    <cfRule type="cellIs" dxfId="5127" priority="6018" operator="lessThan">
      <formula>0</formula>
    </cfRule>
    <cfRule type="cellIs" dxfId="5126" priority="6019" operator="greaterThan">
      <formula>0</formula>
    </cfRule>
  </conditionalFormatting>
  <conditionalFormatting sqref="QP12:QP13">
    <cfRule type="cellIs" dxfId="5125" priority="6014" operator="lessThan">
      <formula>0</formula>
    </cfRule>
    <cfRule type="cellIs" dxfId="5124" priority="6015" operator="greaterThan">
      <formula>0</formula>
    </cfRule>
  </conditionalFormatting>
  <conditionalFormatting sqref="QP14:QP19">
    <cfRule type="cellIs" dxfId="5123" priority="6012" operator="lessThan">
      <formula>0</formula>
    </cfRule>
    <cfRule type="cellIs" dxfId="5122" priority="6013" operator="greaterThan">
      <formula>0</formula>
    </cfRule>
  </conditionalFormatting>
  <conditionalFormatting sqref="QP20:QP22">
    <cfRule type="cellIs" dxfId="5121" priority="6010" operator="lessThan">
      <formula>0</formula>
    </cfRule>
    <cfRule type="cellIs" dxfId="5120" priority="6011" operator="greaterThan">
      <formula>0</formula>
    </cfRule>
  </conditionalFormatting>
  <conditionalFormatting sqref="QP45:QP46">
    <cfRule type="cellIs" dxfId="5119" priority="6024" operator="lessThan">
      <formula>0</formula>
    </cfRule>
    <cfRule type="cellIs" dxfId="5118" priority="6025" operator="greaterThan">
      <formula>0</formula>
    </cfRule>
  </conditionalFormatting>
  <conditionalFormatting sqref="QP7">
    <cfRule type="cellIs" dxfId="5117" priority="5996" operator="lessThan">
      <formula>0</formula>
    </cfRule>
    <cfRule type="cellIs" dxfId="5116" priority="5997" operator="greaterThan">
      <formula>0</formula>
    </cfRule>
  </conditionalFormatting>
  <conditionalFormatting sqref="QP7">
    <cfRule type="cellIs" dxfId="5115" priority="5994" operator="lessThan">
      <formula>0</formula>
    </cfRule>
    <cfRule type="cellIs" dxfId="5114" priority="5995" operator="greaterThan">
      <formula>0</formula>
    </cfRule>
  </conditionalFormatting>
  <conditionalFormatting sqref="QP8">
    <cfRule type="cellIs" dxfId="5113" priority="5992" operator="lessThan">
      <formula>0</formula>
    </cfRule>
    <cfRule type="cellIs" dxfId="5112" priority="5993" operator="greaterThan">
      <formula>0</formula>
    </cfRule>
  </conditionalFormatting>
  <conditionalFormatting sqref="QP47">
    <cfRule type="cellIs" dxfId="5111" priority="5990" operator="lessThan">
      <formula>0</formula>
    </cfRule>
    <cfRule type="cellIs" dxfId="5110" priority="5991" operator="greaterThan">
      <formula>0</formula>
    </cfRule>
  </conditionalFormatting>
  <conditionalFormatting sqref="QP44">
    <cfRule type="cellIs" dxfId="5109" priority="5988" operator="lessThan">
      <formula>0</formula>
    </cfRule>
    <cfRule type="cellIs" dxfId="5108" priority="5989" operator="greaterThan">
      <formula>0</formula>
    </cfRule>
  </conditionalFormatting>
  <conditionalFormatting sqref="QP23:QP24">
    <cfRule type="cellIs" dxfId="5107" priority="5984" operator="lessThan">
      <formula>0</formula>
    </cfRule>
    <cfRule type="cellIs" dxfId="5106" priority="5985" operator="greaterThan">
      <formula>0</formula>
    </cfRule>
  </conditionalFormatting>
  <conditionalFormatting sqref="QP33:QP34">
    <cfRule type="cellIs" dxfId="5105" priority="5982" operator="lessThan">
      <formula>0</formula>
    </cfRule>
    <cfRule type="cellIs" dxfId="5104" priority="5983" operator="greaterThan">
      <formula>0</formula>
    </cfRule>
  </conditionalFormatting>
  <conditionalFormatting sqref="QP101">
    <cfRule type="cellIs" dxfId="5103" priority="5974" operator="lessThan">
      <formula>0</formula>
    </cfRule>
    <cfRule type="cellIs" dxfId="5102" priority="5975" operator="greaterThan">
      <formula>0</formula>
    </cfRule>
  </conditionalFormatting>
  <conditionalFormatting sqref="QP104">
    <cfRule type="cellIs" dxfId="5101" priority="5972" operator="lessThan">
      <formula>0</formula>
    </cfRule>
    <cfRule type="cellIs" dxfId="5100" priority="5973" operator="greaterThan">
      <formula>0</formula>
    </cfRule>
  </conditionalFormatting>
  <conditionalFormatting sqref="QP48:QP49">
    <cfRule type="cellIs" dxfId="5099" priority="5938" operator="lessThan">
      <formula>0</formula>
    </cfRule>
    <cfRule type="cellIs" dxfId="5098" priority="5939" operator="greaterThan">
      <formula>0</formula>
    </cfRule>
  </conditionalFormatting>
  <conditionalFormatting sqref="QR98">
    <cfRule type="cellIs" dxfId="5097" priority="5873" operator="lessThan">
      <formula>0</formula>
    </cfRule>
    <cfRule type="cellIs" dxfId="5096" priority="5874" operator="greaterThan">
      <formula>0</formula>
    </cfRule>
  </conditionalFormatting>
  <conditionalFormatting sqref="QR6 QR9:QR11">
    <cfRule type="cellIs" dxfId="5095" priority="5913" operator="lessThan">
      <formula>0</formula>
    </cfRule>
    <cfRule type="cellIs" dxfId="5094" priority="5914" operator="greaterThan">
      <formula>0</formula>
    </cfRule>
  </conditionalFormatting>
  <conditionalFormatting sqref="QR43:QR44">
    <cfRule type="cellIs" dxfId="5093" priority="5877" operator="lessThan">
      <formula>0</formula>
    </cfRule>
    <cfRule type="cellIs" dxfId="5092" priority="5878" operator="greaterThan">
      <formula>0</formula>
    </cfRule>
  </conditionalFormatting>
  <conditionalFormatting sqref="QR11 QR19 QR3 QR24:QR32 QR34:QR42 QR69:QR79">
    <cfRule type="cellIs" dxfId="5091" priority="5923" operator="lessThan">
      <formula>0</formula>
    </cfRule>
    <cfRule type="cellIs" dxfId="5090" priority="5924" operator="greaterThan">
      <formula>0</formula>
    </cfRule>
  </conditionalFormatting>
  <conditionalFormatting sqref="QR4:QR5">
    <cfRule type="cellIs" dxfId="5089" priority="5915" operator="lessThan">
      <formula>0</formula>
    </cfRule>
    <cfRule type="cellIs" dxfId="5088" priority="5916" operator="greaterThan">
      <formula>0</formula>
    </cfRule>
  </conditionalFormatting>
  <conditionalFormatting sqref="QR12:QR13">
    <cfRule type="cellIs" dxfId="5087" priority="5911" operator="lessThan">
      <formula>0</formula>
    </cfRule>
    <cfRule type="cellIs" dxfId="5086" priority="5912" operator="greaterThan">
      <formula>0</formula>
    </cfRule>
  </conditionalFormatting>
  <conditionalFormatting sqref="QR14:QR19">
    <cfRule type="cellIs" dxfId="5085" priority="5909" operator="lessThan">
      <formula>0</formula>
    </cfRule>
    <cfRule type="cellIs" dxfId="5084" priority="5910" operator="greaterThan">
      <formula>0</formula>
    </cfRule>
  </conditionalFormatting>
  <conditionalFormatting sqref="QR20:QR22">
    <cfRule type="cellIs" dxfId="5083" priority="5907" operator="lessThan">
      <formula>0</formula>
    </cfRule>
    <cfRule type="cellIs" dxfId="5082" priority="5908" operator="greaterThan">
      <formula>0</formula>
    </cfRule>
  </conditionalFormatting>
  <conditionalFormatting sqref="QR45:QR46">
    <cfRule type="cellIs" dxfId="5081" priority="5921" operator="lessThan">
      <formula>0</formula>
    </cfRule>
    <cfRule type="cellIs" dxfId="5080" priority="5922" operator="greaterThan">
      <formula>0</formula>
    </cfRule>
  </conditionalFormatting>
  <conditionalFormatting sqref="QR7">
    <cfRule type="cellIs" dxfId="5079" priority="5893" operator="lessThan">
      <formula>0</formula>
    </cfRule>
    <cfRule type="cellIs" dxfId="5078" priority="5894" operator="greaterThan">
      <formula>0</formula>
    </cfRule>
  </conditionalFormatting>
  <conditionalFormatting sqref="QR7">
    <cfRule type="cellIs" dxfId="5077" priority="5891" operator="lessThan">
      <formula>0</formula>
    </cfRule>
    <cfRule type="cellIs" dxfId="5076" priority="5892" operator="greaterThan">
      <formula>0</formula>
    </cfRule>
  </conditionalFormatting>
  <conditionalFormatting sqref="QR8">
    <cfRule type="cellIs" dxfId="5075" priority="5889" operator="lessThan">
      <formula>0</formula>
    </cfRule>
    <cfRule type="cellIs" dxfId="5074" priority="5890" operator="greaterThan">
      <formula>0</formula>
    </cfRule>
  </conditionalFormatting>
  <conditionalFormatting sqref="QR47">
    <cfRule type="cellIs" dxfId="5073" priority="5887" operator="lessThan">
      <formula>0</formula>
    </cfRule>
    <cfRule type="cellIs" dxfId="5072" priority="5888" operator="greaterThan">
      <formula>0</formula>
    </cfRule>
  </conditionalFormatting>
  <conditionalFormatting sqref="QR44">
    <cfRule type="cellIs" dxfId="5071" priority="5885" operator="lessThan">
      <formula>0</formula>
    </cfRule>
    <cfRule type="cellIs" dxfId="5070" priority="5886" operator="greaterThan">
      <formula>0</formula>
    </cfRule>
  </conditionalFormatting>
  <conditionalFormatting sqref="QR23:QR24">
    <cfRule type="cellIs" dxfId="5069" priority="5881" operator="lessThan">
      <formula>0</formula>
    </cfRule>
    <cfRule type="cellIs" dxfId="5068" priority="5882" operator="greaterThan">
      <formula>0</formula>
    </cfRule>
  </conditionalFormatting>
  <conditionalFormatting sqref="QR33:QR34">
    <cfRule type="cellIs" dxfId="5067" priority="5879" operator="lessThan">
      <formula>0</formula>
    </cfRule>
    <cfRule type="cellIs" dxfId="5066" priority="5880" operator="greaterThan">
      <formula>0</formula>
    </cfRule>
  </conditionalFormatting>
  <conditionalFormatting sqref="QR101">
    <cfRule type="cellIs" dxfId="5065" priority="5871" operator="lessThan">
      <formula>0</formula>
    </cfRule>
    <cfRule type="cellIs" dxfId="5064" priority="5872" operator="greaterThan">
      <formula>0</formula>
    </cfRule>
  </conditionalFormatting>
  <conditionalFormatting sqref="QR104">
    <cfRule type="cellIs" dxfId="5063" priority="5869" operator="lessThan">
      <formula>0</formula>
    </cfRule>
    <cfRule type="cellIs" dxfId="5062" priority="5870" operator="greaterThan">
      <formula>0</formula>
    </cfRule>
  </conditionalFormatting>
  <conditionalFormatting sqref="QR48:QR49">
    <cfRule type="cellIs" dxfId="5061" priority="5835" operator="lessThan">
      <formula>0</formula>
    </cfRule>
    <cfRule type="cellIs" dxfId="5060" priority="5836" operator="greaterThan">
      <formula>0</formula>
    </cfRule>
  </conditionalFormatting>
  <conditionalFormatting sqref="QT98">
    <cfRule type="cellIs" dxfId="5059" priority="5759" operator="lessThan">
      <formula>0</formula>
    </cfRule>
    <cfRule type="cellIs" dxfId="5058" priority="5760" operator="greaterThan">
      <formula>0</formula>
    </cfRule>
  </conditionalFormatting>
  <conditionalFormatting sqref="QT6 QT9:QT11">
    <cfRule type="cellIs" dxfId="5057" priority="5799" operator="lessThan">
      <formula>0</formula>
    </cfRule>
    <cfRule type="cellIs" dxfId="5056" priority="5800" operator="greaterThan">
      <formula>0</formula>
    </cfRule>
  </conditionalFormatting>
  <conditionalFormatting sqref="QT43:QT44">
    <cfRule type="cellIs" dxfId="5055" priority="5763" operator="lessThan">
      <formula>0</formula>
    </cfRule>
    <cfRule type="cellIs" dxfId="5054" priority="5764" operator="greaterThan">
      <formula>0</formula>
    </cfRule>
  </conditionalFormatting>
  <conditionalFormatting sqref="QT11 QT19 QT3 QT24:QT32 QT34:QT42 QT69:QT79">
    <cfRule type="cellIs" dxfId="5053" priority="5809" operator="lessThan">
      <formula>0</formula>
    </cfRule>
    <cfRule type="cellIs" dxfId="5052" priority="5810" operator="greaterThan">
      <formula>0</formula>
    </cfRule>
  </conditionalFormatting>
  <conditionalFormatting sqref="QT4:QT5">
    <cfRule type="cellIs" dxfId="5051" priority="5801" operator="lessThan">
      <formula>0</formula>
    </cfRule>
    <cfRule type="cellIs" dxfId="5050" priority="5802" operator="greaterThan">
      <formula>0</formula>
    </cfRule>
  </conditionalFormatting>
  <conditionalFormatting sqref="QT12:QT13">
    <cfRule type="cellIs" dxfId="5049" priority="5797" operator="lessThan">
      <formula>0</formula>
    </cfRule>
    <cfRule type="cellIs" dxfId="5048" priority="5798" operator="greaterThan">
      <formula>0</formula>
    </cfRule>
  </conditionalFormatting>
  <conditionalFormatting sqref="QT14:QT19">
    <cfRule type="cellIs" dxfId="5047" priority="5795" operator="lessThan">
      <formula>0</formula>
    </cfRule>
    <cfRule type="cellIs" dxfId="5046" priority="5796" operator="greaterThan">
      <formula>0</formula>
    </cfRule>
  </conditionalFormatting>
  <conditionalFormatting sqref="QT20:QT22">
    <cfRule type="cellIs" dxfId="5045" priority="5793" operator="lessThan">
      <formula>0</formula>
    </cfRule>
    <cfRule type="cellIs" dxfId="5044" priority="5794" operator="greaterThan">
      <formula>0</formula>
    </cfRule>
  </conditionalFormatting>
  <conditionalFormatting sqref="QT45:QT46">
    <cfRule type="cellIs" dxfId="5043" priority="5807" operator="lessThan">
      <formula>0</formula>
    </cfRule>
    <cfRule type="cellIs" dxfId="5042" priority="5808" operator="greaterThan">
      <formula>0</formula>
    </cfRule>
  </conditionalFormatting>
  <conditionalFormatting sqref="QT7">
    <cfRule type="cellIs" dxfId="5041" priority="5779" operator="lessThan">
      <formula>0</formula>
    </cfRule>
    <cfRule type="cellIs" dxfId="5040" priority="5780" operator="greaterThan">
      <formula>0</formula>
    </cfRule>
  </conditionalFormatting>
  <conditionalFormatting sqref="QT7">
    <cfRule type="cellIs" dxfId="5039" priority="5777" operator="lessThan">
      <formula>0</formula>
    </cfRule>
    <cfRule type="cellIs" dxfId="5038" priority="5778" operator="greaterThan">
      <formula>0</formula>
    </cfRule>
  </conditionalFormatting>
  <conditionalFormatting sqref="QT8">
    <cfRule type="cellIs" dxfId="5037" priority="5775" operator="lessThan">
      <formula>0</formula>
    </cfRule>
    <cfRule type="cellIs" dxfId="5036" priority="5776" operator="greaterThan">
      <formula>0</formula>
    </cfRule>
  </conditionalFormatting>
  <conditionalFormatting sqref="QT47">
    <cfRule type="cellIs" dxfId="5035" priority="5773" operator="lessThan">
      <formula>0</formula>
    </cfRule>
    <cfRule type="cellIs" dxfId="5034" priority="5774" operator="greaterThan">
      <formula>0</formula>
    </cfRule>
  </conditionalFormatting>
  <conditionalFormatting sqref="QT44">
    <cfRule type="cellIs" dxfId="5033" priority="5771" operator="lessThan">
      <formula>0</formula>
    </cfRule>
    <cfRule type="cellIs" dxfId="5032" priority="5772" operator="greaterThan">
      <formula>0</formula>
    </cfRule>
  </conditionalFormatting>
  <conditionalFormatting sqref="QT23:QT24">
    <cfRule type="cellIs" dxfId="5031" priority="5767" operator="lessThan">
      <formula>0</formula>
    </cfRule>
    <cfRule type="cellIs" dxfId="5030" priority="5768" operator="greaterThan">
      <formula>0</formula>
    </cfRule>
  </conditionalFormatting>
  <conditionalFormatting sqref="QT33:QT34">
    <cfRule type="cellIs" dxfId="5029" priority="5765" operator="lessThan">
      <formula>0</formula>
    </cfRule>
    <cfRule type="cellIs" dxfId="5028" priority="5766" operator="greaterThan">
      <formula>0</formula>
    </cfRule>
  </conditionalFormatting>
  <conditionalFormatting sqref="QT101">
    <cfRule type="cellIs" dxfId="5027" priority="5757" operator="lessThan">
      <formula>0</formula>
    </cfRule>
    <cfRule type="cellIs" dxfId="5026" priority="5758" operator="greaterThan">
      <formula>0</formula>
    </cfRule>
  </conditionalFormatting>
  <conditionalFormatting sqref="QT104">
    <cfRule type="cellIs" dxfId="5025" priority="5755" operator="lessThan">
      <formula>0</formula>
    </cfRule>
    <cfRule type="cellIs" dxfId="5024" priority="5756" operator="greaterThan">
      <formula>0</formula>
    </cfRule>
  </conditionalFormatting>
  <conditionalFormatting sqref="QT48:QT49">
    <cfRule type="cellIs" dxfId="5023" priority="5721" operator="lessThan">
      <formula>0</formula>
    </cfRule>
    <cfRule type="cellIs" dxfId="5022" priority="5722" operator="greaterThan">
      <formula>0</formula>
    </cfRule>
  </conditionalFormatting>
  <conditionalFormatting sqref="QV98">
    <cfRule type="cellIs" dxfId="5021" priority="5656" operator="lessThan">
      <formula>0</formula>
    </cfRule>
    <cfRule type="cellIs" dxfId="5020" priority="5657" operator="greaterThan">
      <formula>0</formula>
    </cfRule>
  </conditionalFormatting>
  <conditionalFormatting sqref="QV6 QV9:QV11">
    <cfRule type="cellIs" dxfId="5019" priority="5696" operator="lessThan">
      <formula>0</formula>
    </cfRule>
    <cfRule type="cellIs" dxfId="5018" priority="5697" operator="greaterThan">
      <formula>0</formula>
    </cfRule>
  </conditionalFormatting>
  <conditionalFormatting sqref="QV43:QV44">
    <cfRule type="cellIs" dxfId="5017" priority="5660" operator="lessThan">
      <formula>0</formula>
    </cfRule>
    <cfRule type="cellIs" dxfId="5016" priority="5661" operator="greaterThan">
      <formula>0</formula>
    </cfRule>
  </conditionalFormatting>
  <conditionalFormatting sqref="QV11 QV19 QV3 QV24:QV32 QV34:QV42 QV69:QV79">
    <cfRule type="cellIs" dxfId="5015" priority="5706" operator="lessThan">
      <formula>0</formula>
    </cfRule>
    <cfRule type="cellIs" dxfId="5014" priority="5707" operator="greaterThan">
      <formula>0</formula>
    </cfRule>
  </conditionalFormatting>
  <conditionalFormatting sqref="QV4:QV5">
    <cfRule type="cellIs" dxfId="5013" priority="5698" operator="lessThan">
      <formula>0</formula>
    </cfRule>
    <cfRule type="cellIs" dxfId="5012" priority="5699" operator="greaterThan">
      <formula>0</formula>
    </cfRule>
  </conditionalFormatting>
  <conditionalFormatting sqref="QV12:QV13">
    <cfRule type="cellIs" dxfId="5011" priority="5694" operator="lessThan">
      <formula>0</formula>
    </cfRule>
    <cfRule type="cellIs" dxfId="5010" priority="5695" operator="greaterThan">
      <formula>0</formula>
    </cfRule>
  </conditionalFormatting>
  <conditionalFormatting sqref="QV14:QV19">
    <cfRule type="cellIs" dxfId="5009" priority="5692" operator="lessThan">
      <formula>0</formula>
    </cfRule>
    <cfRule type="cellIs" dxfId="5008" priority="5693" operator="greaterThan">
      <formula>0</formula>
    </cfRule>
  </conditionalFormatting>
  <conditionalFormatting sqref="QV20:QV22">
    <cfRule type="cellIs" dxfId="5007" priority="5690" operator="lessThan">
      <formula>0</formula>
    </cfRule>
    <cfRule type="cellIs" dxfId="5006" priority="5691" operator="greaterThan">
      <formula>0</formula>
    </cfRule>
  </conditionalFormatting>
  <conditionalFormatting sqref="QV45:QV46">
    <cfRule type="cellIs" dxfId="5005" priority="5704" operator="lessThan">
      <formula>0</formula>
    </cfRule>
    <cfRule type="cellIs" dxfId="5004" priority="5705" operator="greaterThan">
      <formula>0</formula>
    </cfRule>
  </conditionalFormatting>
  <conditionalFormatting sqref="QV7">
    <cfRule type="cellIs" dxfId="5003" priority="5676" operator="lessThan">
      <formula>0</formula>
    </cfRule>
    <cfRule type="cellIs" dxfId="5002" priority="5677" operator="greaterThan">
      <formula>0</formula>
    </cfRule>
  </conditionalFormatting>
  <conditionalFormatting sqref="QV7">
    <cfRule type="cellIs" dxfId="5001" priority="5674" operator="lessThan">
      <formula>0</formula>
    </cfRule>
    <cfRule type="cellIs" dxfId="5000" priority="5675" operator="greaterThan">
      <formula>0</formula>
    </cfRule>
  </conditionalFormatting>
  <conditionalFormatting sqref="QV8">
    <cfRule type="cellIs" dxfId="4999" priority="5672" operator="lessThan">
      <formula>0</formula>
    </cfRule>
    <cfRule type="cellIs" dxfId="4998" priority="5673" operator="greaterThan">
      <formula>0</formula>
    </cfRule>
  </conditionalFormatting>
  <conditionalFormatting sqref="QV47">
    <cfRule type="cellIs" dxfId="4997" priority="5670" operator="lessThan">
      <formula>0</formula>
    </cfRule>
    <cfRule type="cellIs" dxfId="4996" priority="5671" operator="greaterThan">
      <formula>0</formula>
    </cfRule>
  </conditionalFormatting>
  <conditionalFormatting sqref="QV44">
    <cfRule type="cellIs" dxfId="4995" priority="5668" operator="lessThan">
      <formula>0</formula>
    </cfRule>
    <cfRule type="cellIs" dxfId="4994" priority="5669" operator="greaterThan">
      <formula>0</formula>
    </cfRule>
  </conditionalFormatting>
  <conditionalFormatting sqref="QV23:QV24">
    <cfRule type="cellIs" dxfId="4993" priority="5664" operator="lessThan">
      <formula>0</formula>
    </cfRule>
    <cfRule type="cellIs" dxfId="4992" priority="5665" operator="greaterThan">
      <formula>0</formula>
    </cfRule>
  </conditionalFormatting>
  <conditionalFormatting sqref="QV33:QV34">
    <cfRule type="cellIs" dxfId="4991" priority="5662" operator="lessThan">
      <formula>0</formula>
    </cfRule>
    <cfRule type="cellIs" dxfId="4990" priority="5663" operator="greaterThan">
      <formula>0</formula>
    </cfRule>
  </conditionalFormatting>
  <conditionalFormatting sqref="QV101">
    <cfRule type="cellIs" dxfId="4989" priority="5654" operator="lessThan">
      <formula>0</formula>
    </cfRule>
    <cfRule type="cellIs" dxfId="4988" priority="5655" operator="greaterThan">
      <formula>0</formula>
    </cfRule>
  </conditionalFormatting>
  <conditionalFormatting sqref="QV104">
    <cfRule type="cellIs" dxfId="4987" priority="5652" operator="lessThan">
      <formula>0</formula>
    </cfRule>
    <cfRule type="cellIs" dxfId="4986" priority="5653" operator="greaterThan">
      <formula>0</formula>
    </cfRule>
  </conditionalFormatting>
  <conditionalFormatting sqref="QV48:QV49">
    <cfRule type="cellIs" dxfId="4985" priority="5618" operator="lessThan">
      <formula>0</formula>
    </cfRule>
    <cfRule type="cellIs" dxfId="4984" priority="5619" operator="greaterThan">
      <formula>0</formula>
    </cfRule>
  </conditionalFormatting>
  <conditionalFormatting sqref="QX98">
    <cfRule type="cellIs" dxfId="4983" priority="5553" operator="lessThan">
      <formula>0</formula>
    </cfRule>
    <cfRule type="cellIs" dxfId="4982" priority="5554" operator="greaterThan">
      <formula>0</formula>
    </cfRule>
  </conditionalFormatting>
  <conditionalFormatting sqref="QX6 QX9:QX11">
    <cfRule type="cellIs" dxfId="4981" priority="5593" operator="lessThan">
      <formula>0</formula>
    </cfRule>
    <cfRule type="cellIs" dxfId="4980" priority="5594" operator="greaterThan">
      <formula>0</formula>
    </cfRule>
  </conditionalFormatting>
  <conditionalFormatting sqref="QX43:QX44">
    <cfRule type="cellIs" dxfId="4979" priority="5557" operator="lessThan">
      <formula>0</formula>
    </cfRule>
    <cfRule type="cellIs" dxfId="4978" priority="5558" operator="greaterThan">
      <formula>0</formula>
    </cfRule>
  </conditionalFormatting>
  <conditionalFormatting sqref="QX11 QX19 QX3 QX24:QX32 QX34:QX42 QX69:QX79">
    <cfRule type="cellIs" dxfId="4977" priority="5603" operator="lessThan">
      <formula>0</formula>
    </cfRule>
    <cfRule type="cellIs" dxfId="4976" priority="5604" operator="greaterThan">
      <formula>0</formula>
    </cfRule>
  </conditionalFormatting>
  <conditionalFormatting sqref="QX4:QX5">
    <cfRule type="cellIs" dxfId="4975" priority="5595" operator="lessThan">
      <formula>0</formula>
    </cfRule>
    <cfRule type="cellIs" dxfId="4974" priority="5596" operator="greaterThan">
      <formula>0</formula>
    </cfRule>
  </conditionalFormatting>
  <conditionalFormatting sqref="QX12:QX13">
    <cfRule type="cellIs" dxfId="4973" priority="5591" operator="lessThan">
      <formula>0</formula>
    </cfRule>
    <cfRule type="cellIs" dxfId="4972" priority="5592" operator="greaterThan">
      <formula>0</formula>
    </cfRule>
  </conditionalFormatting>
  <conditionalFormatting sqref="QX14:QX19">
    <cfRule type="cellIs" dxfId="4971" priority="5589" operator="lessThan">
      <formula>0</formula>
    </cfRule>
    <cfRule type="cellIs" dxfId="4970" priority="5590" operator="greaterThan">
      <formula>0</formula>
    </cfRule>
  </conditionalFormatting>
  <conditionalFormatting sqref="QX20:QX22">
    <cfRule type="cellIs" dxfId="4969" priority="5587" operator="lessThan">
      <formula>0</formula>
    </cfRule>
    <cfRule type="cellIs" dxfId="4968" priority="5588" operator="greaterThan">
      <formula>0</formula>
    </cfRule>
  </conditionalFormatting>
  <conditionalFormatting sqref="QX45:QX46">
    <cfRule type="cellIs" dxfId="4967" priority="5601" operator="lessThan">
      <formula>0</formula>
    </cfRule>
    <cfRule type="cellIs" dxfId="4966" priority="5602" operator="greaterThan">
      <formula>0</formula>
    </cfRule>
  </conditionalFormatting>
  <conditionalFormatting sqref="QX7">
    <cfRule type="cellIs" dxfId="4965" priority="5573" operator="lessThan">
      <formula>0</formula>
    </cfRule>
    <cfRule type="cellIs" dxfId="4964" priority="5574" operator="greaterThan">
      <formula>0</formula>
    </cfRule>
  </conditionalFormatting>
  <conditionalFormatting sqref="QX7">
    <cfRule type="cellIs" dxfId="4963" priority="5571" operator="lessThan">
      <formula>0</formula>
    </cfRule>
    <cfRule type="cellIs" dxfId="4962" priority="5572" operator="greaterThan">
      <formula>0</formula>
    </cfRule>
  </conditionalFormatting>
  <conditionalFormatting sqref="QX8">
    <cfRule type="cellIs" dxfId="4961" priority="5569" operator="lessThan">
      <formula>0</formula>
    </cfRule>
    <cfRule type="cellIs" dxfId="4960" priority="5570" operator="greaterThan">
      <formula>0</formula>
    </cfRule>
  </conditionalFormatting>
  <conditionalFormatting sqref="QX47">
    <cfRule type="cellIs" dxfId="4959" priority="5567" operator="lessThan">
      <formula>0</formula>
    </cfRule>
    <cfRule type="cellIs" dxfId="4958" priority="5568" operator="greaterThan">
      <formula>0</formula>
    </cfRule>
  </conditionalFormatting>
  <conditionalFormatting sqref="QX44">
    <cfRule type="cellIs" dxfId="4957" priority="5565" operator="lessThan">
      <formula>0</formula>
    </cfRule>
    <cfRule type="cellIs" dxfId="4956" priority="5566" operator="greaterThan">
      <formula>0</formula>
    </cfRule>
  </conditionalFormatting>
  <conditionalFormatting sqref="QX23:QX24">
    <cfRule type="cellIs" dxfId="4955" priority="5561" operator="lessThan">
      <formula>0</formula>
    </cfRule>
    <cfRule type="cellIs" dxfId="4954" priority="5562" operator="greaterThan">
      <formula>0</formula>
    </cfRule>
  </conditionalFormatting>
  <conditionalFormatting sqref="QX33:QX34">
    <cfRule type="cellIs" dxfId="4953" priority="5559" operator="lessThan">
      <formula>0</formula>
    </cfRule>
    <cfRule type="cellIs" dxfId="4952" priority="5560" operator="greaterThan">
      <formula>0</formula>
    </cfRule>
  </conditionalFormatting>
  <conditionalFormatting sqref="QX101">
    <cfRule type="cellIs" dxfId="4951" priority="5551" operator="lessThan">
      <formula>0</formula>
    </cfRule>
    <cfRule type="cellIs" dxfId="4950" priority="5552" operator="greaterThan">
      <formula>0</formula>
    </cfRule>
  </conditionalFormatting>
  <conditionalFormatting sqref="QX104">
    <cfRule type="cellIs" dxfId="4949" priority="5549" operator="lessThan">
      <formula>0</formula>
    </cfRule>
    <cfRule type="cellIs" dxfId="4948" priority="5550" operator="greaterThan">
      <formula>0</formula>
    </cfRule>
  </conditionalFormatting>
  <conditionalFormatting sqref="QX48:QX49">
    <cfRule type="cellIs" dxfId="4947" priority="5515" operator="lessThan">
      <formula>0</formula>
    </cfRule>
    <cfRule type="cellIs" dxfId="4946" priority="5516" operator="greaterThan">
      <formula>0</formula>
    </cfRule>
  </conditionalFormatting>
  <conditionalFormatting sqref="QZ98">
    <cfRule type="cellIs" dxfId="4945" priority="5450" operator="lessThan">
      <formula>0</formula>
    </cfRule>
    <cfRule type="cellIs" dxfId="4944" priority="5451" operator="greaterThan">
      <formula>0</formula>
    </cfRule>
  </conditionalFormatting>
  <conditionalFormatting sqref="QZ6 QZ9:QZ11">
    <cfRule type="cellIs" dxfId="4943" priority="5490" operator="lessThan">
      <formula>0</formula>
    </cfRule>
    <cfRule type="cellIs" dxfId="4942" priority="5491" operator="greaterThan">
      <formula>0</formula>
    </cfRule>
  </conditionalFormatting>
  <conditionalFormatting sqref="QZ43:QZ44">
    <cfRule type="cellIs" dxfId="4941" priority="5454" operator="lessThan">
      <formula>0</formula>
    </cfRule>
    <cfRule type="cellIs" dxfId="4940" priority="5455" operator="greaterThan">
      <formula>0</formula>
    </cfRule>
  </conditionalFormatting>
  <conditionalFormatting sqref="QZ11 QZ19 QZ3 QZ24:QZ32 QZ34:QZ42 QZ69:QZ79">
    <cfRule type="cellIs" dxfId="4939" priority="5500" operator="lessThan">
      <formula>0</formula>
    </cfRule>
    <cfRule type="cellIs" dxfId="4938" priority="5501" operator="greaterThan">
      <formula>0</formula>
    </cfRule>
  </conditionalFormatting>
  <conditionalFormatting sqref="QZ4:QZ5">
    <cfRule type="cellIs" dxfId="4937" priority="5492" operator="lessThan">
      <formula>0</formula>
    </cfRule>
    <cfRule type="cellIs" dxfId="4936" priority="5493" operator="greaterThan">
      <formula>0</formula>
    </cfRule>
  </conditionalFormatting>
  <conditionalFormatting sqref="QZ12:QZ13">
    <cfRule type="cellIs" dxfId="4935" priority="5488" operator="lessThan">
      <formula>0</formula>
    </cfRule>
    <cfRule type="cellIs" dxfId="4934" priority="5489" operator="greaterThan">
      <formula>0</formula>
    </cfRule>
  </conditionalFormatting>
  <conditionalFormatting sqref="QZ14:QZ19">
    <cfRule type="cellIs" dxfId="4933" priority="5486" operator="lessThan">
      <formula>0</formula>
    </cfRule>
    <cfRule type="cellIs" dxfId="4932" priority="5487" operator="greaterThan">
      <formula>0</formula>
    </cfRule>
  </conditionalFormatting>
  <conditionalFormatting sqref="QZ20:QZ22">
    <cfRule type="cellIs" dxfId="4931" priority="5484" operator="lessThan">
      <formula>0</formula>
    </cfRule>
    <cfRule type="cellIs" dxfId="4930" priority="5485" operator="greaterThan">
      <formula>0</formula>
    </cfRule>
  </conditionalFormatting>
  <conditionalFormatting sqref="QZ45:QZ46">
    <cfRule type="cellIs" dxfId="4929" priority="5498" operator="lessThan">
      <formula>0</formula>
    </cfRule>
    <cfRule type="cellIs" dxfId="4928" priority="5499" operator="greaterThan">
      <formula>0</formula>
    </cfRule>
  </conditionalFormatting>
  <conditionalFormatting sqref="QZ7">
    <cfRule type="cellIs" dxfId="4927" priority="5470" operator="lessThan">
      <formula>0</formula>
    </cfRule>
    <cfRule type="cellIs" dxfId="4926" priority="5471" operator="greaterThan">
      <formula>0</formula>
    </cfRule>
  </conditionalFormatting>
  <conditionalFormatting sqref="QZ7">
    <cfRule type="cellIs" dxfId="4925" priority="5468" operator="lessThan">
      <formula>0</formula>
    </cfRule>
    <cfRule type="cellIs" dxfId="4924" priority="5469" operator="greaterThan">
      <formula>0</formula>
    </cfRule>
  </conditionalFormatting>
  <conditionalFormatting sqref="QZ8">
    <cfRule type="cellIs" dxfId="4923" priority="5466" operator="lessThan">
      <formula>0</formula>
    </cfRule>
    <cfRule type="cellIs" dxfId="4922" priority="5467" operator="greaterThan">
      <formula>0</formula>
    </cfRule>
  </conditionalFormatting>
  <conditionalFormatting sqref="QZ47">
    <cfRule type="cellIs" dxfId="4921" priority="5464" operator="lessThan">
      <formula>0</formula>
    </cfRule>
    <cfRule type="cellIs" dxfId="4920" priority="5465" operator="greaterThan">
      <formula>0</formula>
    </cfRule>
  </conditionalFormatting>
  <conditionalFormatting sqref="QZ44">
    <cfRule type="cellIs" dxfId="4919" priority="5462" operator="lessThan">
      <formula>0</formula>
    </cfRule>
    <cfRule type="cellIs" dxfId="4918" priority="5463" operator="greaterThan">
      <formula>0</formula>
    </cfRule>
  </conditionalFormatting>
  <conditionalFormatting sqref="QZ23:QZ24">
    <cfRule type="cellIs" dxfId="4917" priority="5458" operator="lessThan">
      <formula>0</formula>
    </cfRule>
    <cfRule type="cellIs" dxfId="4916" priority="5459" operator="greaterThan">
      <formula>0</formula>
    </cfRule>
  </conditionalFormatting>
  <conditionalFormatting sqref="QZ33:QZ34">
    <cfRule type="cellIs" dxfId="4915" priority="5456" operator="lessThan">
      <formula>0</formula>
    </cfRule>
    <cfRule type="cellIs" dxfId="4914" priority="5457" operator="greaterThan">
      <formula>0</formula>
    </cfRule>
  </conditionalFormatting>
  <conditionalFormatting sqref="QZ101">
    <cfRule type="cellIs" dxfId="4913" priority="5448" operator="lessThan">
      <formula>0</formula>
    </cfRule>
    <cfRule type="cellIs" dxfId="4912" priority="5449" operator="greaterThan">
      <formula>0</formula>
    </cfRule>
  </conditionalFormatting>
  <conditionalFormatting sqref="QZ104">
    <cfRule type="cellIs" dxfId="4911" priority="5446" operator="lessThan">
      <formula>0</formula>
    </cfRule>
    <cfRule type="cellIs" dxfId="4910" priority="5447" operator="greaterThan">
      <formula>0</formula>
    </cfRule>
  </conditionalFormatting>
  <conditionalFormatting sqref="QZ48:QZ49">
    <cfRule type="cellIs" dxfId="4909" priority="5412" operator="lessThan">
      <formula>0</formula>
    </cfRule>
    <cfRule type="cellIs" dxfId="4908" priority="5413" operator="greaterThan">
      <formula>0</formula>
    </cfRule>
  </conditionalFormatting>
  <conditionalFormatting sqref="RB98">
    <cfRule type="cellIs" dxfId="4907" priority="5347" operator="lessThan">
      <formula>0</formula>
    </cfRule>
    <cfRule type="cellIs" dxfId="4906" priority="5348" operator="greaterThan">
      <formula>0</formula>
    </cfRule>
  </conditionalFormatting>
  <conditionalFormatting sqref="RB6 RB9:RB11">
    <cfRule type="cellIs" dxfId="4905" priority="5387" operator="lessThan">
      <formula>0</formula>
    </cfRule>
    <cfRule type="cellIs" dxfId="4904" priority="5388" operator="greaterThan">
      <formula>0</formula>
    </cfRule>
  </conditionalFormatting>
  <conditionalFormatting sqref="RB43:RB44">
    <cfRule type="cellIs" dxfId="4903" priority="5351" operator="lessThan">
      <formula>0</formula>
    </cfRule>
    <cfRule type="cellIs" dxfId="4902" priority="5352" operator="greaterThan">
      <formula>0</formula>
    </cfRule>
  </conditionalFormatting>
  <conditionalFormatting sqref="RB11 RB19 RB3 RB24:RB32 RB34:RB42 RB69:RB79">
    <cfRule type="cellIs" dxfId="4901" priority="5397" operator="lessThan">
      <formula>0</formula>
    </cfRule>
    <cfRule type="cellIs" dxfId="4900" priority="5398" operator="greaterThan">
      <formula>0</formula>
    </cfRule>
  </conditionalFormatting>
  <conditionalFormatting sqref="RB4:RB5">
    <cfRule type="cellIs" dxfId="4899" priority="5389" operator="lessThan">
      <formula>0</formula>
    </cfRule>
    <cfRule type="cellIs" dxfId="4898" priority="5390" operator="greaterThan">
      <formula>0</formula>
    </cfRule>
  </conditionalFormatting>
  <conditionalFormatting sqref="RB12:RB13">
    <cfRule type="cellIs" dxfId="4897" priority="5385" operator="lessThan">
      <formula>0</formula>
    </cfRule>
    <cfRule type="cellIs" dxfId="4896" priority="5386" operator="greaterThan">
      <formula>0</formula>
    </cfRule>
  </conditionalFormatting>
  <conditionalFormatting sqref="RB14:RB19">
    <cfRule type="cellIs" dxfId="4895" priority="5383" operator="lessThan">
      <formula>0</formula>
    </cfRule>
    <cfRule type="cellIs" dxfId="4894" priority="5384" operator="greaterThan">
      <formula>0</formula>
    </cfRule>
  </conditionalFormatting>
  <conditionalFormatting sqref="RB20:RB22">
    <cfRule type="cellIs" dxfId="4893" priority="5381" operator="lessThan">
      <formula>0</formula>
    </cfRule>
    <cfRule type="cellIs" dxfId="4892" priority="5382" operator="greaterThan">
      <formula>0</formula>
    </cfRule>
  </conditionalFormatting>
  <conditionalFormatting sqref="RB45:RB46">
    <cfRule type="cellIs" dxfId="4891" priority="5395" operator="lessThan">
      <formula>0</formula>
    </cfRule>
    <cfRule type="cellIs" dxfId="4890" priority="5396" operator="greaterThan">
      <formula>0</formula>
    </cfRule>
  </conditionalFormatting>
  <conditionalFormatting sqref="RB7">
    <cfRule type="cellIs" dxfId="4889" priority="5367" operator="lessThan">
      <formula>0</formula>
    </cfRule>
    <cfRule type="cellIs" dxfId="4888" priority="5368" operator="greaterThan">
      <formula>0</formula>
    </cfRule>
  </conditionalFormatting>
  <conditionalFormatting sqref="RB7">
    <cfRule type="cellIs" dxfId="4887" priority="5365" operator="lessThan">
      <formula>0</formula>
    </cfRule>
    <cfRule type="cellIs" dxfId="4886" priority="5366" operator="greaterThan">
      <formula>0</formula>
    </cfRule>
  </conditionalFormatting>
  <conditionalFormatting sqref="RB8">
    <cfRule type="cellIs" dxfId="4885" priority="5363" operator="lessThan">
      <formula>0</formula>
    </cfRule>
    <cfRule type="cellIs" dxfId="4884" priority="5364" operator="greaterThan">
      <formula>0</formula>
    </cfRule>
  </conditionalFormatting>
  <conditionalFormatting sqref="RB47">
    <cfRule type="cellIs" dxfId="4883" priority="5361" operator="lessThan">
      <formula>0</formula>
    </cfRule>
    <cfRule type="cellIs" dxfId="4882" priority="5362" operator="greaterThan">
      <formula>0</formula>
    </cfRule>
  </conditionalFormatting>
  <conditionalFormatting sqref="RB44">
    <cfRule type="cellIs" dxfId="4881" priority="5359" operator="lessThan">
      <formula>0</formula>
    </cfRule>
    <cfRule type="cellIs" dxfId="4880" priority="5360" operator="greaterThan">
      <formula>0</formula>
    </cfRule>
  </conditionalFormatting>
  <conditionalFormatting sqref="RB23:RB24">
    <cfRule type="cellIs" dxfId="4879" priority="5355" operator="lessThan">
      <formula>0</formula>
    </cfRule>
    <cfRule type="cellIs" dxfId="4878" priority="5356" operator="greaterThan">
      <formula>0</formula>
    </cfRule>
  </conditionalFormatting>
  <conditionalFormatting sqref="RB33:RB34">
    <cfRule type="cellIs" dxfId="4877" priority="5353" operator="lessThan">
      <formula>0</formula>
    </cfRule>
    <cfRule type="cellIs" dxfId="4876" priority="5354" operator="greaterThan">
      <formula>0</formula>
    </cfRule>
  </conditionalFormatting>
  <conditionalFormatting sqref="RB101">
    <cfRule type="cellIs" dxfId="4875" priority="5345" operator="lessThan">
      <formula>0</formula>
    </cfRule>
    <cfRule type="cellIs" dxfId="4874" priority="5346" operator="greaterThan">
      <formula>0</formula>
    </cfRule>
  </conditionalFormatting>
  <conditionalFormatting sqref="RB104">
    <cfRule type="cellIs" dxfId="4873" priority="5343" operator="lessThan">
      <formula>0</formula>
    </cfRule>
    <cfRule type="cellIs" dxfId="4872" priority="5344" operator="greaterThan">
      <formula>0</formula>
    </cfRule>
  </conditionalFormatting>
  <conditionalFormatting sqref="RB48:RB49">
    <cfRule type="cellIs" dxfId="4871" priority="5309" operator="lessThan">
      <formula>0</formula>
    </cfRule>
    <cfRule type="cellIs" dxfId="4870" priority="5310" operator="greaterThan">
      <formula>0</formula>
    </cfRule>
  </conditionalFormatting>
  <conditionalFormatting sqref="RD98">
    <cfRule type="cellIs" dxfId="4869" priority="5244" operator="lessThan">
      <formula>0</formula>
    </cfRule>
    <cfRule type="cellIs" dxfId="4868" priority="5245" operator="greaterThan">
      <formula>0</formula>
    </cfRule>
  </conditionalFormatting>
  <conditionalFormatting sqref="RD6 RD9:RD11">
    <cfRule type="cellIs" dxfId="4867" priority="5284" operator="lessThan">
      <formula>0</formula>
    </cfRule>
    <cfRule type="cellIs" dxfId="4866" priority="5285" operator="greaterThan">
      <formula>0</formula>
    </cfRule>
  </conditionalFormatting>
  <conditionalFormatting sqref="RD43:RD44">
    <cfRule type="cellIs" dxfId="4865" priority="5248" operator="lessThan">
      <formula>0</formula>
    </cfRule>
    <cfRule type="cellIs" dxfId="4864" priority="5249" operator="greaterThan">
      <formula>0</formula>
    </cfRule>
  </conditionalFormatting>
  <conditionalFormatting sqref="RD11 RD19 RD3 RD24:RD32 RD34:RD42 RD69:RD79">
    <cfRule type="cellIs" dxfId="4863" priority="5294" operator="lessThan">
      <formula>0</formula>
    </cfRule>
    <cfRule type="cellIs" dxfId="4862" priority="5295" operator="greaterThan">
      <formula>0</formula>
    </cfRule>
  </conditionalFormatting>
  <conditionalFormatting sqref="RD4:RD5">
    <cfRule type="cellIs" dxfId="4861" priority="5286" operator="lessThan">
      <formula>0</formula>
    </cfRule>
    <cfRule type="cellIs" dxfId="4860" priority="5287" operator="greaterThan">
      <formula>0</formula>
    </cfRule>
  </conditionalFormatting>
  <conditionalFormatting sqref="RD12:RD13">
    <cfRule type="cellIs" dxfId="4859" priority="5282" operator="lessThan">
      <formula>0</formula>
    </cfRule>
    <cfRule type="cellIs" dxfId="4858" priority="5283" operator="greaterThan">
      <formula>0</formula>
    </cfRule>
  </conditionalFormatting>
  <conditionalFormatting sqref="RD14:RD19">
    <cfRule type="cellIs" dxfId="4857" priority="5280" operator="lessThan">
      <formula>0</formula>
    </cfRule>
    <cfRule type="cellIs" dxfId="4856" priority="5281" operator="greaterThan">
      <formula>0</formula>
    </cfRule>
  </conditionalFormatting>
  <conditionalFormatting sqref="RD20:RD22">
    <cfRule type="cellIs" dxfId="4855" priority="5278" operator="lessThan">
      <formula>0</formula>
    </cfRule>
    <cfRule type="cellIs" dxfId="4854" priority="5279" operator="greaterThan">
      <formula>0</formula>
    </cfRule>
  </conditionalFormatting>
  <conditionalFormatting sqref="RD45:RD46">
    <cfRule type="cellIs" dxfId="4853" priority="5292" operator="lessThan">
      <formula>0</formula>
    </cfRule>
    <cfRule type="cellIs" dxfId="4852" priority="5293" operator="greaterThan">
      <formula>0</formula>
    </cfRule>
  </conditionalFormatting>
  <conditionalFormatting sqref="RD7">
    <cfRule type="cellIs" dxfId="4851" priority="5264" operator="lessThan">
      <formula>0</formula>
    </cfRule>
    <cfRule type="cellIs" dxfId="4850" priority="5265" operator="greaterThan">
      <formula>0</formula>
    </cfRule>
  </conditionalFormatting>
  <conditionalFormatting sqref="RD7">
    <cfRule type="cellIs" dxfId="4849" priority="5262" operator="lessThan">
      <formula>0</formula>
    </cfRule>
    <cfRule type="cellIs" dxfId="4848" priority="5263" operator="greaterThan">
      <formula>0</formula>
    </cfRule>
  </conditionalFormatting>
  <conditionalFormatting sqref="RD8">
    <cfRule type="cellIs" dxfId="4847" priority="5260" operator="lessThan">
      <formula>0</formula>
    </cfRule>
    <cfRule type="cellIs" dxfId="4846" priority="5261" operator="greaterThan">
      <formula>0</formula>
    </cfRule>
  </conditionalFormatting>
  <conditionalFormatting sqref="RD47">
    <cfRule type="cellIs" dxfId="4845" priority="5258" operator="lessThan">
      <formula>0</formula>
    </cfRule>
    <cfRule type="cellIs" dxfId="4844" priority="5259" operator="greaterThan">
      <formula>0</formula>
    </cfRule>
  </conditionalFormatting>
  <conditionalFormatting sqref="RD44">
    <cfRule type="cellIs" dxfId="4843" priority="5256" operator="lessThan">
      <formula>0</formula>
    </cfRule>
    <cfRule type="cellIs" dxfId="4842" priority="5257" operator="greaterThan">
      <formula>0</formula>
    </cfRule>
  </conditionalFormatting>
  <conditionalFormatting sqref="RD23:RD24">
    <cfRule type="cellIs" dxfId="4841" priority="5252" operator="lessThan">
      <formula>0</formula>
    </cfRule>
    <cfRule type="cellIs" dxfId="4840" priority="5253" operator="greaterThan">
      <formula>0</formula>
    </cfRule>
  </conditionalFormatting>
  <conditionalFormatting sqref="RD33:RD34">
    <cfRule type="cellIs" dxfId="4839" priority="5250" operator="lessThan">
      <formula>0</formula>
    </cfRule>
    <cfRule type="cellIs" dxfId="4838" priority="5251" operator="greaterThan">
      <formula>0</formula>
    </cfRule>
  </conditionalFormatting>
  <conditionalFormatting sqref="RD101">
    <cfRule type="cellIs" dxfId="4837" priority="5242" operator="lessThan">
      <formula>0</formula>
    </cfRule>
    <cfRule type="cellIs" dxfId="4836" priority="5243" operator="greaterThan">
      <formula>0</formula>
    </cfRule>
  </conditionalFormatting>
  <conditionalFormatting sqref="RD104">
    <cfRule type="cellIs" dxfId="4835" priority="5240" operator="lessThan">
      <formula>0</formula>
    </cfRule>
    <cfRule type="cellIs" dxfId="4834" priority="5241" operator="greaterThan">
      <formula>0</formula>
    </cfRule>
  </conditionalFormatting>
  <conditionalFormatting sqref="RD48:RD49">
    <cfRule type="cellIs" dxfId="4833" priority="5206" operator="lessThan">
      <formula>0</formula>
    </cfRule>
    <cfRule type="cellIs" dxfId="4832" priority="5207" operator="greaterThan">
      <formula>0</formula>
    </cfRule>
  </conditionalFormatting>
  <conditionalFormatting sqref="RF98">
    <cfRule type="cellIs" dxfId="4831" priority="5152" operator="lessThan">
      <formula>0</formula>
    </cfRule>
    <cfRule type="cellIs" dxfId="4830" priority="5153" operator="greaterThan">
      <formula>0</formula>
    </cfRule>
  </conditionalFormatting>
  <conditionalFormatting sqref="RF6 RF9:RF11">
    <cfRule type="cellIs" dxfId="4829" priority="5192" operator="lessThan">
      <formula>0</formula>
    </cfRule>
    <cfRule type="cellIs" dxfId="4828" priority="5193" operator="greaterThan">
      <formula>0</formula>
    </cfRule>
  </conditionalFormatting>
  <conditionalFormatting sqref="RF43:RF44">
    <cfRule type="cellIs" dxfId="4827" priority="5156" operator="lessThan">
      <formula>0</formula>
    </cfRule>
    <cfRule type="cellIs" dxfId="4826" priority="5157" operator="greaterThan">
      <formula>0</formula>
    </cfRule>
  </conditionalFormatting>
  <conditionalFormatting sqref="RF11 RF19 RF3 RF24:RF32 RF34:RF42 RF69:RF79">
    <cfRule type="cellIs" dxfId="4825" priority="5202" operator="lessThan">
      <formula>0</formula>
    </cfRule>
    <cfRule type="cellIs" dxfId="4824" priority="5203" operator="greaterThan">
      <formula>0</formula>
    </cfRule>
  </conditionalFormatting>
  <conditionalFormatting sqref="RF4:RF5">
    <cfRule type="cellIs" dxfId="4823" priority="5194" operator="lessThan">
      <formula>0</formula>
    </cfRule>
    <cfRule type="cellIs" dxfId="4822" priority="5195" operator="greaterThan">
      <formula>0</formula>
    </cfRule>
  </conditionalFormatting>
  <conditionalFormatting sqref="RF12:RF13">
    <cfRule type="cellIs" dxfId="4821" priority="5190" operator="lessThan">
      <formula>0</formula>
    </cfRule>
    <cfRule type="cellIs" dxfId="4820" priority="5191" operator="greaterThan">
      <formula>0</formula>
    </cfRule>
  </conditionalFormatting>
  <conditionalFormatting sqref="RF14:RF19">
    <cfRule type="cellIs" dxfId="4819" priority="5188" operator="lessThan">
      <formula>0</formula>
    </cfRule>
    <cfRule type="cellIs" dxfId="4818" priority="5189" operator="greaterThan">
      <formula>0</formula>
    </cfRule>
  </conditionalFormatting>
  <conditionalFormatting sqref="RF20:RF22">
    <cfRule type="cellIs" dxfId="4817" priority="5186" operator="lessThan">
      <formula>0</formula>
    </cfRule>
    <cfRule type="cellIs" dxfId="4816" priority="5187" operator="greaterThan">
      <formula>0</formula>
    </cfRule>
  </conditionalFormatting>
  <conditionalFormatting sqref="RF45:RF46">
    <cfRule type="cellIs" dxfId="4815" priority="5200" operator="lessThan">
      <formula>0</formula>
    </cfRule>
    <cfRule type="cellIs" dxfId="4814" priority="5201" operator="greaterThan">
      <formula>0</formula>
    </cfRule>
  </conditionalFormatting>
  <conditionalFormatting sqref="RF7">
    <cfRule type="cellIs" dxfId="4813" priority="5172" operator="lessThan">
      <formula>0</formula>
    </cfRule>
    <cfRule type="cellIs" dxfId="4812" priority="5173" operator="greaterThan">
      <formula>0</formula>
    </cfRule>
  </conditionalFormatting>
  <conditionalFormatting sqref="RF7">
    <cfRule type="cellIs" dxfId="4811" priority="5170" operator="lessThan">
      <formula>0</formula>
    </cfRule>
    <cfRule type="cellIs" dxfId="4810" priority="5171" operator="greaterThan">
      <formula>0</formula>
    </cfRule>
  </conditionalFormatting>
  <conditionalFormatting sqref="RF8">
    <cfRule type="cellIs" dxfId="4809" priority="5168" operator="lessThan">
      <formula>0</formula>
    </cfRule>
    <cfRule type="cellIs" dxfId="4808" priority="5169" operator="greaterThan">
      <formula>0</formula>
    </cfRule>
  </conditionalFormatting>
  <conditionalFormatting sqref="RF47">
    <cfRule type="cellIs" dxfId="4807" priority="5166" operator="lessThan">
      <formula>0</formula>
    </cfRule>
    <cfRule type="cellIs" dxfId="4806" priority="5167" operator="greaterThan">
      <formula>0</formula>
    </cfRule>
  </conditionalFormatting>
  <conditionalFormatting sqref="RF44">
    <cfRule type="cellIs" dxfId="4805" priority="5164" operator="lessThan">
      <formula>0</formula>
    </cfRule>
    <cfRule type="cellIs" dxfId="4804" priority="5165" operator="greaterThan">
      <formula>0</formula>
    </cfRule>
  </conditionalFormatting>
  <conditionalFormatting sqref="RF23:RF24">
    <cfRule type="cellIs" dxfId="4803" priority="5160" operator="lessThan">
      <formula>0</formula>
    </cfRule>
    <cfRule type="cellIs" dxfId="4802" priority="5161" operator="greaterThan">
      <formula>0</formula>
    </cfRule>
  </conditionalFormatting>
  <conditionalFormatting sqref="RF33:RF34">
    <cfRule type="cellIs" dxfId="4801" priority="5158" operator="lessThan">
      <formula>0</formula>
    </cfRule>
    <cfRule type="cellIs" dxfId="4800" priority="5159" operator="greaterThan">
      <formula>0</formula>
    </cfRule>
  </conditionalFormatting>
  <conditionalFormatting sqref="RF101">
    <cfRule type="cellIs" dxfId="4799" priority="5150" operator="lessThan">
      <formula>0</formula>
    </cfRule>
    <cfRule type="cellIs" dxfId="4798" priority="5151" operator="greaterThan">
      <formula>0</formula>
    </cfRule>
  </conditionalFormatting>
  <conditionalFormatting sqref="RF104">
    <cfRule type="cellIs" dxfId="4797" priority="5148" operator="lessThan">
      <formula>0</formula>
    </cfRule>
    <cfRule type="cellIs" dxfId="4796" priority="5149" operator="greaterThan">
      <formula>0</formula>
    </cfRule>
  </conditionalFormatting>
  <conditionalFormatting sqref="RF48:RF49">
    <cfRule type="cellIs" dxfId="4795" priority="5114" operator="lessThan">
      <formula>0</formula>
    </cfRule>
    <cfRule type="cellIs" dxfId="4794" priority="5115" operator="greaterThan">
      <formula>0</formula>
    </cfRule>
  </conditionalFormatting>
  <conditionalFormatting sqref="RH98">
    <cfRule type="cellIs" dxfId="4793" priority="5049" operator="lessThan">
      <formula>0</formula>
    </cfRule>
    <cfRule type="cellIs" dxfId="4792" priority="5050" operator="greaterThan">
      <formula>0</formula>
    </cfRule>
  </conditionalFormatting>
  <conditionalFormatting sqref="RH6 RH9:RH11">
    <cfRule type="cellIs" dxfId="4791" priority="5089" operator="lessThan">
      <formula>0</formula>
    </cfRule>
    <cfRule type="cellIs" dxfId="4790" priority="5090" operator="greaterThan">
      <formula>0</formula>
    </cfRule>
  </conditionalFormatting>
  <conditionalFormatting sqref="RH43:RH44">
    <cfRule type="cellIs" dxfId="4789" priority="5053" operator="lessThan">
      <formula>0</formula>
    </cfRule>
    <cfRule type="cellIs" dxfId="4788" priority="5054" operator="greaterThan">
      <formula>0</formula>
    </cfRule>
  </conditionalFormatting>
  <conditionalFormatting sqref="RH11 RH19 RH3 RH24:RH32 RH34:RH42 RH69:RH79">
    <cfRule type="cellIs" dxfId="4787" priority="5099" operator="lessThan">
      <formula>0</formula>
    </cfRule>
    <cfRule type="cellIs" dxfId="4786" priority="5100" operator="greaterThan">
      <formula>0</formula>
    </cfRule>
  </conditionalFormatting>
  <conditionalFormatting sqref="RH4:RH5">
    <cfRule type="cellIs" dxfId="4785" priority="5091" operator="lessThan">
      <formula>0</formula>
    </cfRule>
    <cfRule type="cellIs" dxfId="4784" priority="5092" operator="greaterThan">
      <formula>0</formula>
    </cfRule>
  </conditionalFormatting>
  <conditionalFormatting sqref="RH12:RH13">
    <cfRule type="cellIs" dxfId="4783" priority="5087" operator="lessThan">
      <formula>0</formula>
    </cfRule>
    <cfRule type="cellIs" dxfId="4782" priority="5088" operator="greaterThan">
      <formula>0</formula>
    </cfRule>
  </conditionalFormatting>
  <conditionalFormatting sqref="RH14:RH19">
    <cfRule type="cellIs" dxfId="4781" priority="5085" operator="lessThan">
      <formula>0</formula>
    </cfRule>
    <cfRule type="cellIs" dxfId="4780" priority="5086" operator="greaterThan">
      <formula>0</formula>
    </cfRule>
  </conditionalFormatting>
  <conditionalFormatting sqref="RH20:RH22">
    <cfRule type="cellIs" dxfId="4779" priority="5083" operator="lessThan">
      <formula>0</formula>
    </cfRule>
    <cfRule type="cellIs" dxfId="4778" priority="5084" operator="greaterThan">
      <formula>0</formula>
    </cfRule>
  </conditionalFormatting>
  <conditionalFormatting sqref="RH45:RH46">
    <cfRule type="cellIs" dxfId="4777" priority="5097" operator="lessThan">
      <formula>0</formula>
    </cfRule>
    <cfRule type="cellIs" dxfId="4776" priority="5098" operator="greaterThan">
      <formula>0</formula>
    </cfRule>
  </conditionalFormatting>
  <conditionalFormatting sqref="RH7">
    <cfRule type="cellIs" dxfId="4775" priority="5069" operator="lessThan">
      <formula>0</formula>
    </cfRule>
    <cfRule type="cellIs" dxfId="4774" priority="5070" operator="greaterThan">
      <formula>0</formula>
    </cfRule>
  </conditionalFormatting>
  <conditionalFormatting sqref="RH7">
    <cfRule type="cellIs" dxfId="4773" priority="5067" operator="lessThan">
      <formula>0</formula>
    </cfRule>
    <cfRule type="cellIs" dxfId="4772" priority="5068" operator="greaterThan">
      <formula>0</formula>
    </cfRule>
  </conditionalFormatting>
  <conditionalFormatting sqref="RH8">
    <cfRule type="cellIs" dxfId="4771" priority="5065" operator="lessThan">
      <formula>0</formula>
    </cfRule>
    <cfRule type="cellIs" dxfId="4770" priority="5066" operator="greaterThan">
      <formula>0</formula>
    </cfRule>
  </conditionalFormatting>
  <conditionalFormatting sqref="RH47">
    <cfRule type="cellIs" dxfId="4769" priority="5063" operator="lessThan">
      <formula>0</formula>
    </cfRule>
    <cfRule type="cellIs" dxfId="4768" priority="5064" operator="greaterThan">
      <formula>0</formula>
    </cfRule>
  </conditionalFormatting>
  <conditionalFormatting sqref="RH44">
    <cfRule type="cellIs" dxfId="4767" priority="5061" operator="lessThan">
      <formula>0</formula>
    </cfRule>
    <cfRule type="cellIs" dxfId="4766" priority="5062" operator="greaterThan">
      <formula>0</formula>
    </cfRule>
  </conditionalFormatting>
  <conditionalFormatting sqref="RH23:RH24">
    <cfRule type="cellIs" dxfId="4765" priority="5057" operator="lessThan">
      <formula>0</formula>
    </cfRule>
    <cfRule type="cellIs" dxfId="4764" priority="5058" operator="greaterThan">
      <formula>0</formula>
    </cfRule>
  </conditionalFormatting>
  <conditionalFormatting sqref="RH33:RH34">
    <cfRule type="cellIs" dxfId="4763" priority="5055" operator="lessThan">
      <formula>0</formula>
    </cfRule>
    <cfRule type="cellIs" dxfId="4762" priority="5056" operator="greaterThan">
      <formula>0</formula>
    </cfRule>
  </conditionalFormatting>
  <conditionalFormatting sqref="RH101">
    <cfRule type="cellIs" dxfId="4761" priority="5047" operator="lessThan">
      <formula>0</formula>
    </cfRule>
    <cfRule type="cellIs" dxfId="4760" priority="5048" operator="greaterThan">
      <formula>0</formula>
    </cfRule>
  </conditionalFormatting>
  <conditionalFormatting sqref="RH104">
    <cfRule type="cellIs" dxfId="4759" priority="5045" operator="lessThan">
      <formula>0</formula>
    </cfRule>
    <cfRule type="cellIs" dxfId="4758" priority="5046" operator="greaterThan">
      <formula>0</formula>
    </cfRule>
  </conditionalFormatting>
  <conditionalFormatting sqref="RH48:RH49">
    <cfRule type="cellIs" dxfId="4757" priority="5011" operator="lessThan">
      <formula>0</formula>
    </cfRule>
    <cfRule type="cellIs" dxfId="4756" priority="5012" operator="greaterThan">
      <formula>0</formula>
    </cfRule>
  </conditionalFormatting>
  <conditionalFormatting sqref="RJ98">
    <cfRule type="cellIs" dxfId="4755" priority="4946" operator="lessThan">
      <formula>0</formula>
    </cfRule>
    <cfRule type="cellIs" dxfId="4754" priority="4947" operator="greaterThan">
      <formula>0</formula>
    </cfRule>
  </conditionalFormatting>
  <conditionalFormatting sqref="RJ6 RJ9:RJ11">
    <cfRule type="cellIs" dxfId="4753" priority="4986" operator="lessThan">
      <formula>0</formula>
    </cfRule>
    <cfRule type="cellIs" dxfId="4752" priority="4987" operator="greaterThan">
      <formula>0</formula>
    </cfRule>
  </conditionalFormatting>
  <conditionalFormatting sqref="RJ43:RJ44">
    <cfRule type="cellIs" dxfId="4751" priority="4950" operator="lessThan">
      <formula>0</formula>
    </cfRule>
    <cfRule type="cellIs" dxfId="4750" priority="4951" operator="greaterThan">
      <formula>0</formula>
    </cfRule>
  </conditionalFormatting>
  <conditionalFormatting sqref="RJ11 RJ19 RJ3 RJ24:RJ32 RJ34:RJ42 RJ69:RJ79">
    <cfRule type="cellIs" dxfId="4749" priority="4996" operator="lessThan">
      <formula>0</formula>
    </cfRule>
    <cfRule type="cellIs" dxfId="4748" priority="4997" operator="greaterThan">
      <formula>0</formula>
    </cfRule>
  </conditionalFormatting>
  <conditionalFormatting sqref="RJ4:RJ5">
    <cfRule type="cellIs" dxfId="4747" priority="4988" operator="lessThan">
      <formula>0</formula>
    </cfRule>
    <cfRule type="cellIs" dxfId="4746" priority="4989" operator="greaterThan">
      <formula>0</formula>
    </cfRule>
  </conditionalFormatting>
  <conditionalFormatting sqref="RJ12:RJ13">
    <cfRule type="cellIs" dxfId="4745" priority="4984" operator="lessThan">
      <formula>0</formula>
    </cfRule>
    <cfRule type="cellIs" dxfId="4744" priority="4985" operator="greaterThan">
      <formula>0</formula>
    </cfRule>
  </conditionalFormatting>
  <conditionalFormatting sqref="RJ14:RJ19">
    <cfRule type="cellIs" dxfId="4743" priority="4982" operator="lessThan">
      <formula>0</formula>
    </cfRule>
    <cfRule type="cellIs" dxfId="4742" priority="4983" operator="greaterThan">
      <formula>0</formula>
    </cfRule>
  </conditionalFormatting>
  <conditionalFormatting sqref="RJ20:RJ22">
    <cfRule type="cellIs" dxfId="4741" priority="4980" operator="lessThan">
      <formula>0</formula>
    </cfRule>
    <cfRule type="cellIs" dxfId="4740" priority="4981" operator="greaterThan">
      <formula>0</formula>
    </cfRule>
  </conditionalFormatting>
  <conditionalFormatting sqref="RJ45:RJ46">
    <cfRule type="cellIs" dxfId="4739" priority="4994" operator="lessThan">
      <formula>0</formula>
    </cfRule>
    <cfRule type="cellIs" dxfId="4738" priority="4995" operator="greaterThan">
      <formula>0</formula>
    </cfRule>
  </conditionalFormatting>
  <conditionalFormatting sqref="RJ7">
    <cfRule type="cellIs" dxfId="4737" priority="4966" operator="lessThan">
      <formula>0</formula>
    </cfRule>
    <cfRule type="cellIs" dxfId="4736" priority="4967" operator="greaterThan">
      <formula>0</formula>
    </cfRule>
  </conditionalFormatting>
  <conditionalFormatting sqref="RJ7">
    <cfRule type="cellIs" dxfId="4735" priority="4964" operator="lessThan">
      <formula>0</formula>
    </cfRule>
    <cfRule type="cellIs" dxfId="4734" priority="4965" operator="greaterThan">
      <formula>0</formula>
    </cfRule>
  </conditionalFormatting>
  <conditionalFormatting sqref="RJ8">
    <cfRule type="cellIs" dxfId="4733" priority="4962" operator="lessThan">
      <formula>0</formula>
    </cfRule>
    <cfRule type="cellIs" dxfId="4732" priority="4963" operator="greaterThan">
      <formula>0</formula>
    </cfRule>
  </conditionalFormatting>
  <conditionalFormatting sqref="RJ47">
    <cfRule type="cellIs" dxfId="4731" priority="4960" operator="lessThan">
      <formula>0</formula>
    </cfRule>
    <cfRule type="cellIs" dxfId="4730" priority="4961" operator="greaterThan">
      <formula>0</formula>
    </cfRule>
  </conditionalFormatting>
  <conditionalFormatting sqref="RJ44">
    <cfRule type="cellIs" dxfId="4729" priority="4958" operator="lessThan">
      <formula>0</formula>
    </cfRule>
    <cfRule type="cellIs" dxfId="4728" priority="4959" operator="greaterThan">
      <formula>0</formula>
    </cfRule>
  </conditionalFormatting>
  <conditionalFormatting sqref="RJ23:RJ24">
    <cfRule type="cellIs" dxfId="4727" priority="4954" operator="lessThan">
      <formula>0</formula>
    </cfRule>
    <cfRule type="cellIs" dxfId="4726" priority="4955" operator="greaterThan">
      <formula>0</formula>
    </cfRule>
  </conditionalFormatting>
  <conditionalFormatting sqref="RJ33:RJ34">
    <cfRule type="cellIs" dxfId="4725" priority="4952" operator="lessThan">
      <formula>0</formula>
    </cfRule>
    <cfRule type="cellIs" dxfId="4724" priority="4953" operator="greaterThan">
      <formula>0</formula>
    </cfRule>
  </conditionalFormatting>
  <conditionalFormatting sqref="RJ101">
    <cfRule type="cellIs" dxfId="4723" priority="4944" operator="lessThan">
      <formula>0</formula>
    </cfRule>
    <cfRule type="cellIs" dxfId="4722" priority="4945" operator="greaterThan">
      <formula>0</formula>
    </cfRule>
  </conditionalFormatting>
  <conditionalFormatting sqref="RJ104">
    <cfRule type="cellIs" dxfId="4721" priority="4942" operator="lessThan">
      <formula>0</formula>
    </cfRule>
    <cfRule type="cellIs" dxfId="4720" priority="4943" operator="greaterThan">
      <formula>0</formula>
    </cfRule>
  </conditionalFormatting>
  <conditionalFormatting sqref="RJ48:RJ49">
    <cfRule type="cellIs" dxfId="4719" priority="4908" operator="lessThan">
      <formula>0</formula>
    </cfRule>
    <cfRule type="cellIs" dxfId="4718" priority="4909" operator="greaterThan">
      <formula>0</formula>
    </cfRule>
  </conditionalFormatting>
  <conditionalFormatting sqref="RL98">
    <cfRule type="cellIs" dxfId="4717" priority="4843" operator="lessThan">
      <formula>0</formula>
    </cfRule>
    <cfRule type="cellIs" dxfId="4716" priority="4844" operator="greaterThan">
      <formula>0</formula>
    </cfRule>
  </conditionalFormatting>
  <conditionalFormatting sqref="RL6 RL9:RL11">
    <cfRule type="cellIs" dxfId="4715" priority="4883" operator="lessThan">
      <formula>0</formula>
    </cfRule>
    <cfRule type="cellIs" dxfId="4714" priority="4884" operator="greaterThan">
      <formula>0</formula>
    </cfRule>
  </conditionalFormatting>
  <conditionalFormatting sqref="RL43:RL44">
    <cfRule type="cellIs" dxfId="4713" priority="4847" operator="lessThan">
      <formula>0</formula>
    </cfRule>
    <cfRule type="cellIs" dxfId="4712" priority="4848" operator="greaterThan">
      <formula>0</formula>
    </cfRule>
  </conditionalFormatting>
  <conditionalFormatting sqref="RL11 RL19 RL3 RL24:RL32 RL34:RL42 RL69:RL79">
    <cfRule type="cellIs" dxfId="4711" priority="4893" operator="lessThan">
      <formula>0</formula>
    </cfRule>
    <cfRule type="cellIs" dxfId="4710" priority="4894" operator="greaterThan">
      <formula>0</formula>
    </cfRule>
  </conditionalFormatting>
  <conditionalFormatting sqref="RL4:RL5">
    <cfRule type="cellIs" dxfId="4709" priority="4885" operator="lessThan">
      <formula>0</formula>
    </cfRule>
    <cfRule type="cellIs" dxfId="4708" priority="4886" operator="greaterThan">
      <formula>0</formula>
    </cfRule>
  </conditionalFormatting>
  <conditionalFormatting sqref="RL12:RL13">
    <cfRule type="cellIs" dxfId="4707" priority="4881" operator="lessThan">
      <formula>0</formula>
    </cfRule>
    <cfRule type="cellIs" dxfId="4706" priority="4882" operator="greaterThan">
      <formula>0</formula>
    </cfRule>
  </conditionalFormatting>
  <conditionalFormatting sqref="RL14:RL19">
    <cfRule type="cellIs" dxfId="4705" priority="4879" operator="lessThan">
      <formula>0</formula>
    </cfRule>
    <cfRule type="cellIs" dxfId="4704" priority="4880" operator="greaterThan">
      <formula>0</formula>
    </cfRule>
  </conditionalFormatting>
  <conditionalFormatting sqref="RL20:RL22">
    <cfRule type="cellIs" dxfId="4703" priority="4877" operator="lessThan">
      <formula>0</formula>
    </cfRule>
    <cfRule type="cellIs" dxfId="4702" priority="4878" operator="greaterThan">
      <formula>0</formula>
    </cfRule>
  </conditionalFormatting>
  <conditionalFormatting sqref="RL45:RL46">
    <cfRule type="cellIs" dxfId="4701" priority="4891" operator="lessThan">
      <formula>0</formula>
    </cfRule>
    <cfRule type="cellIs" dxfId="4700" priority="4892" operator="greaterThan">
      <formula>0</formula>
    </cfRule>
  </conditionalFormatting>
  <conditionalFormatting sqref="RL7">
    <cfRule type="cellIs" dxfId="4699" priority="4863" operator="lessThan">
      <formula>0</formula>
    </cfRule>
    <cfRule type="cellIs" dxfId="4698" priority="4864" operator="greaterThan">
      <formula>0</formula>
    </cfRule>
  </conditionalFormatting>
  <conditionalFormatting sqref="RL7">
    <cfRule type="cellIs" dxfId="4697" priority="4861" operator="lessThan">
      <formula>0</formula>
    </cfRule>
    <cfRule type="cellIs" dxfId="4696" priority="4862" operator="greaterThan">
      <formula>0</formula>
    </cfRule>
  </conditionalFormatting>
  <conditionalFormatting sqref="RL8">
    <cfRule type="cellIs" dxfId="4695" priority="4859" operator="lessThan">
      <formula>0</formula>
    </cfRule>
    <cfRule type="cellIs" dxfId="4694" priority="4860" operator="greaterThan">
      <formula>0</formula>
    </cfRule>
  </conditionalFormatting>
  <conditionalFormatting sqref="RL47">
    <cfRule type="cellIs" dxfId="4693" priority="4857" operator="lessThan">
      <formula>0</formula>
    </cfRule>
    <cfRule type="cellIs" dxfId="4692" priority="4858" operator="greaterThan">
      <formula>0</formula>
    </cfRule>
  </conditionalFormatting>
  <conditionalFormatting sqref="RL44">
    <cfRule type="cellIs" dxfId="4691" priority="4855" operator="lessThan">
      <formula>0</formula>
    </cfRule>
    <cfRule type="cellIs" dxfId="4690" priority="4856" operator="greaterThan">
      <formula>0</formula>
    </cfRule>
  </conditionalFormatting>
  <conditionalFormatting sqref="RL23:RL24">
    <cfRule type="cellIs" dxfId="4689" priority="4851" operator="lessThan">
      <formula>0</formula>
    </cfRule>
    <cfRule type="cellIs" dxfId="4688" priority="4852" operator="greaterThan">
      <formula>0</formula>
    </cfRule>
  </conditionalFormatting>
  <conditionalFormatting sqref="RL33:RL34">
    <cfRule type="cellIs" dxfId="4687" priority="4849" operator="lessThan">
      <formula>0</formula>
    </cfRule>
    <cfRule type="cellIs" dxfId="4686" priority="4850" operator="greaterThan">
      <formula>0</formula>
    </cfRule>
  </conditionalFormatting>
  <conditionalFormatting sqref="RL101">
    <cfRule type="cellIs" dxfId="4685" priority="4841" operator="lessThan">
      <formula>0</formula>
    </cfRule>
    <cfRule type="cellIs" dxfId="4684" priority="4842" operator="greaterThan">
      <formula>0</formula>
    </cfRule>
  </conditionalFormatting>
  <conditionalFormatting sqref="RL104">
    <cfRule type="cellIs" dxfId="4683" priority="4839" operator="lessThan">
      <formula>0</formula>
    </cfRule>
    <cfRule type="cellIs" dxfId="4682" priority="4840" operator="greaterThan">
      <formula>0</formula>
    </cfRule>
  </conditionalFormatting>
  <conditionalFormatting sqref="RL48:RL49">
    <cfRule type="cellIs" dxfId="4681" priority="4805" operator="lessThan">
      <formula>0</formula>
    </cfRule>
    <cfRule type="cellIs" dxfId="4680" priority="4806" operator="greaterThan">
      <formula>0</formula>
    </cfRule>
  </conditionalFormatting>
  <conditionalFormatting sqref="RN98">
    <cfRule type="cellIs" dxfId="4679" priority="4740" operator="lessThan">
      <formula>0</formula>
    </cfRule>
    <cfRule type="cellIs" dxfId="4678" priority="4741" operator="greaterThan">
      <formula>0</formula>
    </cfRule>
  </conditionalFormatting>
  <conditionalFormatting sqref="RN6 RN9:RN11">
    <cfRule type="cellIs" dxfId="4677" priority="4780" operator="lessThan">
      <formula>0</formula>
    </cfRule>
    <cfRule type="cellIs" dxfId="4676" priority="4781" operator="greaterThan">
      <formula>0</formula>
    </cfRule>
  </conditionalFormatting>
  <conditionalFormatting sqref="RN43:RN44">
    <cfRule type="cellIs" dxfId="4675" priority="4744" operator="lessThan">
      <formula>0</formula>
    </cfRule>
    <cfRule type="cellIs" dxfId="4674" priority="4745" operator="greaterThan">
      <formula>0</formula>
    </cfRule>
  </conditionalFormatting>
  <conditionalFormatting sqref="RN11 RN19 RN3 RN24:RN32 RN34:RN42 RN69:RN79">
    <cfRule type="cellIs" dxfId="4673" priority="4790" operator="lessThan">
      <formula>0</formula>
    </cfRule>
    <cfRule type="cellIs" dxfId="4672" priority="4791" operator="greaterThan">
      <formula>0</formula>
    </cfRule>
  </conditionalFormatting>
  <conditionalFormatting sqref="RN4:RN5">
    <cfRule type="cellIs" dxfId="4671" priority="4782" operator="lessThan">
      <formula>0</formula>
    </cfRule>
    <cfRule type="cellIs" dxfId="4670" priority="4783" operator="greaterThan">
      <formula>0</formula>
    </cfRule>
  </conditionalFormatting>
  <conditionalFormatting sqref="RN12:RN13">
    <cfRule type="cellIs" dxfId="4669" priority="4778" operator="lessThan">
      <formula>0</formula>
    </cfRule>
    <cfRule type="cellIs" dxfId="4668" priority="4779" operator="greaterThan">
      <formula>0</formula>
    </cfRule>
  </conditionalFormatting>
  <conditionalFormatting sqref="RN14:RN19">
    <cfRule type="cellIs" dxfId="4667" priority="4776" operator="lessThan">
      <formula>0</formula>
    </cfRule>
    <cfRule type="cellIs" dxfId="4666" priority="4777" operator="greaterThan">
      <formula>0</formula>
    </cfRule>
  </conditionalFormatting>
  <conditionalFormatting sqref="RN20:RN22">
    <cfRule type="cellIs" dxfId="4665" priority="4774" operator="lessThan">
      <formula>0</formula>
    </cfRule>
    <cfRule type="cellIs" dxfId="4664" priority="4775" operator="greaterThan">
      <formula>0</formula>
    </cfRule>
  </conditionalFormatting>
  <conditionalFormatting sqref="RN45:RN46">
    <cfRule type="cellIs" dxfId="4663" priority="4788" operator="lessThan">
      <formula>0</formula>
    </cfRule>
    <cfRule type="cellIs" dxfId="4662" priority="4789" operator="greaterThan">
      <formula>0</formula>
    </cfRule>
  </conditionalFormatting>
  <conditionalFormatting sqref="RN7">
    <cfRule type="cellIs" dxfId="4661" priority="4760" operator="lessThan">
      <formula>0</formula>
    </cfRule>
    <cfRule type="cellIs" dxfId="4660" priority="4761" operator="greaterThan">
      <formula>0</formula>
    </cfRule>
  </conditionalFormatting>
  <conditionalFormatting sqref="RN7">
    <cfRule type="cellIs" dxfId="4659" priority="4758" operator="lessThan">
      <formula>0</formula>
    </cfRule>
    <cfRule type="cellIs" dxfId="4658" priority="4759" operator="greaterThan">
      <formula>0</formula>
    </cfRule>
  </conditionalFormatting>
  <conditionalFormatting sqref="RN8">
    <cfRule type="cellIs" dxfId="4657" priority="4756" operator="lessThan">
      <formula>0</formula>
    </cfRule>
    <cfRule type="cellIs" dxfId="4656" priority="4757" operator="greaterThan">
      <formula>0</formula>
    </cfRule>
  </conditionalFormatting>
  <conditionalFormatting sqref="RN47">
    <cfRule type="cellIs" dxfId="4655" priority="4754" operator="lessThan">
      <formula>0</formula>
    </cfRule>
    <cfRule type="cellIs" dxfId="4654" priority="4755" operator="greaterThan">
      <formula>0</formula>
    </cfRule>
  </conditionalFormatting>
  <conditionalFormatting sqref="RN44">
    <cfRule type="cellIs" dxfId="4653" priority="4752" operator="lessThan">
      <formula>0</formula>
    </cfRule>
    <cfRule type="cellIs" dxfId="4652" priority="4753" operator="greaterThan">
      <formula>0</formula>
    </cfRule>
  </conditionalFormatting>
  <conditionalFormatting sqref="RN23:RN24">
    <cfRule type="cellIs" dxfId="4651" priority="4748" operator="lessThan">
      <formula>0</formula>
    </cfRule>
    <cfRule type="cellIs" dxfId="4650" priority="4749" operator="greaterThan">
      <formula>0</formula>
    </cfRule>
  </conditionalFormatting>
  <conditionalFormatting sqref="RN33:RN34">
    <cfRule type="cellIs" dxfId="4649" priority="4746" operator="lessThan">
      <formula>0</formula>
    </cfRule>
    <cfRule type="cellIs" dxfId="4648" priority="4747" operator="greaterThan">
      <formula>0</formula>
    </cfRule>
  </conditionalFormatting>
  <conditionalFormatting sqref="RN101">
    <cfRule type="cellIs" dxfId="4647" priority="4738" operator="lessThan">
      <formula>0</formula>
    </cfRule>
    <cfRule type="cellIs" dxfId="4646" priority="4739" operator="greaterThan">
      <formula>0</formula>
    </cfRule>
  </conditionalFormatting>
  <conditionalFormatting sqref="RN104">
    <cfRule type="cellIs" dxfId="4645" priority="4736" operator="lessThan">
      <formula>0</formula>
    </cfRule>
    <cfRule type="cellIs" dxfId="4644" priority="4737" operator="greaterThan">
      <formula>0</formula>
    </cfRule>
  </conditionalFormatting>
  <conditionalFormatting sqref="RN48:RN49">
    <cfRule type="cellIs" dxfId="4643" priority="4702" operator="lessThan">
      <formula>0</formula>
    </cfRule>
    <cfRule type="cellIs" dxfId="4642" priority="4703" operator="greaterThan">
      <formula>0</formula>
    </cfRule>
  </conditionalFormatting>
  <conditionalFormatting sqref="RP98">
    <cfRule type="cellIs" dxfId="4641" priority="4637" operator="lessThan">
      <formula>0</formula>
    </cfRule>
    <cfRule type="cellIs" dxfId="4640" priority="4638" operator="greaterThan">
      <formula>0</formula>
    </cfRule>
  </conditionalFormatting>
  <conditionalFormatting sqref="RP6 RP9:RP11">
    <cfRule type="cellIs" dxfId="4639" priority="4677" operator="lessThan">
      <formula>0</formula>
    </cfRule>
    <cfRule type="cellIs" dxfId="4638" priority="4678" operator="greaterThan">
      <formula>0</formula>
    </cfRule>
  </conditionalFormatting>
  <conditionalFormatting sqref="RP43:RP44">
    <cfRule type="cellIs" dxfId="4637" priority="4641" operator="lessThan">
      <formula>0</formula>
    </cfRule>
    <cfRule type="cellIs" dxfId="4636" priority="4642" operator="greaterThan">
      <formula>0</formula>
    </cfRule>
  </conditionalFormatting>
  <conditionalFormatting sqref="RP11 RP19 RP3 RP24:RP32 RP34:RP42 RP69:RP79">
    <cfRule type="cellIs" dxfId="4635" priority="4687" operator="lessThan">
      <formula>0</formula>
    </cfRule>
    <cfRule type="cellIs" dxfId="4634" priority="4688" operator="greaterThan">
      <formula>0</formula>
    </cfRule>
  </conditionalFormatting>
  <conditionalFormatting sqref="RP4:RP5">
    <cfRule type="cellIs" dxfId="4633" priority="4679" operator="lessThan">
      <formula>0</formula>
    </cfRule>
    <cfRule type="cellIs" dxfId="4632" priority="4680" operator="greaterThan">
      <formula>0</formula>
    </cfRule>
  </conditionalFormatting>
  <conditionalFormatting sqref="RP12:RP13">
    <cfRule type="cellIs" dxfId="4631" priority="4675" operator="lessThan">
      <formula>0</formula>
    </cfRule>
    <cfRule type="cellIs" dxfId="4630" priority="4676" operator="greaterThan">
      <formula>0</formula>
    </cfRule>
  </conditionalFormatting>
  <conditionalFormatting sqref="RP14:RP19">
    <cfRule type="cellIs" dxfId="4629" priority="4673" operator="lessThan">
      <formula>0</formula>
    </cfRule>
    <cfRule type="cellIs" dxfId="4628" priority="4674" operator="greaterThan">
      <formula>0</formula>
    </cfRule>
  </conditionalFormatting>
  <conditionalFormatting sqref="RP20:RP22">
    <cfRule type="cellIs" dxfId="4627" priority="4671" operator="lessThan">
      <formula>0</formula>
    </cfRule>
    <cfRule type="cellIs" dxfId="4626" priority="4672" operator="greaterThan">
      <formula>0</formula>
    </cfRule>
  </conditionalFormatting>
  <conditionalFormatting sqref="RP45:RP46">
    <cfRule type="cellIs" dxfId="4625" priority="4685" operator="lessThan">
      <formula>0</formula>
    </cfRule>
    <cfRule type="cellIs" dxfId="4624" priority="4686" operator="greaterThan">
      <formula>0</formula>
    </cfRule>
  </conditionalFormatting>
  <conditionalFormatting sqref="RP7">
    <cfRule type="cellIs" dxfId="4623" priority="4657" operator="lessThan">
      <formula>0</formula>
    </cfRule>
    <cfRule type="cellIs" dxfId="4622" priority="4658" operator="greaterThan">
      <formula>0</formula>
    </cfRule>
  </conditionalFormatting>
  <conditionalFormatting sqref="RP7">
    <cfRule type="cellIs" dxfId="4621" priority="4655" operator="lessThan">
      <formula>0</formula>
    </cfRule>
    <cfRule type="cellIs" dxfId="4620" priority="4656" operator="greaterThan">
      <formula>0</formula>
    </cfRule>
  </conditionalFormatting>
  <conditionalFormatting sqref="RP8">
    <cfRule type="cellIs" dxfId="4619" priority="4653" operator="lessThan">
      <formula>0</formula>
    </cfRule>
    <cfRule type="cellIs" dxfId="4618" priority="4654" operator="greaterThan">
      <formula>0</formula>
    </cfRule>
  </conditionalFormatting>
  <conditionalFormatting sqref="RP47">
    <cfRule type="cellIs" dxfId="4617" priority="4651" operator="lessThan">
      <formula>0</formula>
    </cfRule>
    <cfRule type="cellIs" dxfId="4616" priority="4652" operator="greaterThan">
      <formula>0</formula>
    </cfRule>
  </conditionalFormatting>
  <conditionalFormatting sqref="RP44">
    <cfRule type="cellIs" dxfId="4615" priority="4649" operator="lessThan">
      <formula>0</formula>
    </cfRule>
    <cfRule type="cellIs" dxfId="4614" priority="4650" operator="greaterThan">
      <formula>0</formula>
    </cfRule>
  </conditionalFormatting>
  <conditionalFormatting sqref="RP23:RP24">
    <cfRule type="cellIs" dxfId="4613" priority="4645" operator="lessThan">
      <formula>0</formula>
    </cfRule>
    <cfRule type="cellIs" dxfId="4612" priority="4646" operator="greaterThan">
      <formula>0</formula>
    </cfRule>
  </conditionalFormatting>
  <conditionalFormatting sqref="RP33:RP34">
    <cfRule type="cellIs" dxfId="4611" priority="4643" operator="lessThan">
      <formula>0</formula>
    </cfRule>
    <cfRule type="cellIs" dxfId="4610" priority="4644" operator="greaterThan">
      <formula>0</formula>
    </cfRule>
  </conditionalFormatting>
  <conditionalFormatting sqref="RP101">
    <cfRule type="cellIs" dxfId="4609" priority="4635" operator="lessThan">
      <formula>0</formula>
    </cfRule>
    <cfRule type="cellIs" dxfId="4608" priority="4636" operator="greaterThan">
      <formula>0</formula>
    </cfRule>
  </conditionalFormatting>
  <conditionalFormatting sqref="RP104">
    <cfRule type="cellIs" dxfId="4607" priority="4633" operator="lessThan">
      <formula>0</formula>
    </cfRule>
    <cfRule type="cellIs" dxfId="4606" priority="4634" operator="greaterThan">
      <formula>0</formula>
    </cfRule>
  </conditionalFormatting>
  <conditionalFormatting sqref="RP48:RP49">
    <cfRule type="cellIs" dxfId="4605" priority="4599" operator="lessThan">
      <formula>0</formula>
    </cfRule>
    <cfRule type="cellIs" dxfId="4604" priority="4600" operator="greaterThan">
      <formula>0</formula>
    </cfRule>
  </conditionalFormatting>
  <conditionalFormatting sqref="RR98">
    <cfRule type="cellIs" dxfId="4603" priority="4534" operator="lessThan">
      <formula>0</formula>
    </cfRule>
    <cfRule type="cellIs" dxfId="4602" priority="4535" operator="greaterThan">
      <formula>0</formula>
    </cfRule>
  </conditionalFormatting>
  <conditionalFormatting sqref="RR6 RR9:RR11">
    <cfRule type="cellIs" dxfId="4601" priority="4574" operator="lessThan">
      <formula>0</formula>
    </cfRule>
    <cfRule type="cellIs" dxfId="4600" priority="4575" operator="greaterThan">
      <formula>0</formula>
    </cfRule>
  </conditionalFormatting>
  <conditionalFormatting sqref="RR43:RR44">
    <cfRule type="cellIs" dxfId="4599" priority="4538" operator="lessThan">
      <formula>0</formula>
    </cfRule>
    <cfRule type="cellIs" dxfId="4598" priority="4539" operator="greaterThan">
      <formula>0</formula>
    </cfRule>
  </conditionalFormatting>
  <conditionalFormatting sqref="RR11 RR19 RR3 RR24:RR32 RR34:RR42 RR69:RR79">
    <cfRule type="cellIs" dxfId="4597" priority="4584" operator="lessThan">
      <formula>0</formula>
    </cfRule>
    <cfRule type="cellIs" dxfId="4596" priority="4585" operator="greaterThan">
      <formula>0</formula>
    </cfRule>
  </conditionalFormatting>
  <conditionalFormatting sqref="RR4:RR5">
    <cfRule type="cellIs" dxfId="4595" priority="4576" operator="lessThan">
      <formula>0</formula>
    </cfRule>
    <cfRule type="cellIs" dxfId="4594" priority="4577" operator="greaterThan">
      <formula>0</formula>
    </cfRule>
  </conditionalFormatting>
  <conditionalFormatting sqref="RR12:RR13">
    <cfRule type="cellIs" dxfId="4593" priority="4572" operator="lessThan">
      <formula>0</formula>
    </cfRule>
    <cfRule type="cellIs" dxfId="4592" priority="4573" operator="greaterThan">
      <formula>0</formula>
    </cfRule>
  </conditionalFormatting>
  <conditionalFormatting sqref="RR14:RR19">
    <cfRule type="cellIs" dxfId="4591" priority="4570" operator="lessThan">
      <formula>0</formula>
    </cfRule>
    <cfRule type="cellIs" dxfId="4590" priority="4571" operator="greaterThan">
      <formula>0</formula>
    </cfRule>
  </conditionalFormatting>
  <conditionalFormatting sqref="RR20:RR22">
    <cfRule type="cellIs" dxfId="4589" priority="4568" operator="lessThan">
      <formula>0</formula>
    </cfRule>
    <cfRule type="cellIs" dxfId="4588" priority="4569" operator="greaterThan">
      <formula>0</formula>
    </cfRule>
  </conditionalFormatting>
  <conditionalFormatting sqref="RR45:RR46">
    <cfRule type="cellIs" dxfId="4587" priority="4582" operator="lessThan">
      <formula>0</formula>
    </cfRule>
    <cfRule type="cellIs" dxfId="4586" priority="4583" operator="greaterThan">
      <formula>0</formula>
    </cfRule>
  </conditionalFormatting>
  <conditionalFormatting sqref="RR7">
    <cfRule type="cellIs" dxfId="4585" priority="4554" operator="lessThan">
      <formula>0</formula>
    </cfRule>
    <cfRule type="cellIs" dxfId="4584" priority="4555" operator="greaterThan">
      <formula>0</formula>
    </cfRule>
  </conditionalFormatting>
  <conditionalFormatting sqref="RR7">
    <cfRule type="cellIs" dxfId="4583" priority="4552" operator="lessThan">
      <formula>0</formula>
    </cfRule>
    <cfRule type="cellIs" dxfId="4582" priority="4553" operator="greaterThan">
      <formula>0</formula>
    </cfRule>
  </conditionalFormatting>
  <conditionalFormatting sqref="RR8">
    <cfRule type="cellIs" dxfId="4581" priority="4550" operator="lessThan">
      <formula>0</formula>
    </cfRule>
    <cfRule type="cellIs" dxfId="4580" priority="4551" operator="greaterThan">
      <formula>0</formula>
    </cfRule>
  </conditionalFormatting>
  <conditionalFormatting sqref="RR47">
    <cfRule type="cellIs" dxfId="4579" priority="4548" operator="lessThan">
      <formula>0</formula>
    </cfRule>
    <cfRule type="cellIs" dxfId="4578" priority="4549" operator="greaterThan">
      <formula>0</formula>
    </cfRule>
  </conditionalFormatting>
  <conditionalFormatting sqref="RR44">
    <cfRule type="cellIs" dxfId="4577" priority="4546" operator="lessThan">
      <formula>0</formula>
    </cfRule>
    <cfRule type="cellIs" dxfId="4576" priority="4547" operator="greaterThan">
      <formula>0</formula>
    </cfRule>
  </conditionalFormatting>
  <conditionalFormatting sqref="RR23:RR24">
    <cfRule type="cellIs" dxfId="4575" priority="4542" operator="lessThan">
      <formula>0</formula>
    </cfRule>
    <cfRule type="cellIs" dxfId="4574" priority="4543" operator="greaterThan">
      <formula>0</formula>
    </cfRule>
  </conditionalFormatting>
  <conditionalFormatting sqref="RR33:RR34">
    <cfRule type="cellIs" dxfId="4573" priority="4540" operator="lessThan">
      <formula>0</formula>
    </cfRule>
    <cfRule type="cellIs" dxfId="4572" priority="4541" operator="greaterThan">
      <formula>0</formula>
    </cfRule>
  </conditionalFormatting>
  <conditionalFormatting sqref="RR101">
    <cfRule type="cellIs" dxfId="4571" priority="4532" operator="lessThan">
      <formula>0</formula>
    </cfRule>
    <cfRule type="cellIs" dxfId="4570" priority="4533" operator="greaterThan">
      <formula>0</formula>
    </cfRule>
  </conditionalFormatting>
  <conditionalFormatting sqref="RR104">
    <cfRule type="cellIs" dxfId="4569" priority="4530" operator="lessThan">
      <formula>0</formula>
    </cfRule>
    <cfRule type="cellIs" dxfId="4568" priority="4531" operator="greaterThan">
      <formula>0</formula>
    </cfRule>
  </conditionalFormatting>
  <conditionalFormatting sqref="RR48:RR49">
    <cfRule type="cellIs" dxfId="4567" priority="4496" operator="lessThan">
      <formula>0</formula>
    </cfRule>
    <cfRule type="cellIs" dxfId="4566" priority="4497" operator="greaterThan">
      <formula>0</formula>
    </cfRule>
  </conditionalFormatting>
  <conditionalFormatting sqref="RT98">
    <cfRule type="cellIs" dxfId="4565" priority="4431" operator="lessThan">
      <formula>0</formula>
    </cfRule>
    <cfRule type="cellIs" dxfId="4564" priority="4432" operator="greaterThan">
      <formula>0</formula>
    </cfRule>
  </conditionalFormatting>
  <conditionalFormatting sqref="RT6 RT9:RT11">
    <cfRule type="cellIs" dxfId="4563" priority="4471" operator="lessThan">
      <formula>0</formula>
    </cfRule>
    <cfRule type="cellIs" dxfId="4562" priority="4472" operator="greaterThan">
      <formula>0</formula>
    </cfRule>
  </conditionalFormatting>
  <conditionalFormatting sqref="RT43:RT44">
    <cfRule type="cellIs" dxfId="4561" priority="4435" operator="lessThan">
      <formula>0</formula>
    </cfRule>
    <cfRule type="cellIs" dxfId="4560" priority="4436" operator="greaterThan">
      <formula>0</formula>
    </cfRule>
  </conditionalFormatting>
  <conditionalFormatting sqref="RT11 RT19 RT3 RT24:RT32 RT34:RT42 RT69:RT79">
    <cfRule type="cellIs" dxfId="4559" priority="4481" operator="lessThan">
      <formula>0</formula>
    </cfRule>
    <cfRule type="cellIs" dxfId="4558" priority="4482" operator="greaterThan">
      <formula>0</formula>
    </cfRule>
  </conditionalFormatting>
  <conditionalFormatting sqref="RT4:RT5">
    <cfRule type="cellIs" dxfId="4557" priority="4473" operator="lessThan">
      <formula>0</formula>
    </cfRule>
    <cfRule type="cellIs" dxfId="4556" priority="4474" operator="greaterThan">
      <formula>0</formula>
    </cfRule>
  </conditionalFormatting>
  <conditionalFormatting sqref="RT12:RT13">
    <cfRule type="cellIs" dxfId="4555" priority="4469" operator="lessThan">
      <formula>0</formula>
    </cfRule>
    <cfRule type="cellIs" dxfId="4554" priority="4470" operator="greaterThan">
      <formula>0</formula>
    </cfRule>
  </conditionalFormatting>
  <conditionalFormatting sqref="RT14:RT19">
    <cfRule type="cellIs" dxfId="4553" priority="4467" operator="lessThan">
      <formula>0</formula>
    </cfRule>
    <cfRule type="cellIs" dxfId="4552" priority="4468" operator="greaterThan">
      <formula>0</formula>
    </cfRule>
  </conditionalFormatting>
  <conditionalFormatting sqref="RT20:RT22">
    <cfRule type="cellIs" dxfId="4551" priority="4465" operator="lessThan">
      <formula>0</formula>
    </cfRule>
    <cfRule type="cellIs" dxfId="4550" priority="4466" operator="greaterThan">
      <formula>0</formula>
    </cfRule>
  </conditionalFormatting>
  <conditionalFormatting sqref="RT45:RT46">
    <cfRule type="cellIs" dxfId="4549" priority="4479" operator="lessThan">
      <formula>0</formula>
    </cfRule>
    <cfRule type="cellIs" dxfId="4548" priority="4480" operator="greaterThan">
      <formula>0</formula>
    </cfRule>
  </conditionalFormatting>
  <conditionalFormatting sqref="RT7">
    <cfRule type="cellIs" dxfId="4547" priority="4451" operator="lessThan">
      <formula>0</formula>
    </cfRule>
    <cfRule type="cellIs" dxfId="4546" priority="4452" operator="greaterThan">
      <formula>0</formula>
    </cfRule>
  </conditionalFormatting>
  <conditionalFormatting sqref="RT7">
    <cfRule type="cellIs" dxfId="4545" priority="4449" operator="lessThan">
      <formula>0</formula>
    </cfRule>
    <cfRule type="cellIs" dxfId="4544" priority="4450" operator="greaterThan">
      <formula>0</formula>
    </cfRule>
  </conditionalFormatting>
  <conditionalFormatting sqref="RT8">
    <cfRule type="cellIs" dxfId="4543" priority="4447" operator="lessThan">
      <formula>0</formula>
    </cfRule>
    <cfRule type="cellIs" dxfId="4542" priority="4448" operator="greaterThan">
      <formula>0</formula>
    </cfRule>
  </conditionalFormatting>
  <conditionalFormatting sqref="RT47">
    <cfRule type="cellIs" dxfId="4541" priority="4445" operator="lessThan">
      <formula>0</formula>
    </cfRule>
    <cfRule type="cellIs" dxfId="4540" priority="4446" operator="greaterThan">
      <formula>0</formula>
    </cfRule>
  </conditionalFormatting>
  <conditionalFormatting sqref="RT44">
    <cfRule type="cellIs" dxfId="4539" priority="4443" operator="lessThan">
      <formula>0</formula>
    </cfRule>
    <cfRule type="cellIs" dxfId="4538" priority="4444" operator="greaterThan">
      <formula>0</formula>
    </cfRule>
  </conditionalFormatting>
  <conditionalFormatting sqref="RT23:RT24">
    <cfRule type="cellIs" dxfId="4537" priority="4439" operator="lessThan">
      <formula>0</formula>
    </cfRule>
    <cfRule type="cellIs" dxfId="4536" priority="4440" operator="greaterThan">
      <formula>0</formula>
    </cfRule>
  </conditionalFormatting>
  <conditionalFormatting sqref="RT33:RT34">
    <cfRule type="cellIs" dxfId="4535" priority="4437" operator="lessThan">
      <formula>0</formula>
    </cfRule>
    <cfRule type="cellIs" dxfId="4534" priority="4438" operator="greaterThan">
      <formula>0</formula>
    </cfRule>
  </conditionalFormatting>
  <conditionalFormatting sqref="RT101">
    <cfRule type="cellIs" dxfId="4533" priority="4429" operator="lessThan">
      <formula>0</formula>
    </cfRule>
    <cfRule type="cellIs" dxfId="4532" priority="4430" operator="greaterThan">
      <formula>0</formula>
    </cfRule>
  </conditionalFormatting>
  <conditionalFormatting sqref="RT104">
    <cfRule type="cellIs" dxfId="4531" priority="4427" operator="lessThan">
      <formula>0</formula>
    </cfRule>
    <cfRule type="cellIs" dxfId="4530" priority="4428" operator="greaterThan">
      <formula>0</formula>
    </cfRule>
  </conditionalFormatting>
  <conditionalFormatting sqref="RT48:RT49">
    <cfRule type="cellIs" dxfId="4529" priority="4393" operator="lessThan">
      <formula>0</formula>
    </cfRule>
    <cfRule type="cellIs" dxfId="4528" priority="4394" operator="greaterThan">
      <formula>0</formula>
    </cfRule>
  </conditionalFormatting>
  <conditionalFormatting sqref="RV98">
    <cfRule type="cellIs" dxfId="4527" priority="4328" operator="lessThan">
      <formula>0</formula>
    </cfRule>
    <cfRule type="cellIs" dxfId="4526" priority="4329" operator="greaterThan">
      <formula>0</formula>
    </cfRule>
  </conditionalFormatting>
  <conditionalFormatting sqref="RV6 RV9:RV11">
    <cfRule type="cellIs" dxfId="4525" priority="4368" operator="lessThan">
      <formula>0</formula>
    </cfRule>
    <cfRule type="cellIs" dxfId="4524" priority="4369" operator="greaterThan">
      <formula>0</formula>
    </cfRule>
  </conditionalFormatting>
  <conditionalFormatting sqref="RV43:RV44">
    <cfRule type="cellIs" dxfId="4523" priority="4332" operator="lessThan">
      <formula>0</formula>
    </cfRule>
    <cfRule type="cellIs" dxfId="4522" priority="4333" operator="greaterThan">
      <formula>0</formula>
    </cfRule>
  </conditionalFormatting>
  <conditionalFormatting sqref="RV11 RV19 RV3 RV24:RV32 RV34:RV42 RV69:RV79">
    <cfRule type="cellIs" dxfId="4521" priority="4378" operator="lessThan">
      <formula>0</formula>
    </cfRule>
    <cfRule type="cellIs" dxfId="4520" priority="4379" operator="greaterThan">
      <formula>0</formula>
    </cfRule>
  </conditionalFormatting>
  <conditionalFormatting sqref="RV4:RV5">
    <cfRule type="cellIs" dxfId="4519" priority="4370" operator="lessThan">
      <formula>0</formula>
    </cfRule>
    <cfRule type="cellIs" dxfId="4518" priority="4371" operator="greaterThan">
      <formula>0</formula>
    </cfRule>
  </conditionalFormatting>
  <conditionalFormatting sqref="RV12:RV13">
    <cfRule type="cellIs" dxfId="4517" priority="4366" operator="lessThan">
      <formula>0</formula>
    </cfRule>
    <cfRule type="cellIs" dxfId="4516" priority="4367" operator="greaterThan">
      <formula>0</formula>
    </cfRule>
  </conditionalFormatting>
  <conditionalFormatting sqref="RV14:RV19">
    <cfRule type="cellIs" dxfId="4515" priority="4364" operator="lessThan">
      <formula>0</formula>
    </cfRule>
    <cfRule type="cellIs" dxfId="4514" priority="4365" operator="greaterThan">
      <formula>0</formula>
    </cfRule>
  </conditionalFormatting>
  <conditionalFormatting sqref="RV20:RV22">
    <cfRule type="cellIs" dxfId="4513" priority="4362" operator="lessThan">
      <formula>0</formula>
    </cfRule>
    <cfRule type="cellIs" dxfId="4512" priority="4363" operator="greaterThan">
      <formula>0</formula>
    </cfRule>
  </conditionalFormatting>
  <conditionalFormatting sqref="RV45:RV46">
    <cfRule type="cellIs" dxfId="4511" priority="4376" operator="lessThan">
      <formula>0</formula>
    </cfRule>
    <cfRule type="cellIs" dxfId="4510" priority="4377" operator="greaterThan">
      <formula>0</formula>
    </cfRule>
  </conditionalFormatting>
  <conditionalFormatting sqref="RV7">
    <cfRule type="cellIs" dxfId="4509" priority="4348" operator="lessThan">
      <formula>0</formula>
    </cfRule>
    <cfRule type="cellIs" dxfId="4508" priority="4349" operator="greaterThan">
      <formula>0</formula>
    </cfRule>
  </conditionalFormatting>
  <conditionalFormatting sqref="RV7">
    <cfRule type="cellIs" dxfId="4507" priority="4346" operator="lessThan">
      <formula>0</formula>
    </cfRule>
    <cfRule type="cellIs" dxfId="4506" priority="4347" operator="greaterThan">
      <formula>0</formula>
    </cfRule>
  </conditionalFormatting>
  <conditionalFormatting sqref="RV8">
    <cfRule type="cellIs" dxfId="4505" priority="4344" operator="lessThan">
      <formula>0</formula>
    </cfRule>
    <cfRule type="cellIs" dxfId="4504" priority="4345" operator="greaterThan">
      <formula>0</formula>
    </cfRule>
  </conditionalFormatting>
  <conditionalFormatting sqref="RV47">
    <cfRule type="cellIs" dxfId="4503" priority="4342" operator="lessThan">
      <formula>0</formula>
    </cfRule>
    <cfRule type="cellIs" dxfId="4502" priority="4343" operator="greaterThan">
      <formula>0</formula>
    </cfRule>
  </conditionalFormatting>
  <conditionalFormatting sqref="RV44">
    <cfRule type="cellIs" dxfId="4501" priority="4340" operator="lessThan">
      <formula>0</formula>
    </cfRule>
    <cfRule type="cellIs" dxfId="4500" priority="4341" operator="greaterThan">
      <formula>0</formula>
    </cfRule>
  </conditionalFormatting>
  <conditionalFormatting sqref="RV23:RV24">
    <cfRule type="cellIs" dxfId="4499" priority="4336" operator="lessThan">
      <formula>0</formula>
    </cfRule>
    <cfRule type="cellIs" dxfId="4498" priority="4337" operator="greaterThan">
      <formula>0</formula>
    </cfRule>
  </conditionalFormatting>
  <conditionalFormatting sqref="RV33:RV34">
    <cfRule type="cellIs" dxfId="4497" priority="4334" operator="lessThan">
      <formula>0</formula>
    </cfRule>
    <cfRule type="cellIs" dxfId="4496" priority="4335" operator="greaterThan">
      <formula>0</formula>
    </cfRule>
  </conditionalFormatting>
  <conditionalFormatting sqref="RV101">
    <cfRule type="cellIs" dxfId="4495" priority="4326" operator="lessThan">
      <formula>0</formula>
    </cfRule>
    <cfRule type="cellIs" dxfId="4494" priority="4327" operator="greaterThan">
      <formula>0</formula>
    </cfRule>
  </conditionalFormatting>
  <conditionalFormatting sqref="RV104">
    <cfRule type="cellIs" dxfId="4493" priority="4324" operator="lessThan">
      <formula>0</formula>
    </cfRule>
    <cfRule type="cellIs" dxfId="4492" priority="4325" operator="greaterThan">
      <formula>0</formula>
    </cfRule>
  </conditionalFormatting>
  <conditionalFormatting sqref="RV48:RV49">
    <cfRule type="cellIs" dxfId="4491" priority="4290" operator="lessThan">
      <formula>0</formula>
    </cfRule>
    <cfRule type="cellIs" dxfId="4490" priority="4291" operator="greaterThan">
      <formula>0</formula>
    </cfRule>
  </conditionalFormatting>
  <conditionalFormatting sqref="RX98">
    <cfRule type="cellIs" dxfId="4489" priority="4225" operator="lessThan">
      <formula>0</formula>
    </cfRule>
    <cfRule type="cellIs" dxfId="4488" priority="4226" operator="greaterThan">
      <formula>0</formula>
    </cfRule>
  </conditionalFormatting>
  <conditionalFormatting sqref="RX6 RX9:RX11">
    <cfRule type="cellIs" dxfId="4487" priority="4265" operator="lessThan">
      <formula>0</formula>
    </cfRule>
    <cfRule type="cellIs" dxfId="4486" priority="4266" operator="greaterThan">
      <formula>0</formula>
    </cfRule>
  </conditionalFormatting>
  <conditionalFormatting sqref="RX43:RX44">
    <cfRule type="cellIs" dxfId="4485" priority="4229" operator="lessThan">
      <formula>0</formula>
    </cfRule>
    <cfRule type="cellIs" dxfId="4484" priority="4230" operator="greaterThan">
      <formula>0</formula>
    </cfRule>
  </conditionalFormatting>
  <conditionalFormatting sqref="RX11 RX19 RX3 RX24:RX32 RX34:RX42 RX69:RX79">
    <cfRule type="cellIs" dxfId="4483" priority="4275" operator="lessThan">
      <formula>0</formula>
    </cfRule>
    <cfRule type="cellIs" dxfId="4482" priority="4276" operator="greaterThan">
      <formula>0</formula>
    </cfRule>
  </conditionalFormatting>
  <conditionalFormatting sqref="RX4:RX5">
    <cfRule type="cellIs" dxfId="4481" priority="4267" operator="lessThan">
      <formula>0</formula>
    </cfRule>
    <cfRule type="cellIs" dxfId="4480" priority="4268" operator="greaterThan">
      <formula>0</formula>
    </cfRule>
  </conditionalFormatting>
  <conditionalFormatting sqref="RX12:RX13">
    <cfRule type="cellIs" dxfId="4479" priority="4263" operator="lessThan">
      <formula>0</formula>
    </cfRule>
    <cfRule type="cellIs" dxfId="4478" priority="4264" operator="greaterThan">
      <formula>0</formula>
    </cfRule>
  </conditionalFormatting>
  <conditionalFormatting sqref="RX14:RX19">
    <cfRule type="cellIs" dxfId="4477" priority="4261" operator="lessThan">
      <formula>0</formula>
    </cfRule>
    <cfRule type="cellIs" dxfId="4476" priority="4262" operator="greaterThan">
      <formula>0</formula>
    </cfRule>
  </conditionalFormatting>
  <conditionalFormatting sqref="RX20:RX22">
    <cfRule type="cellIs" dxfId="4475" priority="4259" operator="lessThan">
      <formula>0</formula>
    </cfRule>
    <cfRule type="cellIs" dxfId="4474" priority="4260" operator="greaterThan">
      <formula>0</formula>
    </cfRule>
  </conditionalFormatting>
  <conditionalFormatting sqref="RX45:RX46">
    <cfRule type="cellIs" dxfId="4473" priority="4273" operator="lessThan">
      <formula>0</formula>
    </cfRule>
    <cfRule type="cellIs" dxfId="4472" priority="4274" operator="greaterThan">
      <formula>0</formula>
    </cfRule>
  </conditionalFormatting>
  <conditionalFormatting sqref="RX7">
    <cfRule type="cellIs" dxfId="4471" priority="4245" operator="lessThan">
      <formula>0</formula>
    </cfRule>
    <cfRule type="cellIs" dxfId="4470" priority="4246" operator="greaterThan">
      <formula>0</formula>
    </cfRule>
  </conditionalFormatting>
  <conditionalFormatting sqref="RX7">
    <cfRule type="cellIs" dxfId="4469" priority="4243" operator="lessThan">
      <formula>0</formula>
    </cfRule>
    <cfRule type="cellIs" dxfId="4468" priority="4244" operator="greaterThan">
      <formula>0</formula>
    </cfRule>
  </conditionalFormatting>
  <conditionalFormatting sqref="RX8">
    <cfRule type="cellIs" dxfId="4467" priority="4241" operator="lessThan">
      <formula>0</formula>
    </cfRule>
    <cfRule type="cellIs" dxfId="4466" priority="4242" operator="greaterThan">
      <formula>0</formula>
    </cfRule>
  </conditionalFormatting>
  <conditionalFormatting sqref="RX47">
    <cfRule type="cellIs" dxfId="4465" priority="4239" operator="lessThan">
      <formula>0</formula>
    </cfRule>
    <cfRule type="cellIs" dxfId="4464" priority="4240" operator="greaterThan">
      <formula>0</formula>
    </cfRule>
  </conditionalFormatting>
  <conditionalFormatting sqref="RX44">
    <cfRule type="cellIs" dxfId="4463" priority="4237" operator="lessThan">
      <formula>0</formula>
    </cfRule>
    <cfRule type="cellIs" dxfId="4462" priority="4238" operator="greaterThan">
      <formula>0</formula>
    </cfRule>
  </conditionalFormatting>
  <conditionalFormatting sqref="RX23:RX24">
    <cfRule type="cellIs" dxfId="4461" priority="4233" operator="lessThan">
      <formula>0</formula>
    </cfRule>
    <cfRule type="cellIs" dxfId="4460" priority="4234" operator="greaterThan">
      <formula>0</formula>
    </cfRule>
  </conditionalFormatting>
  <conditionalFormatting sqref="RX33:RX34">
    <cfRule type="cellIs" dxfId="4459" priority="4231" operator="lessThan">
      <formula>0</formula>
    </cfRule>
    <cfRule type="cellIs" dxfId="4458" priority="4232" operator="greaterThan">
      <formula>0</formula>
    </cfRule>
  </conditionalFormatting>
  <conditionalFormatting sqref="RX101">
    <cfRule type="cellIs" dxfId="4457" priority="4223" operator="lessThan">
      <formula>0</formula>
    </cfRule>
    <cfRule type="cellIs" dxfId="4456" priority="4224" operator="greaterThan">
      <formula>0</formula>
    </cfRule>
  </conditionalFormatting>
  <conditionalFormatting sqref="RX104">
    <cfRule type="cellIs" dxfId="4455" priority="4221" operator="lessThan">
      <formula>0</formula>
    </cfRule>
    <cfRule type="cellIs" dxfId="4454" priority="4222" operator="greaterThan">
      <formula>0</formula>
    </cfRule>
  </conditionalFormatting>
  <conditionalFormatting sqref="RX48:RX49">
    <cfRule type="cellIs" dxfId="4453" priority="4187" operator="lessThan">
      <formula>0</formula>
    </cfRule>
    <cfRule type="cellIs" dxfId="4452" priority="4188" operator="greaterThan">
      <formula>0</formula>
    </cfRule>
  </conditionalFormatting>
  <conditionalFormatting sqref="RZ98">
    <cfRule type="cellIs" dxfId="4451" priority="4122" operator="lessThan">
      <formula>0</formula>
    </cfRule>
    <cfRule type="cellIs" dxfId="4450" priority="4123" operator="greaterThan">
      <formula>0</formula>
    </cfRule>
  </conditionalFormatting>
  <conditionalFormatting sqref="RZ6 RZ9:RZ11">
    <cfRule type="cellIs" dxfId="4449" priority="4162" operator="lessThan">
      <formula>0</formula>
    </cfRule>
    <cfRule type="cellIs" dxfId="4448" priority="4163" operator="greaterThan">
      <formula>0</formula>
    </cfRule>
  </conditionalFormatting>
  <conditionalFormatting sqref="RZ43:RZ44">
    <cfRule type="cellIs" dxfId="4447" priority="4126" operator="lessThan">
      <formula>0</formula>
    </cfRule>
    <cfRule type="cellIs" dxfId="4446" priority="4127" operator="greaterThan">
      <formula>0</formula>
    </cfRule>
  </conditionalFormatting>
  <conditionalFormatting sqref="RZ11 RZ19 RZ3 RZ24:RZ32 RZ34:RZ42 RZ69:RZ79">
    <cfRule type="cellIs" dxfId="4445" priority="4172" operator="lessThan">
      <formula>0</formula>
    </cfRule>
    <cfRule type="cellIs" dxfId="4444" priority="4173" operator="greaterThan">
      <formula>0</formula>
    </cfRule>
  </conditionalFormatting>
  <conditionalFormatting sqref="RZ4:RZ5">
    <cfRule type="cellIs" dxfId="4443" priority="4164" operator="lessThan">
      <formula>0</formula>
    </cfRule>
    <cfRule type="cellIs" dxfId="4442" priority="4165" operator="greaterThan">
      <formula>0</formula>
    </cfRule>
  </conditionalFormatting>
  <conditionalFormatting sqref="RZ12:RZ13">
    <cfRule type="cellIs" dxfId="4441" priority="4160" operator="lessThan">
      <formula>0</formula>
    </cfRule>
    <cfRule type="cellIs" dxfId="4440" priority="4161" operator="greaterThan">
      <formula>0</formula>
    </cfRule>
  </conditionalFormatting>
  <conditionalFormatting sqref="RZ14:RZ19">
    <cfRule type="cellIs" dxfId="4439" priority="4158" operator="lessThan">
      <formula>0</formula>
    </cfRule>
    <cfRule type="cellIs" dxfId="4438" priority="4159" operator="greaterThan">
      <formula>0</formula>
    </cfRule>
  </conditionalFormatting>
  <conditionalFormatting sqref="RZ20:RZ22">
    <cfRule type="cellIs" dxfId="4437" priority="4156" operator="lessThan">
      <formula>0</formula>
    </cfRule>
    <cfRule type="cellIs" dxfId="4436" priority="4157" operator="greaterThan">
      <formula>0</formula>
    </cfRule>
  </conditionalFormatting>
  <conditionalFormatting sqref="RZ45:RZ46">
    <cfRule type="cellIs" dxfId="4435" priority="4170" operator="lessThan">
      <formula>0</formula>
    </cfRule>
    <cfRule type="cellIs" dxfId="4434" priority="4171" operator="greaterThan">
      <formula>0</formula>
    </cfRule>
  </conditionalFormatting>
  <conditionalFormatting sqref="RZ7">
    <cfRule type="cellIs" dxfId="4433" priority="4142" operator="lessThan">
      <formula>0</formula>
    </cfRule>
    <cfRule type="cellIs" dxfId="4432" priority="4143" operator="greaterThan">
      <formula>0</formula>
    </cfRule>
  </conditionalFormatting>
  <conditionalFormatting sqref="RZ7">
    <cfRule type="cellIs" dxfId="4431" priority="4140" operator="lessThan">
      <formula>0</formula>
    </cfRule>
    <cfRule type="cellIs" dxfId="4430" priority="4141" operator="greaterThan">
      <formula>0</formula>
    </cfRule>
  </conditionalFormatting>
  <conditionalFormatting sqref="RZ8">
    <cfRule type="cellIs" dxfId="4429" priority="4138" operator="lessThan">
      <formula>0</formula>
    </cfRule>
    <cfRule type="cellIs" dxfId="4428" priority="4139" operator="greaterThan">
      <formula>0</formula>
    </cfRule>
  </conditionalFormatting>
  <conditionalFormatting sqref="RZ47">
    <cfRule type="cellIs" dxfId="4427" priority="4136" operator="lessThan">
      <formula>0</formula>
    </cfRule>
    <cfRule type="cellIs" dxfId="4426" priority="4137" operator="greaterThan">
      <formula>0</formula>
    </cfRule>
  </conditionalFormatting>
  <conditionalFormatting sqref="RZ44">
    <cfRule type="cellIs" dxfId="4425" priority="4134" operator="lessThan">
      <formula>0</formula>
    </cfRule>
    <cfRule type="cellIs" dxfId="4424" priority="4135" operator="greaterThan">
      <formula>0</formula>
    </cfRule>
  </conditionalFormatting>
  <conditionalFormatting sqref="RZ23:RZ24">
    <cfRule type="cellIs" dxfId="4423" priority="4130" operator="lessThan">
      <formula>0</formula>
    </cfRule>
    <cfRule type="cellIs" dxfId="4422" priority="4131" operator="greaterThan">
      <formula>0</formula>
    </cfRule>
  </conditionalFormatting>
  <conditionalFormatting sqref="RZ33:RZ34">
    <cfRule type="cellIs" dxfId="4421" priority="4128" operator="lessThan">
      <formula>0</formula>
    </cfRule>
    <cfRule type="cellIs" dxfId="4420" priority="4129" operator="greaterThan">
      <formula>0</formula>
    </cfRule>
  </conditionalFormatting>
  <conditionalFormatting sqref="RZ101">
    <cfRule type="cellIs" dxfId="4419" priority="4120" operator="lessThan">
      <formula>0</formula>
    </cfRule>
    <cfRule type="cellIs" dxfId="4418" priority="4121" operator="greaterThan">
      <formula>0</formula>
    </cfRule>
  </conditionalFormatting>
  <conditionalFormatting sqref="RZ104">
    <cfRule type="cellIs" dxfId="4417" priority="4118" operator="lessThan">
      <formula>0</formula>
    </cfRule>
    <cfRule type="cellIs" dxfId="4416" priority="4119" operator="greaterThan">
      <formula>0</formula>
    </cfRule>
  </conditionalFormatting>
  <conditionalFormatting sqref="RZ48:RZ49">
    <cfRule type="cellIs" dxfId="4415" priority="4084" operator="lessThan">
      <formula>0</formula>
    </cfRule>
    <cfRule type="cellIs" dxfId="4414" priority="4085" operator="greaterThan">
      <formula>0</formula>
    </cfRule>
  </conditionalFormatting>
  <conditionalFormatting sqref="SB98">
    <cfRule type="cellIs" dxfId="4413" priority="4019" operator="lessThan">
      <formula>0</formula>
    </cfRule>
    <cfRule type="cellIs" dxfId="4412" priority="4020" operator="greaterThan">
      <formula>0</formula>
    </cfRule>
  </conditionalFormatting>
  <conditionalFormatting sqref="SB6 SB9:SB11">
    <cfRule type="cellIs" dxfId="4411" priority="4059" operator="lessThan">
      <formula>0</formula>
    </cfRule>
    <cfRule type="cellIs" dxfId="4410" priority="4060" operator="greaterThan">
      <formula>0</formula>
    </cfRule>
  </conditionalFormatting>
  <conditionalFormatting sqref="SB43:SB44">
    <cfRule type="cellIs" dxfId="4409" priority="4023" operator="lessThan">
      <formula>0</formula>
    </cfRule>
    <cfRule type="cellIs" dxfId="4408" priority="4024" operator="greaterThan">
      <formula>0</formula>
    </cfRule>
  </conditionalFormatting>
  <conditionalFormatting sqref="SB11 SB19 SB3 SB24:SB32 SB34:SB42 SB69:SB79">
    <cfRule type="cellIs" dxfId="4407" priority="4069" operator="lessThan">
      <formula>0</formula>
    </cfRule>
    <cfRule type="cellIs" dxfId="4406" priority="4070" operator="greaterThan">
      <formula>0</formula>
    </cfRule>
  </conditionalFormatting>
  <conditionalFormatting sqref="SB4:SB5">
    <cfRule type="cellIs" dxfId="4405" priority="4061" operator="lessThan">
      <formula>0</formula>
    </cfRule>
    <cfRule type="cellIs" dxfId="4404" priority="4062" operator="greaterThan">
      <formula>0</formula>
    </cfRule>
  </conditionalFormatting>
  <conditionalFormatting sqref="SB12:SB13">
    <cfRule type="cellIs" dxfId="4403" priority="4057" operator="lessThan">
      <formula>0</formula>
    </cfRule>
    <cfRule type="cellIs" dxfId="4402" priority="4058" operator="greaterThan">
      <formula>0</formula>
    </cfRule>
  </conditionalFormatting>
  <conditionalFormatting sqref="SB14:SB19">
    <cfRule type="cellIs" dxfId="4401" priority="4055" operator="lessThan">
      <formula>0</formula>
    </cfRule>
    <cfRule type="cellIs" dxfId="4400" priority="4056" operator="greaterThan">
      <formula>0</formula>
    </cfRule>
  </conditionalFormatting>
  <conditionalFormatting sqref="SB20:SB22">
    <cfRule type="cellIs" dxfId="4399" priority="4053" operator="lessThan">
      <formula>0</formula>
    </cfRule>
    <cfRule type="cellIs" dxfId="4398" priority="4054" operator="greaterThan">
      <formula>0</formula>
    </cfRule>
  </conditionalFormatting>
  <conditionalFormatting sqref="SB45:SB46">
    <cfRule type="cellIs" dxfId="4397" priority="4067" operator="lessThan">
      <formula>0</formula>
    </cfRule>
    <cfRule type="cellIs" dxfId="4396" priority="4068" operator="greaterThan">
      <formula>0</formula>
    </cfRule>
  </conditionalFormatting>
  <conditionalFormatting sqref="SB7">
    <cfRule type="cellIs" dxfId="4395" priority="4039" operator="lessThan">
      <formula>0</formula>
    </cfRule>
    <cfRule type="cellIs" dxfId="4394" priority="4040" operator="greaterThan">
      <formula>0</formula>
    </cfRule>
  </conditionalFormatting>
  <conditionalFormatting sqref="SB7">
    <cfRule type="cellIs" dxfId="4393" priority="4037" operator="lessThan">
      <formula>0</formula>
    </cfRule>
    <cfRule type="cellIs" dxfId="4392" priority="4038" operator="greaterThan">
      <formula>0</formula>
    </cfRule>
  </conditionalFormatting>
  <conditionalFormatting sqref="SB8">
    <cfRule type="cellIs" dxfId="4391" priority="4035" operator="lessThan">
      <formula>0</formula>
    </cfRule>
    <cfRule type="cellIs" dxfId="4390" priority="4036" operator="greaterThan">
      <formula>0</formula>
    </cfRule>
  </conditionalFormatting>
  <conditionalFormatting sqref="SB47">
    <cfRule type="cellIs" dxfId="4389" priority="4033" operator="lessThan">
      <formula>0</formula>
    </cfRule>
    <cfRule type="cellIs" dxfId="4388" priority="4034" operator="greaterThan">
      <formula>0</formula>
    </cfRule>
  </conditionalFormatting>
  <conditionalFormatting sqref="SB44">
    <cfRule type="cellIs" dxfId="4387" priority="4031" operator="lessThan">
      <formula>0</formula>
    </cfRule>
    <cfRule type="cellIs" dxfId="4386" priority="4032" operator="greaterThan">
      <formula>0</formula>
    </cfRule>
  </conditionalFormatting>
  <conditionalFormatting sqref="SB23:SB24">
    <cfRule type="cellIs" dxfId="4385" priority="4027" operator="lessThan">
      <formula>0</formula>
    </cfRule>
    <cfRule type="cellIs" dxfId="4384" priority="4028" operator="greaterThan">
      <formula>0</formula>
    </cfRule>
  </conditionalFormatting>
  <conditionalFormatting sqref="SB33:SB34">
    <cfRule type="cellIs" dxfId="4383" priority="4025" operator="lessThan">
      <formula>0</formula>
    </cfRule>
    <cfRule type="cellIs" dxfId="4382" priority="4026" operator="greaterThan">
      <formula>0</formula>
    </cfRule>
  </conditionalFormatting>
  <conditionalFormatting sqref="SB101">
    <cfRule type="cellIs" dxfId="4381" priority="4017" operator="lessThan">
      <formula>0</formula>
    </cfRule>
    <cfRule type="cellIs" dxfId="4380" priority="4018" operator="greaterThan">
      <formula>0</formula>
    </cfRule>
  </conditionalFormatting>
  <conditionalFormatting sqref="SB104">
    <cfRule type="cellIs" dxfId="4379" priority="4015" operator="lessThan">
      <formula>0</formula>
    </cfRule>
    <cfRule type="cellIs" dxfId="4378" priority="4016" operator="greaterThan">
      <formula>0</formula>
    </cfRule>
  </conditionalFormatting>
  <conditionalFormatting sqref="SB48:SB49">
    <cfRule type="cellIs" dxfId="4377" priority="3981" operator="lessThan">
      <formula>0</formula>
    </cfRule>
    <cfRule type="cellIs" dxfId="4376" priority="3982" operator="greaterThan">
      <formula>0</formula>
    </cfRule>
  </conditionalFormatting>
  <conditionalFormatting sqref="SD98">
    <cfRule type="cellIs" dxfId="4375" priority="3791" operator="lessThan">
      <formula>0</formula>
    </cfRule>
    <cfRule type="cellIs" dxfId="4374" priority="3792" operator="greaterThan">
      <formula>0</formula>
    </cfRule>
  </conditionalFormatting>
  <conditionalFormatting sqref="SD6 SD9:SD11">
    <cfRule type="cellIs" dxfId="4373" priority="3831" operator="lessThan">
      <formula>0</formula>
    </cfRule>
    <cfRule type="cellIs" dxfId="4372" priority="3832" operator="greaterThan">
      <formula>0</formula>
    </cfRule>
  </conditionalFormatting>
  <conditionalFormatting sqref="SD43:SD44">
    <cfRule type="cellIs" dxfId="4371" priority="3795" operator="lessThan">
      <formula>0</formula>
    </cfRule>
    <cfRule type="cellIs" dxfId="4370" priority="3796" operator="greaterThan">
      <formula>0</formula>
    </cfRule>
  </conditionalFormatting>
  <conditionalFormatting sqref="SD11 SD19 SD3 SD24:SD32 SD34:SD42 SD69:SD79">
    <cfRule type="cellIs" dxfId="4369" priority="3841" operator="lessThan">
      <formula>0</formula>
    </cfRule>
    <cfRule type="cellIs" dxfId="4368" priority="3842" operator="greaterThan">
      <formula>0</formula>
    </cfRule>
  </conditionalFormatting>
  <conditionalFormatting sqref="SD4:SD5">
    <cfRule type="cellIs" dxfId="4367" priority="3833" operator="lessThan">
      <formula>0</formula>
    </cfRule>
    <cfRule type="cellIs" dxfId="4366" priority="3834" operator="greaterThan">
      <formula>0</formula>
    </cfRule>
  </conditionalFormatting>
  <conditionalFormatting sqref="SD12:SD13">
    <cfRule type="cellIs" dxfId="4365" priority="3829" operator="lessThan">
      <formula>0</formula>
    </cfRule>
    <cfRule type="cellIs" dxfId="4364" priority="3830" operator="greaterThan">
      <formula>0</formula>
    </cfRule>
  </conditionalFormatting>
  <conditionalFormatting sqref="SD14:SD19">
    <cfRule type="cellIs" dxfId="4363" priority="3827" operator="lessThan">
      <formula>0</formula>
    </cfRule>
    <cfRule type="cellIs" dxfId="4362" priority="3828" operator="greaterThan">
      <formula>0</formula>
    </cfRule>
  </conditionalFormatting>
  <conditionalFormatting sqref="SD20:SD22">
    <cfRule type="cellIs" dxfId="4361" priority="3825" operator="lessThan">
      <formula>0</formula>
    </cfRule>
    <cfRule type="cellIs" dxfId="4360" priority="3826" operator="greaterThan">
      <formula>0</formula>
    </cfRule>
  </conditionalFormatting>
  <conditionalFormatting sqref="SD45:SD46">
    <cfRule type="cellIs" dxfId="4359" priority="3839" operator="lessThan">
      <formula>0</formula>
    </cfRule>
    <cfRule type="cellIs" dxfId="4358" priority="3840" operator="greaterThan">
      <formula>0</formula>
    </cfRule>
  </conditionalFormatting>
  <conditionalFormatting sqref="SD7">
    <cfRule type="cellIs" dxfId="4357" priority="3811" operator="lessThan">
      <formula>0</formula>
    </cfRule>
    <cfRule type="cellIs" dxfId="4356" priority="3812" operator="greaterThan">
      <formula>0</formula>
    </cfRule>
  </conditionalFormatting>
  <conditionalFormatting sqref="SD7">
    <cfRule type="cellIs" dxfId="4355" priority="3809" operator="lessThan">
      <formula>0</formula>
    </cfRule>
    <cfRule type="cellIs" dxfId="4354" priority="3810" operator="greaterThan">
      <formula>0</formula>
    </cfRule>
  </conditionalFormatting>
  <conditionalFormatting sqref="SD8">
    <cfRule type="cellIs" dxfId="4353" priority="3807" operator="lessThan">
      <formula>0</formula>
    </cfRule>
    <cfRule type="cellIs" dxfId="4352" priority="3808" operator="greaterThan">
      <formula>0</formula>
    </cfRule>
  </conditionalFormatting>
  <conditionalFormatting sqref="SD47">
    <cfRule type="cellIs" dxfId="4351" priority="3805" operator="lessThan">
      <formula>0</formula>
    </cfRule>
    <cfRule type="cellIs" dxfId="4350" priority="3806" operator="greaterThan">
      <formula>0</formula>
    </cfRule>
  </conditionalFormatting>
  <conditionalFormatting sqref="SD44">
    <cfRule type="cellIs" dxfId="4349" priority="3803" operator="lessThan">
      <formula>0</formula>
    </cfRule>
    <cfRule type="cellIs" dxfId="4348" priority="3804" operator="greaterThan">
      <formula>0</formula>
    </cfRule>
  </conditionalFormatting>
  <conditionalFormatting sqref="SD23:SD24">
    <cfRule type="cellIs" dxfId="4347" priority="3799" operator="lessThan">
      <formula>0</formula>
    </cfRule>
    <cfRule type="cellIs" dxfId="4346" priority="3800" operator="greaterThan">
      <formula>0</formula>
    </cfRule>
  </conditionalFormatting>
  <conditionalFormatting sqref="SD33:SD34">
    <cfRule type="cellIs" dxfId="4345" priority="3797" operator="lessThan">
      <formula>0</formula>
    </cfRule>
    <cfRule type="cellIs" dxfId="4344" priority="3798" operator="greaterThan">
      <formula>0</formula>
    </cfRule>
  </conditionalFormatting>
  <conditionalFormatting sqref="SD101">
    <cfRule type="cellIs" dxfId="4343" priority="3789" operator="lessThan">
      <formula>0</formula>
    </cfRule>
    <cfRule type="cellIs" dxfId="4342" priority="3790" operator="greaterThan">
      <formula>0</formula>
    </cfRule>
  </conditionalFormatting>
  <conditionalFormatting sqref="SD104">
    <cfRule type="cellIs" dxfId="4341" priority="3787" operator="lessThan">
      <formula>0</formula>
    </cfRule>
    <cfRule type="cellIs" dxfId="4340" priority="3788" operator="greaterThan">
      <formula>0</formula>
    </cfRule>
  </conditionalFormatting>
  <conditionalFormatting sqref="SD48:SD49">
    <cfRule type="cellIs" dxfId="4339" priority="3753" operator="lessThan">
      <formula>0</formula>
    </cfRule>
    <cfRule type="cellIs" dxfId="4338" priority="3754" operator="greaterThan">
      <formula>0</formula>
    </cfRule>
  </conditionalFormatting>
  <conditionalFormatting sqref="SF98">
    <cfRule type="cellIs" dxfId="4337" priority="3706" operator="lessThan">
      <formula>0</formula>
    </cfRule>
    <cfRule type="cellIs" dxfId="4336" priority="3707" operator="greaterThan">
      <formula>0</formula>
    </cfRule>
  </conditionalFormatting>
  <conditionalFormatting sqref="SF6 SF9:SF11">
    <cfRule type="cellIs" dxfId="4335" priority="3732" operator="lessThan">
      <formula>0</formula>
    </cfRule>
    <cfRule type="cellIs" dxfId="4334" priority="3733" operator="greaterThan">
      <formula>0</formula>
    </cfRule>
  </conditionalFormatting>
  <conditionalFormatting sqref="SF43:SF44">
    <cfRule type="cellIs" dxfId="4333" priority="3708" operator="lessThan">
      <formula>0</formula>
    </cfRule>
    <cfRule type="cellIs" dxfId="4332" priority="3709" operator="greaterThan">
      <formula>0</formula>
    </cfRule>
  </conditionalFormatting>
  <conditionalFormatting sqref="SF11 SF19 SF3 SF24:SF32 SF34:SF42 SF69:SF79">
    <cfRule type="cellIs" dxfId="4331" priority="3738" operator="lessThan">
      <formula>0</formula>
    </cfRule>
    <cfRule type="cellIs" dxfId="4330" priority="3739" operator="greaterThan">
      <formula>0</formula>
    </cfRule>
  </conditionalFormatting>
  <conditionalFormatting sqref="SF4:SF5">
    <cfRule type="cellIs" dxfId="4329" priority="3734" operator="lessThan">
      <formula>0</formula>
    </cfRule>
    <cfRule type="cellIs" dxfId="4328" priority="3735" operator="greaterThan">
      <formula>0</formula>
    </cfRule>
  </conditionalFormatting>
  <conditionalFormatting sqref="SF12:SF13">
    <cfRule type="cellIs" dxfId="4327" priority="3730" operator="lessThan">
      <formula>0</formula>
    </cfRule>
    <cfRule type="cellIs" dxfId="4326" priority="3731" operator="greaterThan">
      <formula>0</formula>
    </cfRule>
  </conditionalFormatting>
  <conditionalFormatting sqref="SF14:SF19">
    <cfRule type="cellIs" dxfId="4325" priority="3728" operator="lessThan">
      <formula>0</formula>
    </cfRule>
    <cfRule type="cellIs" dxfId="4324" priority="3729" operator="greaterThan">
      <formula>0</formula>
    </cfRule>
  </conditionalFormatting>
  <conditionalFormatting sqref="SF20:SF22">
    <cfRule type="cellIs" dxfId="4323" priority="3726" operator="lessThan">
      <formula>0</formula>
    </cfRule>
    <cfRule type="cellIs" dxfId="4322" priority="3727" operator="greaterThan">
      <formula>0</formula>
    </cfRule>
  </conditionalFormatting>
  <conditionalFormatting sqref="SF45:SF46">
    <cfRule type="cellIs" dxfId="4321" priority="3736" operator="lessThan">
      <formula>0</formula>
    </cfRule>
    <cfRule type="cellIs" dxfId="4320" priority="3737" operator="greaterThan">
      <formula>0</formula>
    </cfRule>
  </conditionalFormatting>
  <conditionalFormatting sqref="SF7">
    <cfRule type="cellIs" dxfId="4319" priority="3722" operator="lessThan">
      <formula>0</formula>
    </cfRule>
    <cfRule type="cellIs" dxfId="4318" priority="3723" operator="greaterThan">
      <formula>0</formula>
    </cfRule>
  </conditionalFormatting>
  <conditionalFormatting sqref="SF7">
    <cfRule type="cellIs" dxfId="4317" priority="3720" operator="lessThan">
      <formula>0</formula>
    </cfRule>
    <cfRule type="cellIs" dxfId="4316" priority="3721" operator="greaterThan">
      <formula>0</formula>
    </cfRule>
  </conditionalFormatting>
  <conditionalFormatting sqref="SF8">
    <cfRule type="cellIs" dxfId="4315" priority="3718" operator="lessThan">
      <formula>0</formula>
    </cfRule>
    <cfRule type="cellIs" dxfId="4314" priority="3719" operator="greaterThan">
      <formula>0</formula>
    </cfRule>
  </conditionalFormatting>
  <conditionalFormatting sqref="SF47">
    <cfRule type="cellIs" dxfId="4313" priority="3716" operator="lessThan">
      <formula>0</formula>
    </cfRule>
    <cfRule type="cellIs" dxfId="4312" priority="3717" operator="greaterThan">
      <formula>0</formula>
    </cfRule>
  </conditionalFormatting>
  <conditionalFormatting sqref="SF44">
    <cfRule type="cellIs" dxfId="4311" priority="3714" operator="lessThan">
      <formula>0</formula>
    </cfRule>
    <cfRule type="cellIs" dxfId="4310" priority="3715" operator="greaterThan">
      <formula>0</formula>
    </cfRule>
  </conditionalFormatting>
  <conditionalFormatting sqref="SF23:SF24">
    <cfRule type="cellIs" dxfId="4309" priority="3712" operator="lessThan">
      <formula>0</formula>
    </cfRule>
    <cfRule type="cellIs" dxfId="4308" priority="3713" operator="greaterThan">
      <formula>0</formula>
    </cfRule>
  </conditionalFormatting>
  <conditionalFormatting sqref="SF33:SF34">
    <cfRule type="cellIs" dxfId="4307" priority="3710" operator="lessThan">
      <formula>0</formula>
    </cfRule>
    <cfRule type="cellIs" dxfId="4306" priority="3711" operator="greaterThan">
      <formula>0</formula>
    </cfRule>
  </conditionalFormatting>
  <conditionalFormatting sqref="SF101">
    <cfRule type="cellIs" dxfId="4305" priority="3704" operator="lessThan">
      <formula>0</formula>
    </cfRule>
    <cfRule type="cellIs" dxfId="4304" priority="3705" operator="greaterThan">
      <formula>0</formula>
    </cfRule>
  </conditionalFormatting>
  <conditionalFormatting sqref="SF104">
    <cfRule type="cellIs" dxfId="4303" priority="3702" operator="lessThan">
      <formula>0</formula>
    </cfRule>
    <cfRule type="cellIs" dxfId="4302" priority="3703" operator="greaterThan">
      <formula>0</formula>
    </cfRule>
  </conditionalFormatting>
  <conditionalFormatting sqref="SF48:SF49">
    <cfRule type="cellIs" dxfId="4301" priority="3668" operator="lessThan">
      <formula>0</formula>
    </cfRule>
    <cfRule type="cellIs" dxfId="4300" priority="3669" operator="greaterThan">
      <formula>0</formula>
    </cfRule>
  </conditionalFormatting>
  <conditionalFormatting sqref="SH98">
    <cfRule type="cellIs" dxfId="4299" priority="3621" operator="lessThan">
      <formula>0</formula>
    </cfRule>
    <cfRule type="cellIs" dxfId="4298" priority="3622" operator="greaterThan">
      <formula>0</formula>
    </cfRule>
  </conditionalFormatting>
  <conditionalFormatting sqref="SH6 SH9:SH11">
    <cfRule type="cellIs" dxfId="4297" priority="3647" operator="lessThan">
      <formula>0</formula>
    </cfRule>
    <cfRule type="cellIs" dxfId="4296" priority="3648" operator="greaterThan">
      <formula>0</formula>
    </cfRule>
  </conditionalFormatting>
  <conditionalFormatting sqref="SH43:SH44">
    <cfRule type="cellIs" dxfId="4295" priority="3623" operator="lessThan">
      <formula>0</formula>
    </cfRule>
    <cfRule type="cellIs" dxfId="4294" priority="3624" operator="greaterThan">
      <formula>0</formula>
    </cfRule>
  </conditionalFormatting>
  <conditionalFormatting sqref="SH11 SH19 SH3 SH24:SH32 SH34:SH42 SH69:SH79">
    <cfRule type="cellIs" dxfId="4293" priority="3653" operator="lessThan">
      <formula>0</formula>
    </cfRule>
    <cfRule type="cellIs" dxfId="4292" priority="3654" operator="greaterThan">
      <formula>0</formula>
    </cfRule>
  </conditionalFormatting>
  <conditionalFormatting sqref="SH4:SH5">
    <cfRule type="cellIs" dxfId="4291" priority="3649" operator="lessThan">
      <formula>0</formula>
    </cfRule>
    <cfRule type="cellIs" dxfId="4290" priority="3650" operator="greaterThan">
      <formula>0</formula>
    </cfRule>
  </conditionalFormatting>
  <conditionalFormatting sqref="SH12:SH13">
    <cfRule type="cellIs" dxfId="4289" priority="3645" operator="lessThan">
      <formula>0</formula>
    </cfRule>
    <cfRule type="cellIs" dxfId="4288" priority="3646" operator="greaterThan">
      <formula>0</formula>
    </cfRule>
  </conditionalFormatting>
  <conditionalFormatting sqref="SH14:SH19">
    <cfRule type="cellIs" dxfId="4287" priority="3643" operator="lessThan">
      <formula>0</formula>
    </cfRule>
    <cfRule type="cellIs" dxfId="4286" priority="3644" operator="greaterThan">
      <formula>0</formula>
    </cfRule>
  </conditionalFormatting>
  <conditionalFormatting sqref="SH20:SH22">
    <cfRule type="cellIs" dxfId="4285" priority="3641" operator="lessThan">
      <formula>0</formula>
    </cfRule>
    <cfRule type="cellIs" dxfId="4284" priority="3642" operator="greaterThan">
      <formula>0</formula>
    </cfRule>
  </conditionalFormatting>
  <conditionalFormatting sqref="SH45:SH46">
    <cfRule type="cellIs" dxfId="4283" priority="3651" operator="lessThan">
      <formula>0</formula>
    </cfRule>
    <cfRule type="cellIs" dxfId="4282" priority="3652" operator="greaterThan">
      <formula>0</formula>
    </cfRule>
  </conditionalFormatting>
  <conditionalFormatting sqref="SH7">
    <cfRule type="cellIs" dxfId="4281" priority="3637" operator="lessThan">
      <formula>0</formula>
    </cfRule>
    <cfRule type="cellIs" dxfId="4280" priority="3638" operator="greaterThan">
      <formula>0</formula>
    </cfRule>
  </conditionalFormatting>
  <conditionalFormatting sqref="SH7">
    <cfRule type="cellIs" dxfId="4279" priority="3635" operator="lessThan">
      <formula>0</formula>
    </cfRule>
    <cfRule type="cellIs" dxfId="4278" priority="3636" operator="greaterThan">
      <formula>0</formula>
    </cfRule>
  </conditionalFormatting>
  <conditionalFormatting sqref="SH8">
    <cfRule type="cellIs" dxfId="4277" priority="3633" operator="lessThan">
      <formula>0</formula>
    </cfRule>
    <cfRule type="cellIs" dxfId="4276" priority="3634" operator="greaterThan">
      <formula>0</formula>
    </cfRule>
  </conditionalFormatting>
  <conditionalFormatting sqref="SH47">
    <cfRule type="cellIs" dxfId="4275" priority="3631" operator="lessThan">
      <formula>0</formula>
    </cfRule>
    <cfRule type="cellIs" dxfId="4274" priority="3632" operator="greaterThan">
      <formula>0</formula>
    </cfRule>
  </conditionalFormatting>
  <conditionalFormatting sqref="SH44">
    <cfRule type="cellIs" dxfId="4273" priority="3629" operator="lessThan">
      <formula>0</formula>
    </cfRule>
    <cfRule type="cellIs" dxfId="4272" priority="3630" operator="greaterThan">
      <formula>0</formula>
    </cfRule>
  </conditionalFormatting>
  <conditionalFormatting sqref="SH23:SH24">
    <cfRule type="cellIs" dxfId="4271" priority="3627" operator="lessThan">
      <formula>0</formula>
    </cfRule>
    <cfRule type="cellIs" dxfId="4270" priority="3628" operator="greaterThan">
      <formula>0</formula>
    </cfRule>
  </conditionalFormatting>
  <conditionalFormatting sqref="SH33:SH34">
    <cfRule type="cellIs" dxfId="4269" priority="3625" operator="lessThan">
      <formula>0</formula>
    </cfRule>
    <cfRule type="cellIs" dxfId="4268" priority="3626" operator="greaterThan">
      <formula>0</formula>
    </cfRule>
  </conditionalFormatting>
  <conditionalFormatting sqref="SH101">
    <cfRule type="cellIs" dxfId="4267" priority="3619" operator="lessThan">
      <formula>0</formula>
    </cfRule>
    <cfRule type="cellIs" dxfId="4266" priority="3620" operator="greaterThan">
      <formula>0</formula>
    </cfRule>
  </conditionalFormatting>
  <conditionalFormatting sqref="SH104">
    <cfRule type="cellIs" dxfId="4265" priority="3617" operator="lessThan">
      <formula>0</formula>
    </cfRule>
    <cfRule type="cellIs" dxfId="4264" priority="3618" operator="greaterThan">
      <formula>0</formula>
    </cfRule>
  </conditionalFormatting>
  <conditionalFormatting sqref="SH48:SH49">
    <cfRule type="cellIs" dxfId="4263" priority="3583" operator="lessThan">
      <formula>0</formula>
    </cfRule>
    <cfRule type="cellIs" dxfId="4262" priority="3584" operator="greaterThan">
      <formula>0</formula>
    </cfRule>
  </conditionalFormatting>
  <conditionalFormatting sqref="SJ98">
    <cfRule type="cellIs" dxfId="4261" priority="3536" operator="lessThan">
      <formula>0</formula>
    </cfRule>
    <cfRule type="cellIs" dxfId="4260" priority="3537" operator="greaterThan">
      <formula>0</formula>
    </cfRule>
  </conditionalFormatting>
  <conditionalFormatting sqref="SJ6 SJ9:SJ11">
    <cfRule type="cellIs" dxfId="4259" priority="3562" operator="lessThan">
      <formula>0</formula>
    </cfRule>
    <cfRule type="cellIs" dxfId="4258" priority="3563" operator="greaterThan">
      <formula>0</formula>
    </cfRule>
  </conditionalFormatting>
  <conditionalFormatting sqref="SJ43:SJ44">
    <cfRule type="cellIs" dxfId="4257" priority="3538" operator="lessThan">
      <formula>0</formula>
    </cfRule>
    <cfRule type="cellIs" dxfId="4256" priority="3539" operator="greaterThan">
      <formula>0</formula>
    </cfRule>
  </conditionalFormatting>
  <conditionalFormatting sqref="SJ11 SJ19 SJ3 SJ24:SJ32 SJ34:SJ42 SJ69:SJ79">
    <cfRule type="cellIs" dxfId="4255" priority="3568" operator="lessThan">
      <formula>0</formula>
    </cfRule>
    <cfRule type="cellIs" dxfId="4254" priority="3569" operator="greaterThan">
      <formula>0</formula>
    </cfRule>
  </conditionalFormatting>
  <conditionalFormatting sqref="SJ4:SJ5">
    <cfRule type="cellIs" dxfId="4253" priority="3564" operator="lessThan">
      <formula>0</formula>
    </cfRule>
    <cfRule type="cellIs" dxfId="4252" priority="3565" operator="greaterThan">
      <formula>0</formula>
    </cfRule>
  </conditionalFormatting>
  <conditionalFormatting sqref="SJ12:SJ13">
    <cfRule type="cellIs" dxfId="4251" priority="3560" operator="lessThan">
      <formula>0</formula>
    </cfRule>
    <cfRule type="cellIs" dxfId="4250" priority="3561" operator="greaterThan">
      <formula>0</formula>
    </cfRule>
  </conditionalFormatting>
  <conditionalFormatting sqref="SJ14:SJ19">
    <cfRule type="cellIs" dxfId="4249" priority="3558" operator="lessThan">
      <formula>0</formula>
    </cfRule>
    <cfRule type="cellIs" dxfId="4248" priority="3559" operator="greaterThan">
      <formula>0</formula>
    </cfRule>
  </conditionalFormatting>
  <conditionalFormatting sqref="SJ20:SJ22">
    <cfRule type="cellIs" dxfId="4247" priority="3556" operator="lessThan">
      <formula>0</formula>
    </cfRule>
    <cfRule type="cellIs" dxfId="4246" priority="3557" operator="greaterThan">
      <formula>0</formula>
    </cfRule>
  </conditionalFormatting>
  <conditionalFormatting sqref="SJ45:SJ46">
    <cfRule type="cellIs" dxfId="4245" priority="3566" operator="lessThan">
      <formula>0</formula>
    </cfRule>
    <cfRule type="cellIs" dxfId="4244" priority="3567" operator="greaterThan">
      <formula>0</formula>
    </cfRule>
  </conditionalFormatting>
  <conditionalFormatting sqref="SJ7">
    <cfRule type="cellIs" dxfId="4243" priority="3552" operator="lessThan">
      <formula>0</formula>
    </cfRule>
    <cfRule type="cellIs" dxfId="4242" priority="3553" operator="greaterThan">
      <formula>0</formula>
    </cfRule>
  </conditionalFormatting>
  <conditionalFormatting sqref="SJ7">
    <cfRule type="cellIs" dxfId="4241" priority="3550" operator="lessThan">
      <formula>0</formula>
    </cfRule>
    <cfRule type="cellIs" dxfId="4240" priority="3551" operator="greaterThan">
      <formula>0</formula>
    </cfRule>
  </conditionalFormatting>
  <conditionalFormatting sqref="SJ8">
    <cfRule type="cellIs" dxfId="4239" priority="3548" operator="lessThan">
      <formula>0</formula>
    </cfRule>
    <cfRule type="cellIs" dxfId="4238" priority="3549" operator="greaterThan">
      <formula>0</formula>
    </cfRule>
  </conditionalFormatting>
  <conditionalFormatting sqref="SJ47">
    <cfRule type="cellIs" dxfId="4237" priority="3546" operator="lessThan">
      <formula>0</formula>
    </cfRule>
    <cfRule type="cellIs" dxfId="4236" priority="3547" operator="greaterThan">
      <formula>0</formula>
    </cfRule>
  </conditionalFormatting>
  <conditionalFormatting sqref="SJ44">
    <cfRule type="cellIs" dxfId="4235" priority="3544" operator="lessThan">
      <formula>0</formula>
    </cfRule>
    <cfRule type="cellIs" dxfId="4234" priority="3545" operator="greaterThan">
      <formula>0</formula>
    </cfRule>
  </conditionalFormatting>
  <conditionalFormatting sqref="SJ23:SJ24">
    <cfRule type="cellIs" dxfId="4233" priority="3542" operator="lessThan">
      <formula>0</formula>
    </cfRule>
    <cfRule type="cellIs" dxfId="4232" priority="3543" operator="greaterThan">
      <formula>0</formula>
    </cfRule>
  </conditionalFormatting>
  <conditionalFormatting sqref="SJ33:SJ34">
    <cfRule type="cellIs" dxfId="4231" priority="3540" operator="lessThan">
      <formula>0</formula>
    </cfRule>
    <cfRule type="cellIs" dxfId="4230" priority="3541" operator="greaterThan">
      <formula>0</formula>
    </cfRule>
  </conditionalFormatting>
  <conditionalFormatting sqref="SJ101">
    <cfRule type="cellIs" dxfId="4229" priority="3534" operator="lessThan">
      <formula>0</formula>
    </cfRule>
    <cfRule type="cellIs" dxfId="4228" priority="3535" operator="greaterThan">
      <formula>0</formula>
    </cfRule>
  </conditionalFormatting>
  <conditionalFormatting sqref="SJ104">
    <cfRule type="cellIs" dxfId="4227" priority="3532" operator="lessThan">
      <formula>0</formula>
    </cfRule>
    <cfRule type="cellIs" dxfId="4226" priority="3533" operator="greaterThan">
      <formula>0</formula>
    </cfRule>
  </conditionalFormatting>
  <conditionalFormatting sqref="SJ48:SJ49">
    <cfRule type="cellIs" dxfId="4225" priority="3498" operator="lessThan">
      <formula>0</formula>
    </cfRule>
    <cfRule type="cellIs" dxfId="4224" priority="3499" operator="greaterThan">
      <formula>0</formula>
    </cfRule>
  </conditionalFormatting>
  <conditionalFormatting sqref="SL98">
    <cfRule type="cellIs" dxfId="4223" priority="3453" operator="lessThan">
      <formula>0</formula>
    </cfRule>
    <cfRule type="cellIs" dxfId="4222" priority="3454" operator="greaterThan">
      <formula>0</formula>
    </cfRule>
  </conditionalFormatting>
  <conditionalFormatting sqref="SL6 SL9:SL11">
    <cfRule type="cellIs" dxfId="4221" priority="3479" operator="lessThan">
      <formula>0</formula>
    </cfRule>
    <cfRule type="cellIs" dxfId="4220" priority="3480" operator="greaterThan">
      <formula>0</formula>
    </cfRule>
  </conditionalFormatting>
  <conditionalFormatting sqref="SL43:SL44">
    <cfRule type="cellIs" dxfId="4219" priority="3455" operator="lessThan">
      <formula>0</formula>
    </cfRule>
    <cfRule type="cellIs" dxfId="4218" priority="3456" operator="greaterThan">
      <formula>0</formula>
    </cfRule>
  </conditionalFormatting>
  <conditionalFormatting sqref="SL11 SL19 SL3 SL24:SL32 SL34:SL42 SL69:SL79">
    <cfRule type="cellIs" dxfId="4217" priority="3485" operator="lessThan">
      <formula>0</formula>
    </cfRule>
    <cfRule type="cellIs" dxfId="4216" priority="3486" operator="greaterThan">
      <formula>0</formula>
    </cfRule>
  </conditionalFormatting>
  <conditionalFormatting sqref="SL4:SL5">
    <cfRule type="cellIs" dxfId="4215" priority="3481" operator="lessThan">
      <formula>0</formula>
    </cfRule>
    <cfRule type="cellIs" dxfId="4214" priority="3482" operator="greaterThan">
      <formula>0</formula>
    </cfRule>
  </conditionalFormatting>
  <conditionalFormatting sqref="SL12:SL13">
    <cfRule type="cellIs" dxfId="4213" priority="3477" operator="lessThan">
      <formula>0</formula>
    </cfRule>
    <cfRule type="cellIs" dxfId="4212" priority="3478" operator="greaterThan">
      <formula>0</formula>
    </cfRule>
  </conditionalFormatting>
  <conditionalFormatting sqref="SL14:SL19">
    <cfRule type="cellIs" dxfId="4211" priority="3475" operator="lessThan">
      <formula>0</formula>
    </cfRule>
    <cfRule type="cellIs" dxfId="4210" priority="3476" operator="greaterThan">
      <formula>0</formula>
    </cfRule>
  </conditionalFormatting>
  <conditionalFormatting sqref="SL20:SL22">
    <cfRule type="cellIs" dxfId="4209" priority="3473" operator="lessThan">
      <formula>0</formula>
    </cfRule>
    <cfRule type="cellIs" dxfId="4208" priority="3474" operator="greaterThan">
      <formula>0</formula>
    </cfRule>
  </conditionalFormatting>
  <conditionalFormatting sqref="SL45:SL46">
    <cfRule type="cellIs" dxfId="4207" priority="3483" operator="lessThan">
      <formula>0</formula>
    </cfRule>
    <cfRule type="cellIs" dxfId="4206" priority="3484" operator="greaterThan">
      <formula>0</formula>
    </cfRule>
  </conditionalFormatting>
  <conditionalFormatting sqref="SL7">
    <cfRule type="cellIs" dxfId="4205" priority="3469" operator="lessThan">
      <formula>0</formula>
    </cfRule>
    <cfRule type="cellIs" dxfId="4204" priority="3470" operator="greaterThan">
      <formula>0</formula>
    </cfRule>
  </conditionalFormatting>
  <conditionalFormatting sqref="SL7">
    <cfRule type="cellIs" dxfId="4203" priority="3467" operator="lessThan">
      <formula>0</formula>
    </cfRule>
    <cfRule type="cellIs" dxfId="4202" priority="3468" operator="greaterThan">
      <formula>0</formula>
    </cfRule>
  </conditionalFormatting>
  <conditionalFormatting sqref="SL8">
    <cfRule type="cellIs" dxfId="4201" priority="3465" operator="lessThan">
      <formula>0</formula>
    </cfRule>
    <cfRule type="cellIs" dxfId="4200" priority="3466" operator="greaterThan">
      <formula>0</formula>
    </cfRule>
  </conditionalFormatting>
  <conditionalFormatting sqref="SL47">
    <cfRule type="cellIs" dxfId="4199" priority="3463" operator="lessThan">
      <formula>0</formula>
    </cfRule>
    <cfRule type="cellIs" dxfId="4198" priority="3464" operator="greaterThan">
      <formula>0</formula>
    </cfRule>
  </conditionalFormatting>
  <conditionalFormatting sqref="SL44">
    <cfRule type="cellIs" dxfId="4197" priority="3461" operator="lessThan">
      <formula>0</formula>
    </cfRule>
    <cfRule type="cellIs" dxfId="4196" priority="3462" operator="greaterThan">
      <formula>0</formula>
    </cfRule>
  </conditionalFormatting>
  <conditionalFormatting sqref="SL23:SL24">
    <cfRule type="cellIs" dxfId="4195" priority="3459" operator="lessThan">
      <formula>0</formula>
    </cfRule>
    <cfRule type="cellIs" dxfId="4194" priority="3460" operator="greaterThan">
      <formula>0</formula>
    </cfRule>
  </conditionalFormatting>
  <conditionalFormatting sqref="SL33:SL34">
    <cfRule type="cellIs" dxfId="4193" priority="3457" operator="lessThan">
      <formula>0</formula>
    </cfRule>
    <cfRule type="cellIs" dxfId="4192" priority="3458" operator="greaterThan">
      <formula>0</formula>
    </cfRule>
  </conditionalFormatting>
  <conditionalFormatting sqref="SL101">
    <cfRule type="cellIs" dxfId="4191" priority="3451" operator="lessThan">
      <formula>0</formula>
    </cfRule>
    <cfRule type="cellIs" dxfId="4190" priority="3452" operator="greaterThan">
      <formula>0</formula>
    </cfRule>
  </conditionalFormatting>
  <conditionalFormatting sqref="SL104">
    <cfRule type="cellIs" dxfId="4189" priority="3449" operator="lessThan">
      <formula>0</formula>
    </cfRule>
    <cfRule type="cellIs" dxfId="4188" priority="3450" operator="greaterThan">
      <formula>0</formula>
    </cfRule>
  </conditionalFormatting>
  <conditionalFormatting sqref="SL48:SL49">
    <cfRule type="cellIs" dxfId="4187" priority="3415" operator="lessThan">
      <formula>0</formula>
    </cfRule>
    <cfRule type="cellIs" dxfId="4186" priority="3416" operator="greaterThan">
      <formula>0</formula>
    </cfRule>
  </conditionalFormatting>
  <conditionalFormatting sqref="SN98">
    <cfRule type="cellIs" dxfId="4185" priority="3370" operator="lessThan">
      <formula>0</formula>
    </cfRule>
    <cfRule type="cellIs" dxfId="4184" priority="3371" operator="greaterThan">
      <formula>0</formula>
    </cfRule>
  </conditionalFormatting>
  <conditionalFormatting sqref="SN6 SN9:SN11">
    <cfRule type="cellIs" dxfId="4183" priority="3396" operator="lessThan">
      <formula>0</formula>
    </cfRule>
    <cfRule type="cellIs" dxfId="4182" priority="3397" operator="greaterThan">
      <formula>0</formula>
    </cfRule>
  </conditionalFormatting>
  <conditionalFormatting sqref="SN43:SN44">
    <cfRule type="cellIs" dxfId="4181" priority="3372" operator="lessThan">
      <formula>0</formula>
    </cfRule>
    <cfRule type="cellIs" dxfId="4180" priority="3373" operator="greaterThan">
      <formula>0</formula>
    </cfRule>
  </conditionalFormatting>
  <conditionalFormatting sqref="SN11 SN19 SN3 SN24:SN32 SN34:SN42 SN69:SN79">
    <cfRule type="cellIs" dxfId="4179" priority="3402" operator="lessThan">
      <formula>0</formula>
    </cfRule>
    <cfRule type="cellIs" dxfId="4178" priority="3403" operator="greaterThan">
      <formula>0</formula>
    </cfRule>
  </conditionalFormatting>
  <conditionalFormatting sqref="SN4:SN5">
    <cfRule type="cellIs" dxfId="4177" priority="3398" operator="lessThan">
      <formula>0</formula>
    </cfRule>
    <cfRule type="cellIs" dxfId="4176" priority="3399" operator="greaterThan">
      <formula>0</formula>
    </cfRule>
  </conditionalFormatting>
  <conditionalFormatting sqref="SN12:SN13">
    <cfRule type="cellIs" dxfId="4175" priority="3394" operator="lessThan">
      <formula>0</formula>
    </cfRule>
    <cfRule type="cellIs" dxfId="4174" priority="3395" operator="greaterThan">
      <formula>0</formula>
    </cfRule>
  </conditionalFormatting>
  <conditionalFormatting sqref="SN14:SN19">
    <cfRule type="cellIs" dxfId="4173" priority="3392" operator="lessThan">
      <formula>0</formula>
    </cfRule>
    <cfRule type="cellIs" dxfId="4172" priority="3393" operator="greaterThan">
      <formula>0</formula>
    </cfRule>
  </conditionalFormatting>
  <conditionalFormatting sqref="SN20:SN22">
    <cfRule type="cellIs" dxfId="4171" priority="3390" operator="lessThan">
      <formula>0</formula>
    </cfRule>
    <cfRule type="cellIs" dxfId="4170" priority="3391" operator="greaterThan">
      <formula>0</formula>
    </cfRule>
  </conditionalFormatting>
  <conditionalFormatting sqref="SN45:SN46">
    <cfRule type="cellIs" dxfId="4169" priority="3400" operator="lessThan">
      <formula>0</formula>
    </cfRule>
    <cfRule type="cellIs" dxfId="4168" priority="3401" operator="greaterThan">
      <formula>0</formula>
    </cfRule>
  </conditionalFormatting>
  <conditionalFormatting sqref="SN7">
    <cfRule type="cellIs" dxfId="4167" priority="3386" operator="lessThan">
      <formula>0</formula>
    </cfRule>
    <cfRule type="cellIs" dxfId="4166" priority="3387" operator="greaterThan">
      <formula>0</formula>
    </cfRule>
  </conditionalFormatting>
  <conditionalFormatting sqref="SN7">
    <cfRule type="cellIs" dxfId="4165" priority="3384" operator="lessThan">
      <formula>0</formula>
    </cfRule>
    <cfRule type="cellIs" dxfId="4164" priority="3385" operator="greaterThan">
      <formula>0</formula>
    </cfRule>
  </conditionalFormatting>
  <conditionalFormatting sqref="SN8">
    <cfRule type="cellIs" dxfId="4163" priority="3382" operator="lessThan">
      <formula>0</formula>
    </cfRule>
    <cfRule type="cellIs" dxfId="4162" priority="3383" operator="greaterThan">
      <formula>0</formula>
    </cfRule>
  </conditionalFormatting>
  <conditionalFormatting sqref="SN47">
    <cfRule type="cellIs" dxfId="4161" priority="3380" operator="lessThan">
      <formula>0</formula>
    </cfRule>
    <cfRule type="cellIs" dxfId="4160" priority="3381" operator="greaterThan">
      <formula>0</formula>
    </cfRule>
  </conditionalFormatting>
  <conditionalFormatting sqref="SN44">
    <cfRule type="cellIs" dxfId="4159" priority="3378" operator="lessThan">
      <formula>0</formula>
    </cfRule>
    <cfRule type="cellIs" dxfId="4158" priority="3379" operator="greaterThan">
      <formula>0</formula>
    </cfRule>
  </conditionalFormatting>
  <conditionalFormatting sqref="SN23:SN24">
    <cfRule type="cellIs" dxfId="4157" priority="3376" operator="lessThan">
      <formula>0</formula>
    </cfRule>
    <cfRule type="cellIs" dxfId="4156" priority="3377" operator="greaterThan">
      <formula>0</formula>
    </cfRule>
  </conditionalFormatting>
  <conditionalFormatting sqref="SN33:SN34">
    <cfRule type="cellIs" dxfId="4155" priority="3374" operator="lessThan">
      <formula>0</formula>
    </cfRule>
    <cfRule type="cellIs" dxfId="4154" priority="3375" operator="greaterThan">
      <formula>0</formula>
    </cfRule>
  </conditionalFormatting>
  <conditionalFormatting sqref="SN101">
    <cfRule type="cellIs" dxfId="4153" priority="3368" operator="lessThan">
      <formula>0</formula>
    </cfRule>
    <cfRule type="cellIs" dxfId="4152" priority="3369" operator="greaterThan">
      <formula>0</formula>
    </cfRule>
  </conditionalFormatting>
  <conditionalFormatting sqref="SN104">
    <cfRule type="cellIs" dxfId="4151" priority="3366" operator="lessThan">
      <formula>0</formula>
    </cfRule>
    <cfRule type="cellIs" dxfId="4150" priority="3367" operator="greaterThan">
      <formula>0</formula>
    </cfRule>
  </conditionalFormatting>
  <conditionalFormatting sqref="SN48:SN49">
    <cfRule type="cellIs" dxfId="4149" priority="3332" operator="lessThan">
      <formula>0</formula>
    </cfRule>
    <cfRule type="cellIs" dxfId="4148" priority="3333" operator="greaterThan">
      <formula>0</formula>
    </cfRule>
  </conditionalFormatting>
  <conditionalFormatting sqref="SP98">
    <cfRule type="cellIs" dxfId="4147" priority="3287" operator="lessThan">
      <formula>0</formula>
    </cfRule>
    <cfRule type="cellIs" dxfId="4146" priority="3288" operator="greaterThan">
      <formula>0</formula>
    </cfRule>
  </conditionalFormatting>
  <conditionalFormatting sqref="SP6 SP9:SP11">
    <cfRule type="cellIs" dxfId="4145" priority="3313" operator="lessThan">
      <formula>0</formula>
    </cfRule>
    <cfRule type="cellIs" dxfId="4144" priority="3314" operator="greaterThan">
      <formula>0</formula>
    </cfRule>
  </conditionalFormatting>
  <conditionalFormatting sqref="SP43:SP44">
    <cfRule type="cellIs" dxfId="4143" priority="3289" operator="lessThan">
      <formula>0</formula>
    </cfRule>
    <cfRule type="cellIs" dxfId="4142" priority="3290" operator="greaterThan">
      <formula>0</formula>
    </cfRule>
  </conditionalFormatting>
  <conditionalFormatting sqref="SP11 SP19 SP3 SP24:SP32 SP34:SP42 SP69:SP79">
    <cfRule type="cellIs" dxfId="4141" priority="3319" operator="lessThan">
      <formula>0</formula>
    </cfRule>
    <cfRule type="cellIs" dxfId="4140" priority="3320" operator="greaterThan">
      <formula>0</formula>
    </cfRule>
  </conditionalFormatting>
  <conditionalFormatting sqref="SP4:SP5">
    <cfRule type="cellIs" dxfId="4139" priority="3315" operator="lessThan">
      <formula>0</formula>
    </cfRule>
    <cfRule type="cellIs" dxfId="4138" priority="3316" operator="greaterThan">
      <formula>0</formula>
    </cfRule>
  </conditionalFormatting>
  <conditionalFormatting sqref="SP12:SP13">
    <cfRule type="cellIs" dxfId="4137" priority="3311" operator="lessThan">
      <formula>0</formula>
    </cfRule>
    <cfRule type="cellIs" dxfId="4136" priority="3312" operator="greaterThan">
      <formula>0</formula>
    </cfRule>
  </conditionalFormatting>
  <conditionalFormatting sqref="SP14:SP19">
    <cfRule type="cellIs" dxfId="4135" priority="3309" operator="lessThan">
      <formula>0</formula>
    </cfRule>
    <cfRule type="cellIs" dxfId="4134" priority="3310" operator="greaterThan">
      <formula>0</formula>
    </cfRule>
  </conditionalFormatting>
  <conditionalFormatting sqref="SP20:SP22">
    <cfRule type="cellIs" dxfId="4133" priority="3307" operator="lessThan">
      <formula>0</formula>
    </cfRule>
    <cfRule type="cellIs" dxfId="4132" priority="3308" operator="greaterThan">
      <formula>0</formula>
    </cfRule>
  </conditionalFormatting>
  <conditionalFormatting sqref="SP45:SP46">
    <cfRule type="cellIs" dxfId="4131" priority="3317" operator="lessThan">
      <formula>0</formula>
    </cfRule>
    <cfRule type="cellIs" dxfId="4130" priority="3318" operator="greaterThan">
      <formula>0</formula>
    </cfRule>
  </conditionalFormatting>
  <conditionalFormatting sqref="SP7">
    <cfRule type="cellIs" dxfId="4129" priority="3303" operator="lessThan">
      <formula>0</formula>
    </cfRule>
    <cfRule type="cellIs" dxfId="4128" priority="3304" operator="greaterThan">
      <formula>0</formula>
    </cfRule>
  </conditionalFormatting>
  <conditionalFormatting sqref="SP7">
    <cfRule type="cellIs" dxfId="4127" priority="3301" operator="lessThan">
      <formula>0</formula>
    </cfRule>
    <cfRule type="cellIs" dxfId="4126" priority="3302" operator="greaterThan">
      <formula>0</formula>
    </cfRule>
  </conditionalFormatting>
  <conditionalFormatting sqref="SP8">
    <cfRule type="cellIs" dxfId="4125" priority="3299" operator="lessThan">
      <formula>0</formula>
    </cfRule>
    <cfRule type="cellIs" dxfId="4124" priority="3300" operator="greaterThan">
      <formula>0</formula>
    </cfRule>
  </conditionalFormatting>
  <conditionalFormatting sqref="SP47">
    <cfRule type="cellIs" dxfId="4123" priority="3297" operator="lessThan">
      <formula>0</formula>
    </cfRule>
    <cfRule type="cellIs" dxfId="4122" priority="3298" operator="greaterThan">
      <formula>0</formula>
    </cfRule>
  </conditionalFormatting>
  <conditionalFormatting sqref="SP44">
    <cfRule type="cellIs" dxfId="4121" priority="3295" operator="lessThan">
      <formula>0</formula>
    </cfRule>
    <cfRule type="cellIs" dxfId="4120" priority="3296" operator="greaterThan">
      <formula>0</formula>
    </cfRule>
  </conditionalFormatting>
  <conditionalFormatting sqref="SP23:SP24">
    <cfRule type="cellIs" dxfId="4119" priority="3293" operator="lessThan">
      <formula>0</formula>
    </cfRule>
    <cfRule type="cellIs" dxfId="4118" priority="3294" operator="greaterThan">
      <formula>0</formula>
    </cfRule>
  </conditionalFormatting>
  <conditionalFormatting sqref="SP33:SP34">
    <cfRule type="cellIs" dxfId="4117" priority="3291" operator="lessThan">
      <formula>0</formula>
    </cfRule>
    <cfRule type="cellIs" dxfId="4116" priority="3292" operator="greaterThan">
      <formula>0</formula>
    </cfRule>
  </conditionalFormatting>
  <conditionalFormatting sqref="SP101">
    <cfRule type="cellIs" dxfId="4115" priority="3285" operator="lessThan">
      <formula>0</formula>
    </cfRule>
    <cfRule type="cellIs" dxfId="4114" priority="3286" operator="greaterThan">
      <formula>0</formula>
    </cfRule>
  </conditionalFormatting>
  <conditionalFormatting sqref="SP104">
    <cfRule type="cellIs" dxfId="4113" priority="3283" operator="lessThan">
      <formula>0</formula>
    </cfRule>
    <cfRule type="cellIs" dxfId="4112" priority="3284" operator="greaterThan">
      <formula>0</formula>
    </cfRule>
  </conditionalFormatting>
  <conditionalFormatting sqref="SP48:SP49">
    <cfRule type="cellIs" dxfId="4111" priority="3249" operator="lessThan">
      <formula>0</formula>
    </cfRule>
    <cfRule type="cellIs" dxfId="4110" priority="3250" operator="greaterThan">
      <formula>0</formula>
    </cfRule>
  </conditionalFormatting>
  <conditionalFormatting sqref="SR98">
    <cfRule type="cellIs" dxfId="4109" priority="3204" operator="lessThan">
      <formula>0</formula>
    </cfRule>
    <cfRule type="cellIs" dxfId="4108" priority="3205" operator="greaterThan">
      <formula>0</formula>
    </cfRule>
  </conditionalFormatting>
  <conditionalFormatting sqref="SR6 SR9:SR11">
    <cfRule type="cellIs" dxfId="4107" priority="3230" operator="lessThan">
      <formula>0</formula>
    </cfRule>
    <cfRule type="cellIs" dxfId="4106" priority="3231" operator="greaterThan">
      <formula>0</formula>
    </cfRule>
  </conditionalFormatting>
  <conditionalFormatting sqref="SR43:SR44">
    <cfRule type="cellIs" dxfId="4105" priority="3206" operator="lessThan">
      <formula>0</formula>
    </cfRule>
    <cfRule type="cellIs" dxfId="4104" priority="3207" operator="greaterThan">
      <formula>0</formula>
    </cfRule>
  </conditionalFormatting>
  <conditionalFormatting sqref="SR11 SR19 SR3 SR24:SR32 SR34:SR42 SR69:SR79">
    <cfRule type="cellIs" dxfId="4103" priority="3236" operator="lessThan">
      <formula>0</formula>
    </cfRule>
    <cfRule type="cellIs" dxfId="4102" priority="3237" operator="greaterThan">
      <formula>0</formula>
    </cfRule>
  </conditionalFormatting>
  <conditionalFormatting sqref="SR4:SR5">
    <cfRule type="cellIs" dxfId="4101" priority="3232" operator="lessThan">
      <formula>0</formula>
    </cfRule>
    <cfRule type="cellIs" dxfId="4100" priority="3233" operator="greaterThan">
      <formula>0</formula>
    </cfRule>
  </conditionalFormatting>
  <conditionalFormatting sqref="SR12:SR13">
    <cfRule type="cellIs" dxfId="4099" priority="3228" operator="lessThan">
      <formula>0</formula>
    </cfRule>
    <cfRule type="cellIs" dxfId="4098" priority="3229" operator="greaterThan">
      <formula>0</formula>
    </cfRule>
  </conditionalFormatting>
  <conditionalFormatting sqref="SR14:SR19">
    <cfRule type="cellIs" dxfId="4097" priority="3226" operator="lessThan">
      <formula>0</formula>
    </cfRule>
    <cfRule type="cellIs" dxfId="4096" priority="3227" operator="greaterThan">
      <formula>0</formula>
    </cfRule>
  </conditionalFormatting>
  <conditionalFormatting sqref="SR20:SR22">
    <cfRule type="cellIs" dxfId="4095" priority="3224" operator="lessThan">
      <formula>0</formula>
    </cfRule>
    <cfRule type="cellIs" dxfId="4094" priority="3225" operator="greaterThan">
      <formula>0</formula>
    </cfRule>
  </conditionalFormatting>
  <conditionalFormatting sqref="SR45:SR46">
    <cfRule type="cellIs" dxfId="4093" priority="3234" operator="lessThan">
      <formula>0</formula>
    </cfRule>
    <cfRule type="cellIs" dxfId="4092" priority="3235" operator="greaterThan">
      <formula>0</formula>
    </cfRule>
  </conditionalFormatting>
  <conditionalFormatting sqref="SR7">
    <cfRule type="cellIs" dxfId="4091" priority="3220" operator="lessThan">
      <formula>0</formula>
    </cfRule>
    <cfRule type="cellIs" dxfId="4090" priority="3221" operator="greaterThan">
      <formula>0</formula>
    </cfRule>
  </conditionalFormatting>
  <conditionalFormatting sqref="SR7">
    <cfRule type="cellIs" dxfId="4089" priority="3218" operator="lessThan">
      <formula>0</formula>
    </cfRule>
    <cfRule type="cellIs" dxfId="4088" priority="3219" operator="greaterThan">
      <formula>0</formula>
    </cfRule>
  </conditionalFormatting>
  <conditionalFormatting sqref="SR8">
    <cfRule type="cellIs" dxfId="4087" priority="3216" operator="lessThan">
      <formula>0</formula>
    </cfRule>
    <cfRule type="cellIs" dxfId="4086" priority="3217" operator="greaterThan">
      <formula>0</formula>
    </cfRule>
  </conditionalFormatting>
  <conditionalFormatting sqref="SR47">
    <cfRule type="cellIs" dxfId="4085" priority="3214" operator="lessThan">
      <formula>0</formula>
    </cfRule>
    <cfRule type="cellIs" dxfId="4084" priority="3215" operator="greaterThan">
      <formula>0</formula>
    </cfRule>
  </conditionalFormatting>
  <conditionalFormatting sqref="SR44">
    <cfRule type="cellIs" dxfId="4083" priority="3212" operator="lessThan">
      <formula>0</formula>
    </cfRule>
    <cfRule type="cellIs" dxfId="4082" priority="3213" operator="greaterThan">
      <formula>0</formula>
    </cfRule>
  </conditionalFormatting>
  <conditionalFormatting sqref="SR23:SR24">
    <cfRule type="cellIs" dxfId="4081" priority="3210" operator="lessThan">
      <formula>0</formula>
    </cfRule>
    <cfRule type="cellIs" dxfId="4080" priority="3211" operator="greaterThan">
      <formula>0</formula>
    </cfRule>
  </conditionalFormatting>
  <conditionalFormatting sqref="SR33:SR34">
    <cfRule type="cellIs" dxfId="4079" priority="3208" operator="lessThan">
      <formula>0</formula>
    </cfRule>
    <cfRule type="cellIs" dxfId="4078" priority="3209" operator="greaterThan">
      <formula>0</formula>
    </cfRule>
  </conditionalFormatting>
  <conditionalFormatting sqref="SR101">
    <cfRule type="cellIs" dxfId="4077" priority="3202" operator="lessThan">
      <formula>0</formula>
    </cfRule>
    <cfRule type="cellIs" dxfId="4076" priority="3203" operator="greaterThan">
      <formula>0</formula>
    </cfRule>
  </conditionalFormatting>
  <conditionalFormatting sqref="SR104">
    <cfRule type="cellIs" dxfId="4075" priority="3200" operator="lessThan">
      <formula>0</formula>
    </cfRule>
    <cfRule type="cellIs" dxfId="4074" priority="3201" operator="greaterThan">
      <formula>0</formula>
    </cfRule>
  </conditionalFormatting>
  <conditionalFormatting sqref="SR48:SR49">
    <cfRule type="cellIs" dxfId="4073" priority="3166" operator="lessThan">
      <formula>0</formula>
    </cfRule>
    <cfRule type="cellIs" dxfId="4072" priority="3167" operator="greaterThan">
      <formula>0</formula>
    </cfRule>
  </conditionalFormatting>
  <conditionalFormatting sqref="ST98">
    <cfRule type="cellIs" dxfId="4071" priority="3121" operator="lessThan">
      <formula>0</formula>
    </cfRule>
    <cfRule type="cellIs" dxfId="4070" priority="3122" operator="greaterThan">
      <formula>0</formula>
    </cfRule>
  </conditionalFormatting>
  <conditionalFormatting sqref="ST6 ST9:ST11">
    <cfRule type="cellIs" dxfId="4069" priority="3147" operator="lessThan">
      <formula>0</formula>
    </cfRule>
    <cfRule type="cellIs" dxfId="4068" priority="3148" operator="greaterThan">
      <formula>0</formula>
    </cfRule>
  </conditionalFormatting>
  <conditionalFormatting sqref="ST43:ST44">
    <cfRule type="cellIs" dxfId="4067" priority="3123" operator="lessThan">
      <formula>0</formula>
    </cfRule>
    <cfRule type="cellIs" dxfId="4066" priority="3124" operator="greaterThan">
      <formula>0</formula>
    </cfRule>
  </conditionalFormatting>
  <conditionalFormatting sqref="ST11 ST19 ST3 ST24:ST32 ST34:ST42 ST69:ST79">
    <cfRule type="cellIs" dxfId="4065" priority="3153" operator="lessThan">
      <formula>0</formula>
    </cfRule>
    <cfRule type="cellIs" dxfId="4064" priority="3154" operator="greaterThan">
      <formula>0</formula>
    </cfRule>
  </conditionalFormatting>
  <conditionalFormatting sqref="ST4:ST5">
    <cfRule type="cellIs" dxfId="4063" priority="3149" operator="lessThan">
      <formula>0</formula>
    </cfRule>
    <cfRule type="cellIs" dxfId="4062" priority="3150" operator="greaterThan">
      <formula>0</formula>
    </cfRule>
  </conditionalFormatting>
  <conditionalFormatting sqref="ST12:ST13">
    <cfRule type="cellIs" dxfId="4061" priority="3145" operator="lessThan">
      <formula>0</formula>
    </cfRule>
    <cfRule type="cellIs" dxfId="4060" priority="3146" operator="greaterThan">
      <formula>0</formula>
    </cfRule>
  </conditionalFormatting>
  <conditionalFormatting sqref="ST14:ST19">
    <cfRule type="cellIs" dxfId="4059" priority="3143" operator="lessThan">
      <formula>0</formula>
    </cfRule>
    <cfRule type="cellIs" dxfId="4058" priority="3144" operator="greaterThan">
      <formula>0</formula>
    </cfRule>
  </conditionalFormatting>
  <conditionalFormatting sqref="ST20:ST22">
    <cfRule type="cellIs" dxfId="4057" priority="3141" operator="lessThan">
      <formula>0</formula>
    </cfRule>
    <cfRule type="cellIs" dxfId="4056" priority="3142" operator="greaterThan">
      <formula>0</formula>
    </cfRule>
  </conditionalFormatting>
  <conditionalFormatting sqref="ST45:ST46">
    <cfRule type="cellIs" dxfId="4055" priority="3151" operator="lessThan">
      <formula>0</formula>
    </cfRule>
    <cfRule type="cellIs" dxfId="4054" priority="3152" operator="greaterThan">
      <formula>0</formula>
    </cfRule>
  </conditionalFormatting>
  <conditionalFormatting sqref="ST7">
    <cfRule type="cellIs" dxfId="4053" priority="3137" operator="lessThan">
      <formula>0</formula>
    </cfRule>
    <cfRule type="cellIs" dxfId="4052" priority="3138" operator="greaterThan">
      <formula>0</formula>
    </cfRule>
  </conditionalFormatting>
  <conditionalFormatting sqref="ST7">
    <cfRule type="cellIs" dxfId="4051" priority="3135" operator="lessThan">
      <formula>0</formula>
    </cfRule>
    <cfRule type="cellIs" dxfId="4050" priority="3136" operator="greaterThan">
      <formula>0</formula>
    </cfRule>
  </conditionalFormatting>
  <conditionalFormatting sqref="ST8">
    <cfRule type="cellIs" dxfId="4049" priority="3133" operator="lessThan">
      <formula>0</formula>
    </cfRule>
    <cfRule type="cellIs" dxfId="4048" priority="3134" operator="greaterThan">
      <formula>0</formula>
    </cfRule>
  </conditionalFormatting>
  <conditionalFormatting sqref="ST47">
    <cfRule type="cellIs" dxfId="4047" priority="3131" operator="lessThan">
      <formula>0</formula>
    </cfRule>
    <cfRule type="cellIs" dxfId="4046" priority="3132" operator="greaterThan">
      <formula>0</formula>
    </cfRule>
  </conditionalFormatting>
  <conditionalFormatting sqref="ST44">
    <cfRule type="cellIs" dxfId="4045" priority="3129" operator="lessThan">
      <formula>0</formula>
    </cfRule>
    <cfRule type="cellIs" dxfId="4044" priority="3130" operator="greaterThan">
      <formula>0</formula>
    </cfRule>
  </conditionalFormatting>
  <conditionalFormatting sqref="ST23:ST24">
    <cfRule type="cellIs" dxfId="4043" priority="3127" operator="lessThan">
      <formula>0</formula>
    </cfRule>
    <cfRule type="cellIs" dxfId="4042" priority="3128" operator="greaterThan">
      <formula>0</formula>
    </cfRule>
  </conditionalFormatting>
  <conditionalFormatting sqref="ST33:ST34">
    <cfRule type="cellIs" dxfId="4041" priority="3125" operator="lessThan">
      <formula>0</formula>
    </cfRule>
    <cfRule type="cellIs" dxfId="4040" priority="3126" operator="greaterThan">
      <formula>0</formula>
    </cfRule>
  </conditionalFormatting>
  <conditionalFormatting sqref="ST101">
    <cfRule type="cellIs" dxfId="4039" priority="3119" operator="lessThan">
      <formula>0</formula>
    </cfRule>
    <cfRule type="cellIs" dxfId="4038" priority="3120" operator="greaterThan">
      <formula>0</formula>
    </cfRule>
  </conditionalFormatting>
  <conditionalFormatting sqref="ST104">
    <cfRule type="cellIs" dxfId="4037" priority="3117" operator="lessThan">
      <formula>0</formula>
    </cfRule>
    <cfRule type="cellIs" dxfId="4036" priority="3118" operator="greaterThan">
      <formula>0</formula>
    </cfRule>
  </conditionalFormatting>
  <conditionalFormatting sqref="ST48:ST49">
    <cfRule type="cellIs" dxfId="4035" priority="3083" operator="lessThan">
      <formula>0</formula>
    </cfRule>
    <cfRule type="cellIs" dxfId="4034" priority="3084" operator="greaterThan">
      <formula>0</formula>
    </cfRule>
  </conditionalFormatting>
  <conditionalFormatting sqref="SV98">
    <cfRule type="cellIs" dxfId="4033" priority="3049" operator="lessThan">
      <formula>0</formula>
    </cfRule>
    <cfRule type="cellIs" dxfId="4032" priority="3050" operator="greaterThan">
      <formula>0</formula>
    </cfRule>
  </conditionalFormatting>
  <conditionalFormatting sqref="SV6 SV9:SV11">
    <cfRule type="cellIs" dxfId="4031" priority="3075" operator="lessThan">
      <formula>0</formula>
    </cfRule>
    <cfRule type="cellIs" dxfId="4030" priority="3076" operator="greaterThan">
      <formula>0</formula>
    </cfRule>
  </conditionalFormatting>
  <conditionalFormatting sqref="SV43:SV44">
    <cfRule type="cellIs" dxfId="4029" priority="3051" operator="lessThan">
      <formula>0</formula>
    </cfRule>
    <cfRule type="cellIs" dxfId="4028" priority="3052" operator="greaterThan">
      <formula>0</formula>
    </cfRule>
  </conditionalFormatting>
  <conditionalFormatting sqref="SV11 SV19 SV3 SV24:SV32 SV34:SV42 SV69:SV79">
    <cfRule type="cellIs" dxfId="4027" priority="3081" operator="lessThan">
      <formula>0</formula>
    </cfRule>
    <cfRule type="cellIs" dxfId="4026" priority="3082" operator="greaterThan">
      <formula>0</formula>
    </cfRule>
  </conditionalFormatting>
  <conditionalFormatting sqref="SV4:SV5">
    <cfRule type="cellIs" dxfId="4025" priority="3077" operator="lessThan">
      <formula>0</formula>
    </cfRule>
    <cfRule type="cellIs" dxfId="4024" priority="3078" operator="greaterThan">
      <formula>0</formula>
    </cfRule>
  </conditionalFormatting>
  <conditionalFormatting sqref="SV12:SV13">
    <cfRule type="cellIs" dxfId="4023" priority="3073" operator="lessThan">
      <formula>0</formula>
    </cfRule>
    <cfRule type="cellIs" dxfId="4022" priority="3074" operator="greaterThan">
      <formula>0</formula>
    </cfRule>
  </conditionalFormatting>
  <conditionalFormatting sqref="SV14:SV19">
    <cfRule type="cellIs" dxfId="4021" priority="3071" operator="lessThan">
      <formula>0</formula>
    </cfRule>
    <cfRule type="cellIs" dxfId="4020" priority="3072" operator="greaterThan">
      <formula>0</formula>
    </cfRule>
  </conditionalFormatting>
  <conditionalFormatting sqref="SV20:SV22">
    <cfRule type="cellIs" dxfId="4019" priority="3069" operator="lessThan">
      <formula>0</formula>
    </cfRule>
    <cfRule type="cellIs" dxfId="4018" priority="3070" operator="greaterThan">
      <formula>0</formula>
    </cfRule>
  </conditionalFormatting>
  <conditionalFormatting sqref="SV45:SV46">
    <cfRule type="cellIs" dxfId="4017" priority="3079" operator="lessThan">
      <formula>0</formula>
    </cfRule>
    <cfRule type="cellIs" dxfId="4016" priority="3080" operator="greaterThan">
      <formula>0</formula>
    </cfRule>
  </conditionalFormatting>
  <conditionalFormatting sqref="SV7">
    <cfRule type="cellIs" dxfId="4015" priority="3065" operator="lessThan">
      <formula>0</formula>
    </cfRule>
    <cfRule type="cellIs" dxfId="4014" priority="3066" operator="greaterThan">
      <formula>0</formula>
    </cfRule>
  </conditionalFormatting>
  <conditionalFormatting sqref="SV7">
    <cfRule type="cellIs" dxfId="4013" priority="3063" operator="lessThan">
      <formula>0</formula>
    </cfRule>
    <cfRule type="cellIs" dxfId="4012" priority="3064" operator="greaterThan">
      <formula>0</formula>
    </cfRule>
  </conditionalFormatting>
  <conditionalFormatting sqref="SV8">
    <cfRule type="cellIs" dxfId="4011" priority="3061" operator="lessThan">
      <formula>0</formula>
    </cfRule>
    <cfRule type="cellIs" dxfId="4010" priority="3062" operator="greaterThan">
      <formula>0</formula>
    </cfRule>
  </conditionalFormatting>
  <conditionalFormatting sqref="SV47">
    <cfRule type="cellIs" dxfId="4009" priority="3059" operator="lessThan">
      <formula>0</formula>
    </cfRule>
    <cfRule type="cellIs" dxfId="4008" priority="3060" operator="greaterThan">
      <formula>0</formula>
    </cfRule>
  </conditionalFormatting>
  <conditionalFormatting sqref="SV44">
    <cfRule type="cellIs" dxfId="4007" priority="3057" operator="lessThan">
      <formula>0</formula>
    </cfRule>
    <cfRule type="cellIs" dxfId="4006" priority="3058" operator="greaterThan">
      <formula>0</formula>
    </cfRule>
  </conditionalFormatting>
  <conditionalFormatting sqref="SV23:SV24">
    <cfRule type="cellIs" dxfId="4005" priority="3055" operator="lessThan">
      <formula>0</formula>
    </cfRule>
    <cfRule type="cellIs" dxfId="4004" priority="3056" operator="greaterThan">
      <formula>0</formula>
    </cfRule>
  </conditionalFormatting>
  <conditionalFormatting sqref="SV33:SV34">
    <cfRule type="cellIs" dxfId="4003" priority="3053" operator="lessThan">
      <formula>0</formula>
    </cfRule>
    <cfRule type="cellIs" dxfId="4002" priority="3054" operator="greaterThan">
      <formula>0</formula>
    </cfRule>
  </conditionalFormatting>
  <conditionalFormatting sqref="SV101">
    <cfRule type="cellIs" dxfId="4001" priority="3047" operator="lessThan">
      <formula>0</formula>
    </cfRule>
    <cfRule type="cellIs" dxfId="4000" priority="3048" operator="greaterThan">
      <formula>0</formula>
    </cfRule>
  </conditionalFormatting>
  <conditionalFormatting sqref="SV104">
    <cfRule type="cellIs" dxfId="3999" priority="3045" operator="lessThan">
      <formula>0</formula>
    </cfRule>
    <cfRule type="cellIs" dxfId="3998" priority="3046" operator="greaterThan">
      <formula>0</formula>
    </cfRule>
  </conditionalFormatting>
  <conditionalFormatting sqref="SV48:SV49">
    <cfRule type="cellIs" dxfId="3997" priority="3011" operator="lessThan">
      <formula>0</formula>
    </cfRule>
    <cfRule type="cellIs" dxfId="3996" priority="3012" operator="greaterThan">
      <formula>0</formula>
    </cfRule>
  </conditionalFormatting>
  <conditionalFormatting sqref="SX50:SX68 SX80:SX90">
    <cfRule type="cellIs" dxfId="3995" priority="2998" operator="lessThan">
      <formula>0</formula>
    </cfRule>
    <cfRule type="cellIs" dxfId="3994" priority="2999" operator="greaterThan">
      <formula>0</formula>
    </cfRule>
  </conditionalFormatting>
  <conditionalFormatting sqref="SX98">
    <cfRule type="cellIs" dxfId="3993" priority="2964" operator="lessThan">
      <formula>0</formula>
    </cfRule>
    <cfRule type="cellIs" dxfId="3992" priority="2965" operator="greaterThan">
      <formula>0</formula>
    </cfRule>
  </conditionalFormatting>
  <conditionalFormatting sqref="SX6 SX9:SX11">
    <cfRule type="cellIs" dxfId="3991" priority="2990" operator="lessThan">
      <formula>0</formula>
    </cfRule>
    <cfRule type="cellIs" dxfId="3990" priority="2991" operator="greaterThan">
      <formula>0</formula>
    </cfRule>
  </conditionalFormatting>
  <conditionalFormatting sqref="SX43:SX44">
    <cfRule type="cellIs" dxfId="3989" priority="2966" operator="lessThan">
      <formula>0</formula>
    </cfRule>
    <cfRule type="cellIs" dxfId="3988" priority="2967" operator="greaterThan">
      <formula>0</formula>
    </cfRule>
  </conditionalFormatting>
  <conditionalFormatting sqref="SX11 SX19 SX3 SX24:SX32 SX34:SX42 SX69:SX79">
    <cfRule type="cellIs" dxfId="3987" priority="2996" operator="lessThan">
      <formula>0</formula>
    </cfRule>
    <cfRule type="cellIs" dxfId="3986" priority="2997" operator="greaterThan">
      <formula>0</formula>
    </cfRule>
  </conditionalFormatting>
  <conditionalFormatting sqref="SX4:SX5">
    <cfRule type="cellIs" dxfId="3985" priority="2992" operator="lessThan">
      <formula>0</formula>
    </cfRule>
    <cfRule type="cellIs" dxfId="3984" priority="2993" operator="greaterThan">
      <formula>0</formula>
    </cfRule>
  </conditionalFormatting>
  <conditionalFormatting sqref="SX12:SX13">
    <cfRule type="cellIs" dxfId="3983" priority="2988" operator="lessThan">
      <formula>0</formula>
    </cfRule>
    <cfRule type="cellIs" dxfId="3982" priority="2989" operator="greaterThan">
      <formula>0</formula>
    </cfRule>
  </conditionalFormatting>
  <conditionalFormatting sqref="SX14:SX19">
    <cfRule type="cellIs" dxfId="3981" priority="2986" operator="lessThan">
      <formula>0</formula>
    </cfRule>
    <cfRule type="cellIs" dxfId="3980" priority="2987" operator="greaterThan">
      <formula>0</formula>
    </cfRule>
  </conditionalFormatting>
  <conditionalFormatting sqref="SX20:SX22">
    <cfRule type="cellIs" dxfId="3979" priority="2984" operator="lessThan">
      <formula>0</formula>
    </cfRule>
    <cfRule type="cellIs" dxfId="3978" priority="2985" operator="greaterThan">
      <formula>0</formula>
    </cfRule>
  </conditionalFormatting>
  <conditionalFormatting sqref="SX45:SX46">
    <cfRule type="cellIs" dxfId="3977" priority="2994" operator="lessThan">
      <formula>0</formula>
    </cfRule>
    <cfRule type="cellIs" dxfId="3976" priority="2995" operator="greaterThan">
      <formula>0</formula>
    </cfRule>
  </conditionalFormatting>
  <conditionalFormatting sqref="SX7">
    <cfRule type="cellIs" dxfId="3975" priority="2980" operator="lessThan">
      <formula>0</formula>
    </cfRule>
    <cfRule type="cellIs" dxfId="3974" priority="2981" operator="greaterThan">
      <formula>0</formula>
    </cfRule>
  </conditionalFormatting>
  <conditionalFormatting sqref="SX7">
    <cfRule type="cellIs" dxfId="3973" priority="2978" operator="lessThan">
      <formula>0</formula>
    </cfRule>
    <cfRule type="cellIs" dxfId="3972" priority="2979" operator="greaterThan">
      <formula>0</formula>
    </cfRule>
  </conditionalFormatting>
  <conditionalFormatting sqref="SX8">
    <cfRule type="cellIs" dxfId="3971" priority="2976" operator="lessThan">
      <formula>0</formula>
    </cfRule>
    <cfRule type="cellIs" dxfId="3970" priority="2977" operator="greaterThan">
      <formula>0</formula>
    </cfRule>
  </conditionalFormatting>
  <conditionalFormatting sqref="SX47">
    <cfRule type="cellIs" dxfId="3969" priority="2974" operator="lessThan">
      <formula>0</formula>
    </cfRule>
    <cfRule type="cellIs" dxfId="3968" priority="2975" operator="greaterThan">
      <formula>0</formula>
    </cfRule>
  </conditionalFormatting>
  <conditionalFormatting sqref="SX44">
    <cfRule type="cellIs" dxfId="3967" priority="2972" operator="lessThan">
      <formula>0</formula>
    </cfRule>
    <cfRule type="cellIs" dxfId="3966" priority="2973" operator="greaterThan">
      <formula>0</formula>
    </cfRule>
  </conditionalFormatting>
  <conditionalFormatting sqref="SX23:SX24">
    <cfRule type="cellIs" dxfId="3965" priority="2970" operator="lessThan">
      <formula>0</formula>
    </cfRule>
    <cfRule type="cellIs" dxfId="3964" priority="2971" operator="greaterThan">
      <formula>0</formula>
    </cfRule>
  </conditionalFormatting>
  <conditionalFormatting sqref="SX33:SX34">
    <cfRule type="cellIs" dxfId="3963" priority="2968" operator="lessThan">
      <formula>0</formula>
    </cfRule>
    <cfRule type="cellIs" dxfId="3962" priority="2969" operator="greaterThan">
      <formula>0</formula>
    </cfRule>
  </conditionalFormatting>
  <conditionalFormatting sqref="SX101">
    <cfRule type="cellIs" dxfId="3961" priority="2962" operator="lessThan">
      <formula>0</formula>
    </cfRule>
    <cfRule type="cellIs" dxfId="3960" priority="2963" operator="greaterThan">
      <formula>0</formula>
    </cfRule>
  </conditionalFormatting>
  <conditionalFormatting sqref="SX104">
    <cfRule type="cellIs" dxfId="3959" priority="2960" operator="lessThan">
      <formula>0</formula>
    </cfRule>
    <cfRule type="cellIs" dxfId="3958" priority="2961" operator="greaterThan">
      <formula>0</formula>
    </cfRule>
  </conditionalFormatting>
  <conditionalFormatting sqref="SX48:SX49">
    <cfRule type="cellIs" dxfId="3957" priority="2958" operator="lessThan">
      <formula>0</formula>
    </cfRule>
    <cfRule type="cellIs" dxfId="3956" priority="2959" operator="greaterThan">
      <formula>0</formula>
    </cfRule>
  </conditionalFormatting>
  <conditionalFormatting sqref="SZ50:SZ68 SZ80:SZ90">
    <cfRule type="cellIs" dxfId="3955" priority="2956" operator="lessThan">
      <formula>0</formula>
    </cfRule>
    <cfRule type="cellIs" dxfId="3954" priority="2957" operator="greaterThan">
      <formula>0</formula>
    </cfRule>
  </conditionalFormatting>
  <conditionalFormatting sqref="SZ98">
    <cfRule type="cellIs" dxfId="3953" priority="2922" operator="lessThan">
      <formula>0</formula>
    </cfRule>
    <cfRule type="cellIs" dxfId="3952" priority="2923" operator="greaterThan">
      <formula>0</formula>
    </cfRule>
  </conditionalFormatting>
  <conditionalFormatting sqref="SZ6 SZ9:SZ11">
    <cfRule type="cellIs" dxfId="3951" priority="2948" operator="lessThan">
      <formula>0</formula>
    </cfRule>
    <cfRule type="cellIs" dxfId="3950" priority="2949" operator="greaterThan">
      <formula>0</formula>
    </cfRule>
  </conditionalFormatting>
  <conditionalFormatting sqref="SZ43:SZ44">
    <cfRule type="cellIs" dxfId="3949" priority="2924" operator="lessThan">
      <formula>0</formula>
    </cfRule>
    <cfRule type="cellIs" dxfId="3948" priority="2925" operator="greaterThan">
      <formula>0</formula>
    </cfRule>
  </conditionalFormatting>
  <conditionalFormatting sqref="SZ11 SZ19 SZ3 SZ24:SZ32 SZ34:SZ42 SZ69:SZ79">
    <cfRule type="cellIs" dxfId="3947" priority="2954" operator="lessThan">
      <formula>0</formula>
    </cfRule>
    <cfRule type="cellIs" dxfId="3946" priority="2955" operator="greaterThan">
      <formula>0</formula>
    </cfRule>
  </conditionalFormatting>
  <conditionalFormatting sqref="SZ4:SZ5">
    <cfRule type="cellIs" dxfId="3945" priority="2950" operator="lessThan">
      <formula>0</formula>
    </cfRule>
    <cfRule type="cellIs" dxfId="3944" priority="2951" operator="greaterThan">
      <formula>0</formula>
    </cfRule>
  </conditionalFormatting>
  <conditionalFormatting sqref="SZ12:SZ13">
    <cfRule type="cellIs" dxfId="3943" priority="2946" operator="lessThan">
      <formula>0</formula>
    </cfRule>
    <cfRule type="cellIs" dxfId="3942" priority="2947" operator="greaterThan">
      <formula>0</formula>
    </cfRule>
  </conditionalFormatting>
  <conditionalFormatting sqref="SZ14:SZ19">
    <cfRule type="cellIs" dxfId="3941" priority="2944" operator="lessThan">
      <formula>0</formula>
    </cfRule>
    <cfRule type="cellIs" dxfId="3940" priority="2945" operator="greaterThan">
      <formula>0</formula>
    </cfRule>
  </conditionalFormatting>
  <conditionalFormatting sqref="SZ20:SZ22">
    <cfRule type="cellIs" dxfId="3939" priority="2942" operator="lessThan">
      <formula>0</formula>
    </cfRule>
    <cfRule type="cellIs" dxfId="3938" priority="2943" operator="greaterThan">
      <formula>0</formula>
    </cfRule>
  </conditionalFormatting>
  <conditionalFormatting sqref="SZ45:SZ46">
    <cfRule type="cellIs" dxfId="3937" priority="2952" operator="lessThan">
      <formula>0</formula>
    </cfRule>
    <cfRule type="cellIs" dxfId="3936" priority="2953" operator="greaterThan">
      <formula>0</formula>
    </cfRule>
  </conditionalFormatting>
  <conditionalFormatting sqref="SZ7">
    <cfRule type="cellIs" dxfId="3935" priority="2938" operator="lessThan">
      <formula>0</formula>
    </cfRule>
    <cfRule type="cellIs" dxfId="3934" priority="2939" operator="greaterThan">
      <formula>0</formula>
    </cfRule>
  </conditionalFormatting>
  <conditionalFormatting sqref="SZ7">
    <cfRule type="cellIs" dxfId="3933" priority="2936" operator="lessThan">
      <formula>0</formula>
    </cfRule>
    <cfRule type="cellIs" dxfId="3932" priority="2937" operator="greaterThan">
      <formula>0</formula>
    </cfRule>
  </conditionalFormatting>
  <conditionalFormatting sqref="SZ8">
    <cfRule type="cellIs" dxfId="3931" priority="2934" operator="lessThan">
      <formula>0</formula>
    </cfRule>
    <cfRule type="cellIs" dxfId="3930" priority="2935" operator="greaterThan">
      <formula>0</formula>
    </cfRule>
  </conditionalFormatting>
  <conditionalFormatting sqref="SZ47">
    <cfRule type="cellIs" dxfId="3929" priority="2932" operator="lessThan">
      <formula>0</formula>
    </cfRule>
    <cfRule type="cellIs" dxfId="3928" priority="2933" operator="greaterThan">
      <formula>0</formula>
    </cfRule>
  </conditionalFormatting>
  <conditionalFormatting sqref="SZ44">
    <cfRule type="cellIs" dxfId="3927" priority="2930" operator="lessThan">
      <formula>0</formula>
    </cfRule>
    <cfRule type="cellIs" dxfId="3926" priority="2931" operator="greaterThan">
      <formula>0</formula>
    </cfRule>
  </conditionalFormatting>
  <conditionalFormatting sqref="SZ23:SZ24">
    <cfRule type="cellIs" dxfId="3925" priority="2928" operator="lessThan">
      <formula>0</formula>
    </cfRule>
    <cfRule type="cellIs" dxfId="3924" priority="2929" operator="greaterThan">
      <formula>0</formula>
    </cfRule>
  </conditionalFormatting>
  <conditionalFormatting sqref="SZ33:SZ34">
    <cfRule type="cellIs" dxfId="3923" priority="2926" operator="lessThan">
      <formula>0</formula>
    </cfRule>
    <cfRule type="cellIs" dxfId="3922" priority="2927" operator="greaterThan">
      <formula>0</formula>
    </cfRule>
  </conditionalFormatting>
  <conditionalFormatting sqref="SZ101">
    <cfRule type="cellIs" dxfId="3921" priority="2920" operator="lessThan">
      <formula>0</formula>
    </cfRule>
    <cfRule type="cellIs" dxfId="3920" priority="2921" operator="greaterThan">
      <formula>0</formula>
    </cfRule>
  </conditionalFormatting>
  <conditionalFormatting sqref="SZ104">
    <cfRule type="cellIs" dxfId="3919" priority="2918" operator="lessThan">
      <formula>0</formula>
    </cfRule>
    <cfRule type="cellIs" dxfId="3918" priority="2919" operator="greaterThan">
      <formula>0</formula>
    </cfRule>
  </conditionalFormatting>
  <conditionalFormatting sqref="SZ48:SZ49">
    <cfRule type="cellIs" dxfId="3917" priority="2916" operator="lessThan">
      <formula>0</formula>
    </cfRule>
    <cfRule type="cellIs" dxfId="3916" priority="2917" operator="greaterThan">
      <formula>0</formula>
    </cfRule>
  </conditionalFormatting>
  <conditionalFormatting sqref="TB50:TB68 TB80:TB90">
    <cfRule type="cellIs" dxfId="3915" priority="2903" operator="lessThan">
      <formula>0</formula>
    </cfRule>
    <cfRule type="cellIs" dxfId="3914" priority="2904" operator="greaterThan">
      <formula>0</formula>
    </cfRule>
  </conditionalFormatting>
  <conditionalFormatting sqref="TB98">
    <cfRule type="cellIs" dxfId="3913" priority="2869" operator="lessThan">
      <formula>0</formula>
    </cfRule>
    <cfRule type="cellIs" dxfId="3912" priority="2870" operator="greaterThan">
      <formula>0</formula>
    </cfRule>
  </conditionalFormatting>
  <conditionalFormatting sqref="TB6 TB9:TB11">
    <cfRule type="cellIs" dxfId="3911" priority="2895" operator="lessThan">
      <formula>0</formula>
    </cfRule>
    <cfRule type="cellIs" dxfId="3910" priority="2896" operator="greaterThan">
      <formula>0</formula>
    </cfRule>
  </conditionalFormatting>
  <conditionalFormatting sqref="TB43:TB44">
    <cfRule type="cellIs" dxfId="3909" priority="2871" operator="lessThan">
      <formula>0</formula>
    </cfRule>
    <cfRule type="cellIs" dxfId="3908" priority="2872" operator="greaterThan">
      <formula>0</formula>
    </cfRule>
  </conditionalFormatting>
  <conditionalFormatting sqref="TB11 TB19 TB3 TB24:TB32 TB34:TB42 TB69:TB79">
    <cfRule type="cellIs" dxfId="3907" priority="2901" operator="lessThan">
      <formula>0</formula>
    </cfRule>
    <cfRule type="cellIs" dxfId="3906" priority="2902" operator="greaterThan">
      <formula>0</formula>
    </cfRule>
  </conditionalFormatting>
  <conditionalFormatting sqref="TB4:TB5">
    <cfRule type="cellIs" dxfId="3905" priority="2897" operator="lessThan">
      <formula>0</formula>
    </cfRule>
    <cfRule type="cellIs" dxfId="3904" priority="2898" operator="greaterThan">
      <formula>0</formula>
    </cfRule>
  </conditionalFormatting>
  <conditionalFormatting sqref="TB12:TB13">
    <cfRule type="cellIs" dxfId="3903" priority="2893" operator="lessThan">
      <formula>0</formula>
    </cfRule>
    <cfRule type="cellIs" dxfId="3902" priority="2894" operator="greaterThan">
      <formula>0</formula>
    </cfRule>
  </conditionalFormatting>
  <conditionalFormatting sqref="TB14:TB19">
    <cfRule type="cellIs" dxfId="3901" priority="2891" operator="lessThan">
      <formula>0</formula>
    </cfRule>
    <cfRule type="cellIs" dxfId="3900" priority="2892" operator="greaterThan">
      <formula>0</formula>
    </cfRule>
  </conditionalFormatting>
  <conditionalFormatting sqref="TB20:TB22">
    <cfRule type="cellIs" dxfId="3899" priority="2889" operator="lessThan">
      <formula>0</formula>
    </cfRule>
    <cfRule type="cellIs" dxfId="3898" priority="2890" operator="greaterThan">
      <formula>0</formula>
    </cfRule>
  </conditionalFormatting>
  <conditionalFormatting sqref="TB45:TB46">
    <cfRule type="cellIs" dxfId="3897" priority="2899" operator="lessThan">
      <formula>0</formula>
    </cfRule>
    <cfRule type="cellIs" dxfId="3896" priority="2900" operator="greaterThan">
      <formula>0</formula>
    </cfRule>
  </conditionalFormatting>
  <conditionalFormatting sqref="TB7">
    <cfRule type="cellIs" dxfId="3895" priority="2885" operator="lessThan">
      <formula>0</formula>
    </cfRule>
    <cfRule type="cellIs" dxfId="3894" priority="2886" operator="greaterThan">
      <formula>0</formula>
    </cfRule>
  </conditionalFormatting>
  <conditionalFormatting sqref="TB7">
    <cfRule type="cellIs" dxfId="3893" priority="2883" operator="lessThan">
      <formula>0</formula>
    </cfRule>
    <cfRule type="cellIs" dxfId="3892" priority="2884" operator="greaterThan">
      <formula>0</formula>
    </cfRule>
  </conditionalFormatting>
  <conditionalFormatting sqref="TB8">
    <cfRule type="cellIs" dxfId="3891" priority="2881" operator="lessThan">
      <formula>0</formula>
    </cfRule>
    <cfRule type="cellIs" dxfId="3890" priority="2882" operator="greaterThan">
      <formula>0</formula>
    </cfRule>
  </conditionalFormatting>
  <conditionalFormatting sqref="TB47">
    <cfRule type="cellIs" dxfId="3889" priority="2879" operator="lessThan">
      <formula>0</formula>
    </cfRule>
    <cfRule type="cellIs" dxfId="3888" priority="2880" operator="greaterThan">
      <formula>0</formula>
    </cfRule>
  </conditionalFormatting>
  <conditionalFormatting sqref="TB44">
    <cfRule type="cellIs" dxfId="3887" priority="2877" operator="lessThan">
      <formula>0</formula>
    </cfRule>
    <cfRule type="cellIs" dxfId="3886" priority="2878" operator="greaterThan">
      <formula>0</formula>
    </cfRule>
  </conditionalFormatting>
  <conditionalFormatting sqref="TB23:TB24">
    <cfRule type="cellIs" dxfId="3885" priority="2875" operator="lessThan">
      <formula>0</formula>
    </cfRule>
    <cfRule type="cellIs" dxfId="3884" priority="2876" operator="greaterThan">
      <formula>0</formula>
    </cfRule>
  </conditionalFormatting>
  <conditionalFormatting sqref="TB33:TB34">
    <cfRule type="cellIs" dxfId="3883" priority="2873" operator="lessThan">
      <formula>0</formula>
    </cfRule>
    <cfRule type="cellIs" dxfId="3882" priority="2874" operator="greaterThan">
      <formula>0</formula>
    </cfRule>
  </conditionalFormatting>
  <conditionalFormatting sqref="TB101">
    <cfRule type="cellIs" dxfId="3881" priority="2867" operator="lessThan">
      <formula>0</formula>
    </cfRule>
    <cfRule type="cellIs" dxfId="3880" priority="2868" operator="greaterThan">
      <formula>0</formula>
    </cfRule>
  </conditionalFormatting>
  <conditionalFormatting sqref="TB104">
    <cfRule type="cellIs" dxfId="3879" priority="2865" operator="lessThan">
      <formula>0</formula>
    </cfRule>
    <cfRule type="cellIs" dxfId="3878" priority="2866" operator="greaterThan">
      <formula>0</formula>
    </cfRule>
  </conditionalFormatting>
  <conditionalFormatting sqref="TB48:TB49">
    <cfRule type="cellIs" dxfId="3877" priority="2863" operator="lessThan">
      <formula>0</formula>
    </cfRule>
    <cfRule type="cellIs" dxfId="3876" priority="2864" operator="greaterThan">
      <formula>0</formula>
    </cfRule>
  </conditionalFormatting>
  <conditionalFormatting sqref="TD50:TD68 TD80:TD90">
    <cfRule type="cellIs" dxfId="3875" priority="2850" operator="lessThan">
      <formula>0</formula>
    </cfRule>
    <cfRule type="cellIs" dxfId="3874" priority="2851" operator="greaterThan">
      <formula>0</formula>
    </cfRule>
  </conditionalFormatting>
  <conditionalFormatting sqref="TD98">
    <cfRule type="cellIs" dxfId="3873" priority="2816" operator="lessThan">
      <formula>0</formula>
    </cfRule>
    <cfRule type="cellIs" dxfId="3872" priority="2817" operator="greaterThan">
      <formula>0</formula>
    </cfRule>
  </conditionalFormatting>
  <conditionalFormatting sqref="TD6 TD9:TD11">
    <cfRule type="cellIs" dxfId="3871" priority="2842" operator="lessThan">
      <formula>0</formula>
    </cfRule>
    <cfRule type="cellIs" dxfId="3870" priority="2843" operator="greaterThan">
      <formula>0</formula>
    </cfRule>
  </conditionalFormatting>
  <conditionalFormatting sqref="TD43:TD44">
    <cfRule type="cellIs" dxfId="3869" priority="2818" operator="lessThan">
      <formula>0</formula>
    </cfRule>
    <cfRule type="cellIs" dxfId="3868" priority="2819" operator="greaterThan">
      <formula>0</formula>
    </cfRule>
  </conditionalFormatting>
  <conditionalFormatting sqref="TD11 TD19 TD3 TD24:TD32 TD34:TD42 TD69:TD79">
    <cfRule type="cellIs" dxfId="3867" priority="2848" operator="lessThan">
      <formula>0</formula>
    </cfRule>
    <cfRule type="cellIs" dxfId="3866" priority="2849" operator="greaterThan">
      <formula>0</formula>
    </cfRule>
  </conditionalFormatting>
  <conditionalFormatting sqref="TD4:TD5">
    <cfRule type="cellIs" dxfId="3865" priority="2844" operator="lessThan">
      <formula>0</formula>
    </cfRule>
    <cfRule type="cellIs" dxfId="3864" priority="2845" operator="greaterThan">
      <formula>0</formula>
    </cfRule>
  </conditionalFormatting>
  <conditionalFormatting sqref="TD12:TD13">
    <cfRule type="cellIs" dxfId="3863" priority="2840" operator="lessThan">
      <formula>0</formula>
    </cfRule>
    <cfRule type="cellIs" dxfId="3862" priority="2841" operator="greaterThan">
      <formula>0</formula>
    </cfRule>
  </conditionalFormatting>
  <conditionalFormatting sqref="TD14:TD19">
    <cfRule type="cellIs" dxfId="3861" priority="2838" operator="lessThan">
      <formula>0</formula>
    </cfRule>
    <cfRule type="cellIs" dxfId="3860" priority="2839" operator="greaterThan">
      <formula>0</formula>
    </cfRule>
  </conditionalFormatting>
  <conditionalFormatting sqref="TD20:TD22">
    <cfRule type="cellIs" dxfId="3859" priority="2836" operator="lessThan">
      <formula>0</formula>
    </cfRule>
    <cfRule type="cellIs" dxfId="3858" priority="2837" operator="greaterThan">
      <formula>0</formula>
    </cfRule>
  </conditionalFormatting>
  <conditionalFormatting sqref="TD45:TD46">
    <cfRule type="cellIs" dxfId="3857" priority="2846" operator="lessThan">
      <formula>0</formula>
    </cfRule>
    <cfRule type="cellIs" dxfId="3856" priority="2847" operator="greaterThan">
      <formula>0</formula>
    </cfRule>
  </conditionalFormatting>
  <conditionalFormatting sqref="TD7">
    <cfRule type="cellIs" dxfId="3855" priority="2832" operator="lessThan">
      <formula>0</formula>
    </cfRule>
    <cfRule type="cellIs" dxfId="3854" priority="2833" operator="greaterThan">
      <formula>0</formula>
    </cfRule>
  </conditionalFormatting>
  <conditionalFormatting sqref="TD7">
    <cfRule type="cellIs" dxfId="3853" priority="2830" operator="lessThan">
      <formula>0</formula>
    </cfRule>
    <cfRule type="cellIs" dxfId="3852" priority="2831" operator="greaterThan">
      <formula>0</formula>
    </cfRule>
  </conditionalFormatting>
  <conditionalFormatting sqref="TD8">
    <cfRule type="cellIs" dxfId="3851" priority="2828" operator="lessThan">
      <formula>0</formula>
    </cfRule>
    <cfRule type="cellIs" dxfId="3850" priority="2829" operator="greaterThan">
      <formula>0</formula>
    </cfRule>
  </conditionalFormatting>
  <conditionalFormatting sqref="TD47">
    <cfRule type="cellIs" dxfId="3849" priority="2826" operator="lessThan">
      <formula>0</formula>
    </cfRule>
    <cfRule type="cellIs" dxfId="3848" priority="2827" operator="greaterThan">
      <formula>0</formula>
    </cfRule>
  </conditionalFormatting>
  <conditionalFormatting sqref="TD44">
    <cfRule type="cellIs" dxfId="3847" priority="2824" operator="lessThan">
      <formula>0</formula>
    </cfRule>
    <cfRule type="cellIs" dxfId="3846" priority="2825" operator="greaterThan">
      <formula>0</formula>
    </cfRule>
  </conditionalFormatting>
  <conditionalFormatting sqref="TD23:TD24">
    <cfRule type="cellIs" dxfId="3845" priority="2822" operator="lessThan">
      <formula>0</formula>
    </cfRule>
    <cfRule type="cellIs" dxfId="3844" priority="2823" operator="greaterThan">
      <formula>0</formula>
    </cfRule>
  </conditionalFormatting>
  <conditionalFormatting sqref="TD33:TD34">
    <cfRule type="cellIs" dxfId="3843" priority="2820" operator="lessThan">
      <formula>0</formula>
    </cfRule>
    <cfRule type="cellIs" dxfId="3842" priority="2821" operator="greaterThan">
      <formula>0</formula>
    </cfRule>
  </conditionalFormatting>
  <conditionalFormatting sqref="TD101">
    <cfRule type="cellIs" dxfId="3841" priority="2814" operator="lessThan">
      <formula>0</formula>
    </cfRule>
    <cfRule type="cellIs" dxfId="3840" priority="2815" operator="greaterThan">
      <formula>0</formula>
    </cfRule>
  </conditionalFormatting>
  <conditionalFormatting sqref="TD104">
    <cfRule type="cellIs" dxfId="3839" priority="2812" operator="lessThan">
      <formula>0</formula>
    </cfRule>
    <cfRule type="cellIs" dxfId="3838" priority="2813" operator="greaterThan">
      <formula>0</formula>
    </cfRule>
  </conditionalFormatting>
  <conditionalFormatting sqref="TD48:TD49">
    <cfRule type="cellIs" dxfId="3837" priority="2810" operator="lessThan">
      <formula>0</formula>
    </cfRule>
    <cfRule type="cellIs" dxfId="3836" priority="2811" operator="greaterThan">
      <formula>0</formula>
    </cfRule>
  </conditionalFormatting>
  <conditionalFormatting sqref="TF50:TF68 TF80:TF90">
    <cfRule type="cellIs" dxfId="3835" priority="2808" operator="lessThan">
      <formula>0</formula>
    </cfRule>
    <cfRule type="cellIs" dxfId="3834" priority="2809" operator="greaterThan">
      <formula>0</formula>
    </cfRule>
  </conditionalFormatting>
  <conditionalFormatting sqref="TF98">
    <cfRule type="cellIs" dxfId="3833" priority="2774" operator="lessThan">
      <formula>0</formula>
    </cfRule>
    <cfRule type="cellIs" dxfId="3832" priority="2775" operator="greaterThan">
      <formula>0</formula>
    </cfRule>
  </conditionalFormatting>
  <conditionalFormatting sqref="TF6 TF9:TF11">
    <cfRule type="cellIs" dxfId="3831" priority="2800" operator="lessThan">
      <formula>0</formula>
    </cfRule>
    <cfRule type="cellIs" dxfId="3830" priority="2801" operator="greaterThan">
      <formula>0</formula>
    </cfRule>
  </conditionalFormatting>
  <conditionalFormatting sqref="TF43:TF44">
    <cfRule type="cellIs" dxfId="3829" priority="2776" operator="lessThan">
      <formula>0</formula>
    </cfRule>
    <cfRule type="cellIs" dxfId="3828" priority="2777" operator="greaterThan">
      <formula>0</formula>
    </cfRule>
  </conditionalFormatting>
  <conditionalFormatting sqref="TF11 TF19 TF3 TF24:TF32 TF34:TF42 TF69:TF79">
    <cfRule type="cellIs" dxfId="3827" priority="2806" operator="lessThan">
      <formula>0</formula>
    </cfRule>
    <cfRule type="cellIs" dxfId="3826" priority="2807" operator="greaterThan">
      <formula>0</formula>
    </cfRule>
  </conditionalFormatting>
  <conditionalFormatting sqref="TF4:TF5">
    <cfRule type="cellIs" dxfId="3825" priority="2802" operator="lessThan">
      <formula>0</formula>
    </cfRule>
    <cfRule type="cellIs" dxfId="3824" priority="2803" operator="greaterThan">
      <formula>0</formula>
    </cfRule>
  </conditionalFormatting>
  <conditionalFormatting sqref="TF12:TF13">
    <cfRule type="cellIs" dxfId="3823" priority="2798" operator="lessThan">
      <formula>0</formula>
    </cfRule>
    <cfRule type="cellIs" dxfId="3822" priority="2799" operator="greaterThan">
      <formula>0</formula>
    </cfRule>
  </conditionalFormatting>
  <conditionalFormatting sqref="TF14:TF19">
    <cfRule type="cellIs" dxfId="3821" priority="2796" operator="lessThan">
      <formula>0</formula>
    </cfRule>
    <cfRule type="cellIs" dxfId="3820" priority="2797" operator="greaterThan">
      <formula>0</formula>
    </cfRule>
  </conditionalFormatting>
  <conditionalFormatting sqref="TF20:TF22">
    <cfRule type="cellIs" dxfId="3819" priority="2794" operator="lessThan">
      <formula>0</formula>
    </cfRule>
    <cfRule type="cellIs" dxfId="3818" priority="2795" operator="greaterThan">
      <formula>0</formula>
    </cfRule>
  </conditionalFormatting>
  <conditionalFormatting sqref="TF45:TF46">
    <cfRule type="cellIs" dxfId="3817" priority="2804" operator="lessThan">
      <formula>0</formula>
    </cfRule>
    <cfRule type="cellIs" dxfId="3816" priority="2805" operator="greaterThan">
      <formula>0</formula>
    </cfRule>
  </conditionalFormatting>
  <conditionalFormatting sqref="TF7">
    <cfRule type="cellIs" dxfId="3815" priority="2790" operator="lessThan">
      <formula>0</formula>
    </cfRule>
    <cfRule type="cellIs" dxfId="3814" priority="2791" operator="greaterThan">
      <formula>0</formula>
    </cfRule>
  </conditionalFormatting>
  <conditionalFormatting sqref="TF7">
    <cfRule type="cellIs" dxfId="3813" priority="2788" operator="lessThan">
      <formula>0</formula>
    </cfRule>
    <cfRule type="cellIs" dxfId="3812" priority="2789" operator="greaterThan">
      <formula>0</formula>
    </cfRule>
  </conditionalFormatting>
  <conditionalFormatting sqref="TF8">
    <cfRule type="cellIs" dxfId="3811" priority="2786" operator="lessThan">
      <formula>0</formula>
    </cfRule>
    <cfRule type="cellIs" dxfId="3810" priority="2787" operator="greaterThan">
      <formula>0</formula>
    </cfRule>
  </conditionalFormatting>
  <conditionalFormatting sqref="TF47">
    <cfRule type="cellIs" dxfId="3809" priority="2784" operator="lessThan">
      <formula>0</formula>
    </cfRule>
    <cfRule type="cellIs" dxfId="3808" priority="2785" operator="greaterThan">
      <formula>0</formula>
    </cfRule>
  </conditionalFormatting>
  <conditionalFormatting sqref="TF44">
    <cfRule type="cellIs" dxfId="3807" priority="2782" operator="lessThan">
      <formula>0</formula>
    </cfRule>
    <cfRule type="cellIs" dxfId="3806" priority="2783" operator="greaterThan">
      <formula>0</formula>
    </cfRule>
  </conditionalFormatting>
  <conditionalFormatting sqref="TF23:TF24">
    <cfRule type="cellIs" dxfId="3805" priority="2780" operator="lessThan">
      <formula>0</formula>
    </cfRule>
    <cfRule type="cellIs" dxfId="3804" priority="2781" operator="greaterThan">
      <formula>0</formula>
    </cfRule>
  </conditionalFormatting>
  <conditionalFormatting sqref="TF33:TF34">
    <cfRule type="cellIs" dxfId="3803" priority="2778" operator="lessThan">
      <formula>0</formula>
    </cfRule>
    <cfRule type="cellIs" dxfId="3802" priority="2779" operator="greaterThan">
      <formula>0</formula>
    </cfRule>
  </conditionalFormatting>
  <conditionalFormatting sqref="TF101">
    <cfRule type="cellIs" dxfId="3801" priority="2772" operator="lessThan">
      <formula>0</formula>
    </cfRule>
    <cfRule type="cellIs" dxfId="3800" priority="2773" operator="greaterThan">
      <formula>0</formula>
    </cfRule>
  </conditionalFormatting>
  <conditionalFormatting sqref="TF104">
    <cfRule type="cellIs" dxfId="3799" priority="2770" operator="lessThan">
      <formula>0</formula>
    </cfRule>
    <cfRule type="cellIs" dxfId="3798" priority="2771" operator="greaterThan">
      <formula>0</formula>
    </cfRule>
  </conditionalFormatting>
  <conditionalFormatting sqref="TF48:TF49">
    <cfRule type="cellIs" dxfId="3797" priority="2768" operator="lessThan">
      <formula>0</formula>
    </cfRule>
    <cfRule type="cellIs" dxfId="3796" priority="2769" operator="greaterThan">
      <formula>0</formula>
    </cfRule>
  </conditionalFormatting>
  <conditionalFormatting sqref="TH91:TH96">
    <cfRule type="cellIs" dxfId="3795" priority="2766" operator="lessThan">
      <formula>0</formula>
    </cfRule>
    <cfRule type="cellIs" dxfId="3794" priority="2767" operator="greaterThan">
      <formula>0</formula>
    </cfRule>
  </conditionalFormatting>
  <conditionalFormatting sqref="TH50:TH68 TH80:TH90">
    <cfRule type="cellIs" dxfId="3793" priority="2764" operator="lessThan">
      <formula>0</formula>
    </cfRule>
    <cfRule type="cellIs" dxfId="3792" priority="2765" operator="greaterThan">
      <formula>0</formula>
    </cfRule>
  </conditionalFormatting>
  <conditionalFormatting sqref="TH98">
    <cfRule type="cellIs" dxfId="3791" priority="2732" operator="lessThan">
      <formula>0</formula>
    </cfRule>
    <cfRule type="cellIs" dxfId="3790" priority="2733" operator="greaterThan">
      <formula>0</formula>
    </cfRule>
  </conditionalFormatting>
  <conditionalFormatting sqref="TH6 TH9:TH11">
    <cfRule type="cellIs" dxfId="3789" priority="2756" operator="lessThan">
      <formula>0</formula>
    </cfRule>
    <cfRule type="cellIs" dxfId="3788" priority="2757" operator="greaterThan">
      <formula>0</formula>
    </cfRule>
  </conditionalFormatting>
  <conditionalFormatting sqref="TH43:TH44">
    <cfRule type="cellIs" dxfId="3787" priority="2734" operator="lessThan">
      <formula>0</formula>
    </cfRule>
    <cfRule type="cellIs" dxfId="3786" priority="2735" operator="greaterThan">
      <formula>0</formula>
    </cfRule>
  </conditionalFormatting>
  <conditionalFormatting sqref="TH11 TH19 TH3 TH24:TH32 TH34:TH42 TH69:TH79">
    <cfRule type="cellIs" dxfId="3785" priority="2762" operator="lessThan">
      <formula>0</formula>
    </cfRule>
    <cfRule type="cellIs" dxfId="3784" priority="2763" operator="greaterThan">
      <formula>0</formula>
    </cfRule>
  </conditionalFormatting>
  <conditionalFormatting sqref="TH4:TH5">
    <cfRule type="cellIs" dxfId="3783" priority="2758" operator="lessThan">
      <formula>0</formula>
    </cfRule>
    <cfRule type="cellIs" dxfId="3782" priority="2759" operator="greaterThan">
      <formula>0</formula>
    </cfRule>
  </conditionalFormatting>
  <conditionalFormatting sqref="TH12:TH13">
    <cfRule type="cellIs" dxfId="3781" priority="2754" operator="lessThan">
      <formula>0</formula>
    </cfRule>
    <cfRule type="cellIs" dxfId="3780" priority="2755" operator="greaterThan">
      <formula>0</formula>
    </cfRule>
  </conditionalFormatting>
  <conditionalFormatting sqref="TH14:TH19">
    <cfRule type="cellIs" dxfId="3779" priority="2752" operator="lessThan">
      <formula>0</formula>
    </cfRule>
    <cfRule type="cellIs" dxfId="3778" priority="2753" operator="greaterThan">
      <formula>0</formula>
    </cfRule>
  </conditionalFormatting>
  <conditionalFormatting sqref="TH20:TH22">
    <cfRule type="cellIs" dxfId="3777" priority="2750" operator="lessThan">
      <formula>0</formula>
    </cfRule>
    <cfRule type="cellIs" dxfId="3776" priority="2751" operator="greaterThan">
      <formula>0</formula>
    </cfRule>
  </conditionalFormatting>
  <conditionalFormatting sqref="TH45:TH46">
    <cfRule type="cellIs" dxfId="3775" priority="2760" operator="lessThan">
      <formula>0</formula>
    </cfRule>
    <cfRule type="cellIs" dxfId="3774" priority="2761" operator="greaterThan">
      <formula>0</formula>
    </cfRule>
  </conditionalFormatting>
  <conditionalFormatting sqref="TH7">
    <cfRule type="cellIs" dxfId="3773" priority="2748" operator="lessThan">
      <formula>0</formula>
    </cfRule>
    <cfRule type="cellIs" dxfId="3772" priority="2749" operator="greaterThan">
      <formula>0</formula>
    </cfRule>
  </conditionalFormatting>
  <conditionalFormatting sqref="TH7">
    <cfRule type="cellIs" dxfId="3771" priority="2746" operator="lessThan">
      <formula>0</formula>
    </cfRule>
    <cfRule type="cellIs" dxfId="3770" priority="2747" operator="greaterThan">
      <formula>0</formula>
    </cfRule>
  </conditionalFormatting>
  <conditionalFormatting sqref="TH8">
    <cfRule type="cellIs" dxfId="3769" priority="2744" operator="lessThan">
      <formula>0</formula>
    </cfRule>
    <cfRule type="cellIs" dxfId="3768" priority="2745" operator="greaterThan">
      <formula>0</formula>
    </cfRule>
  </conditionalFormatting>
  <conditionalFormatting sqref="TH47">
    <cfRule type="cellIs" dxfId="3767" priority="2742" operator="lessThan">
      <formula>0</formula>
    </cfRule>
    <cfRule type="cellIs" dxfId="3766" priority="2743" operator="greaterThan">
      <formula>0</formula>
    </cfRule>
  </conditionalFormatting>
  <conditionalFormatting sqref="TH44">
    <cfRule type="cellIs" dxfId="3765" priority="2740" operator="lessThan">
      <formula>0</formula>
    </cfRule>
    <cfRule type="cellIs" dxfId="3764" priority="2741" operator="greaterThan">
      <formula>0</formula>
    </cfRule>
  </conditionalFormatting>
  <conditionalFormatting sqref="TH23:TH24">
    <cfRule type="cellIs" dxfId="3763" priority="2738" operator="lessThan">
      <formula>0</formula>
    </cfRule>
    <cfRule type="cellIs" dxfId="3762" priority="2739" operator="greaterThan">
      <formula>0</formula>
    </cfRule>
  </conditionalFormatting>
  <conditionalFormatting sqref="TH33:TH34">
    <cfRule type="cellIs" dxfId="3761" priority="2736" operator="lessThan">
      <formula>0</formula>
    </cfRule>
    <cfRule type="cellIs" dxfId="3760" priority="2737" operator="greaterThan">
      <formula>0</formula>
    </cfRule>
  </conditionalFormatting>
  <conditionalFormatting sqref="TH101">
    <cfRule type="cellIs" dxfId="3759" priority="2730" operator="lessThan">
      <formula>0</formula>
    </cfRule>
    <cfRule type="cellIs" dxfId="3758" priority="2731" operator="greaterThan">
      <formula>0</formula>
    </cfRule>
  </conditionalFormatting>
  <conditionalFormatting sqref="TH104">
    <cfRule type="cellIs" dxfId="3757" priority="2728" operator="lessThan">
      <formula>0</formula>
    </cfRule>
    <cfRule type="cellIs" dxfId="3756" priority="2729" operator="greaterThan">
      <formula>0</formula>
    </cfRule>
  </conditionalFormatting>
  <conditionalFormatting sqref="TH48:TH49">
    <cfRule type="cellIs" dxfId="3755" priority="2726" operator="lessThan">
      <formula>0</formula>
    </cfRule>
    <cfRule type="cellIs" dxfId="3754" priority="2727" operator="greaterThan">
      <formula>0</formula>
    </cfRule>
  </conditionalFormatting>
  <conditionalFormatting sqref="TJ91:TJ96">
    <cfRule type="cellIs" dxfId="3753" priority="2724" operator="lessThan">
      <formula>0</formula>
    </cfRule>
    <cfRule type="cellIs" dxfId="3752" priority="2725" operator="greaterThan">
      <formula>0</formula>
    </cfRule>
  </conditionalFormatting>
  <conditionalFormatting sqref="TJ50:TJ68 TJ80:TJ90">
    <cfRule type="cellIs" dxfId="3751" priority="2722" operator="lessThan">
      <formula>0</formula>
    </cfRule>
    <cfRule type="cellIs" dxfId="3750" priority="2723" operator="greaterThan">
      <formula>0</formula>
    </cfRule>
  </conditionalFormatting>
  <conditionalFormatting sqref="TJ98">
    <cfRule type="cellIs" dxfId="3749" priority="2690" operator="lessThan">
      <formula>0</formula>
    </cfRule>
    <cfRule type="cellIs" dxfId="3748" priority="2691" operator="greaterThan">
      <formula>0</formula>
    </cfRule>
  </conditionalFormatting>
  <conditionalFormatting sqref="TJ6 TJ9:TJ11">
    <cfRule type="cellIs" dxfId="3747" priority="2714" operator="lessThan">
      <formula>0</formula>
    </cfRule>
    <cfRule type="cellIs" dxfId="3746" priority="2715" operator="greaterThan">
      <formula>0</formula>
    </cfRule>
  </conditionalFormatting>
  <conditionalFormatting sqref="TJ43:TJ44">
    <cfRule type="cellIs" dxfId="3745" priority="2692" operator="lessThan">
      <formula>0</formula>
    </cfRule>
    <cfRule type="cellIs" dxfId="3744" priority="2693" operator="greaterThan">
      <formula>0</formula>
    </cfRule>
  </conditionalFormatting>
  <conditionalFormatting sqref="TJ11 TJ19 TJ3 TJ24:TJ32 TJ34:TJ42 TJ69:TJ79">
    <cfRule type="cellIs" dxfId="3743" priority="2720" operator="lessThan">
      <formula>0</formula>
    </cfRule>
    <cfRule type="cellIs" dxfId="3742" priority="2721" operator="greaterThan">
      <formula>0</formula>
    </cfRule>
  </conditionalFormatting>
  <conditionalFormatting sqref="TJ4:TJ5">
    <cfRule type="cellIs" dxfId="3741" priority="2716" operator="lessThan">
      <formula>0</formula>
    </cfRule>
    <cfRule type="cellIs" dxfId="3740" priority="2717" operator="greaterThan">
      <formula>0</formula>
    </cfRule>
  </conditionalFormatting>
  <conditionalFormatting sqref="TJ12:TJ13">
    <cfRule type="cellIs" dxfId="3739" priority="2712" operator="lessThan">
      <formula>0</formula>
    </cfRule>
    <cfRule type="cellIs" dxfId="3738" priority="2713" operator="greaterThan">
      <formula>0</formula>
    </cfRule>
  </conditionalFormatting>
  <conditionalFormatting sqref="TJ14:TJ19">
    <cfRule type="cellIs" dxfId="3737" priority="2710" operator="lessThan">
      <formula>0</formula>
    </cfRule>
    <cfRule type="cellIs" dxfId="3736" priority="2711" operator="greaterThan">
      <formula>0</formula>
    </cfRule>
  </conditionalFormatting>
  <conditionalFormatting sqref="TJ20:TJ22">
    <cfRule type="cellIs" dxfId="3735" priority="2708" operator="lessThan">
      <formula>0</formula>
    </cfRule>
    <cfRule type="cellIs" dxfId="3734" priority="2709" operator="greaterThan">
      <formula>0</formula>
    </cfRule>
  </conditionalFormatting>
  <conditionalFormatting sqref="TJ45:TJ46">
    <cfRule type="cellIs" dxfId="3733" priority="2718" operator="lessThan">
      <formula>0</formula>
    </cfRule>
    <cfRule type="cellIs" dxfId="3732" priority="2719" operator="greaterThan">
      <formula>0</formula>
    </cfRule>
  </conditionalFormatting>
  <conditionalFormatting sqref="TJ7">
    <cfRule type="cellIs" dxfId="3731" priority="2706" operator="lessThan">
      <formula>0</formula>
    </cfRule>
    <cfRule type="cellIs" dxfId="3730" priority="2707" operator="greaterThan">
      <formula>0</formula>
    </cfRule>
  </conditionalFormatting>
  <conditionalFormatting sqref="TJ7">
    <cfRule type="cellIs" dxfId="3729" priority="2704" operator="lessThan">
      <formula>0</formula>
    </cfRule>
    <cfRule type="cellIs" dxfId="3728" priority="2705" operator="greaterThan">
      <formula>0</formula>
    </cfRule>
  </conditionalFormatting>
  <conditionalFormatting sqref="TJ8">
    <cfRule type="cellIs" dxfId="3727" priority="2702" operator="lessThan">
      <formula>0</formula>
    </cfRule>
    <cfRule type="cellIs" dxfId="3726" priority="2703" operator="greaterThan">
      <formula>0</formula>
    </cfRule>
  </conditionalFormatting>
  <conditionalFormatting sqref="TJ47">
    <cfRule type="cellIs" dxfId="3725" priority="2700" operator="lessThan">
      <formula>0</formula>
    </cfRule>
    <cfRule type="cellIs" dxfId="3724" priority="2701" operator="greaterThan">
      <formula>0</formula>
    </cfRule>
  </conditionalFormatting>
  <conditionalFormatting sqref="TJ44">
    <cfRule type="cellIs" dxfId="3723" priority="2698" operator="lessThan">
      <formula>0</formula>
    </cfRule>
    <cfRule type="cellIs" dxfId="3722" priority="2699" operator="greaterThan">
      <formula>0</formula>
    </cfRule>
  </conditionalFormatting>
  <conditionalFormatting sqref="TJ23:TJ24">
    <cfRule type="cellIs" dxfId="3721" priority="2696" operator="lessThan">
      <formula>0</formula>
    </cfRule>
    <cfRule type="cellIs" dxfId="3720" priority="2697" operator="greaterThan">
      <formula>0</formula>
    </cfRule>
  </conditionalFormatting>
  <conditionalFormatting sqref="TJ33:TJ34">
    <cfRule type="cellIs" dxfId="3719" priority="2694" operator="lessThan">
      <formula>0</formula>
    </cfRule>
    <cfRule type="cellIs" dxfId="3718" priority="2695" operator="greaterThan">
      <formula>0</formula>
    </cfRule>
  </conditionalFormatting>
  <conditionalFormatting sqref="TJ101">
    <cfRule type="cellIs" dxfId="3717" priority="2688" operator="lessThan">
      <formula>0</formula>
    </cfRule>
    <cfRule type="cellIs" dxfId="3716" priority="2689" operator="greaterThan">
      <formula>0</formula>
    </cfRule>
  </conditionalFormatting>
  <conditionalFormatting sqref="TJ104">
    <cfRule type="cellIs" dxfId="3715" priority="2686" operator="lessThan">
      <formula>0</formula>
    </cfRule>
    <cfRule type="cellIs" dxfId="3714" priority="2687" operator="greaterThan">
      <formula>0</formula>
    </cfRule>
  </conditionalFormatting>
  <conditionalFormatting sqref="TJ48:TJ49">
    <cfRule type="cellIs" dxfId="3713" priority="2684" operator="lessThan">
      <formula>0</formula>
    </cfRule>
    <cfRule type="cellIs" dxfId="3712" priority="2685" operator="greaterThan">
      <formula>0</formula>
    </cfRule>
  </conditionalFormatting>
  <conditionalFormatting sqref="TL91:TL96">
    <cfRule type="cellIs" dxfId="3711" priority="2682" operator="lessThan">
      <formula>0</formula>
    </cfRule>
    <cfRule type="cellIs" dxfId="3710" priority="2683" operator="greaterThan">
      <formula>0</formula>
    </cfRule>
  </conditionalFormatting>
  <conditionalFormatting sqref="TL50:TL68 TL80:TL90">
    <cfRule type="cellIs" dxfId="3709" priority="2680" operator="lessThan">
      <formula>0</formula>
    </cfRule>
    <cfRule type="cellIs" dxfId="3708" priority="2681" operator="greaterThan">
      <formula>0</formula>
    </cfRule>
  </conditionalFormatting>
  <conditionalFormatting sqref="TL98">
    <cfRule type="cellIs" dxfId="3707" priority="2648" operator="lessThan">
      <formula>0</formula>
    </cfRule>
    <cfRule type="cellIs" dxfId="3706" priority="2649" operator="greaterThan">
      <formula>0</formula>
    </cfRule>
  </conditionalFormatting>
  <conditionalFormatting sqref="TL6 TL9:TL11">
    <cfRule type="cellIs" dxfId="3705" priority="2672" operator="lessThan">
      <formula>0</formula>
    </cfRule>
    <cfRule type="cellIs" dxfId="3704" priority="2673" operator="greaterThan">
      <formula>0</formula>
    </cfRule>
  </conditionalFormatting>
  <conditionalFormatting sqref="TL43:TL44">
    <cfRule type="cellIs" dxfId="3703" priority="2650" operator="lessThan">
      <formula>0</formula>
    </cfRule>
    <cfRule type="cellIs" dxfId="3702" priority="2651" operator="greaterThan">
      <formula>0</formula>
    </cfRule>
  </conditionalFormatting>
  <conditionalFormatting sqref="TL11 TL19 TL3 TL24:TL32 TL34:TL42 TL69:TL79">
    <cfRule type="cellIs" dxfId="3701" priority="2678" operator="lessThan">
      <formula>0</formula>
    </cfRule>
    <cfRule type="cellIs" dxfId="3700" priority="2679" operator="greaterThan">
      <formula>0</formula>
    </cfRule>
  </conditionalFormatting>
  <conditionalFormatting sqref="TL4:TL5">
    <cfRule type="cellIs" dxfId="3699" priority="2674" operator="lessThan">
      <formula>0</formula>
    </cfRule>
    <cfRule type="cellIs" dxfId="3698" priority="2675" operator="greaterThan">
      <formula>0</formula>
    </cfRule>
  </conditionalFormatting>
  <conditionalFormatting sqref="TL12:TL13">
    <cfRule type="cellIs" dxfId="3697" priority="2670" operator="lessThan">
      <formula>0</formula>
    </cfRule>
    <cfRule type="cellIs" dxfId="3696" priority="2671" operator="greaterThan">
      <formula>0</formula>
    </cfRule>
  </conditionalFormatting>
  <conditionalFormatting sqref="TL14:TL19">
    <cfRule type="cellIs" dxfId="3695" priority="2668" operator="lessThan">
      <formula>0</formula>
    </cfRule>
    <cfRule type="cellIs" dxfId="3694" priority="2669" operator="greaterThan">
      <formula>0</formula>
    </cfRule>
  </conditionalFormatting>
  <conditionalFormatting sqref="TL20:TL22">
    <cfRule type="cellIs" dxfId="3693" priority="2666" operator="lessThan">
      <formula>0</formula>
    </cfRule>
    <cfRule type="cellIs" dxfId="3692" priority="2667" operator="greaterThan">
      <formula>0</formula>
    </cfRule>
  </conditionalFormatting>
  <conditionalFormatting sqref="TL45:TL46">
    <cfRule type="cellIs" dxfId="3691" priority="2676" operator="lessThan">
      <formula>0</formula>
    </cfRule>
    <cfRule type="cellIs" dxfId="3690" priority="2677" operator="greaterThan">
      <formula>0</formula>
    </cfRule>
  </conditionalFormatting>
  <conditionalFormatting sqref="TL7">
    <cfRule type="cellIs" dxfId="3689" priority="2664" operator="lessThan">
      <formula>0</formula>
    </cfRule>
    <cfRule type="cellIs" dxfId="3688" priority="2665" operator="greaterThan">
      <formula>0</formula>
    </cfRule>
  </conditionalFormatting>
  <conditionalFormatting sqref="TL7">
    <cfRule type="cellIs" dxfId="3687" priority="2662" operator="lessThan">
      <formula>0</formula>
    </cfRule>
    <cfRule type="cellIs" dxfId="3686" priority="2663" operator="greaterThan">
      <formula>0</formula>
    </cfRule>
  </conditionalFormatting>
  <conditionalFormatting sqref="TL8">
    <cfRule type="cellIs" dxfId="3685" priority="2660" operator="lessThan">
      <formula>0</formula>
    </cfRule>
    <cfRule type="cellIs" dxfId="3684" priority="2661" operator="greaterThan">
      <formula>0</formula>
    </cfRule>
  </conditionalFormatting>
  <conditionalFormatting sqref="TL47">
    <cfRule type="cellIs" dxfId="3683" priority="2658" operator="lessThan">
      <formula>0</formula>
    </cfRule>
    <cfRule type="cellIs" dxfId="3682" priority="2659" operator="greaterThan">
      <formula>0</formula>
    </cfRule>
  </conditionalFormatting>
  <conditionalFormatting sqref="TL44">
    <cfRule type="cellIs" dxfId="3681" priority="2656" operator="lessThan">
      <formula>0</formula>
    </cfRule>
    <cfRule type="cellIs" dxfId="3680" priority="2657" operator="greaterThan">
      <formula>0</formula>
    </cfRule>
  </conditionalFormatting>
  <conditionalFormatting sqref="TL23:TL24">
    <cfRule type="cellIs" dxfId="3679" priority="2654" operator="lessThan">
      <formula>0</formula>
    </cfRule>
    <cfRule type="cellIs" dxfId="3678" priority="2655" operator="greaterThan">
      <formula>0</formula>
    </cfRule>
  </conditionalFormatting>
  <conditionalFormatting sqref="TL33:TL34">
    <cfRule type="cellIs" dxfId="3677" priority="2652" operator="lessThan">
      <formula>0</formula>
    </cfRule>
    <cfRule type="cellIs" dxfId="3676" priority="2653" operator="greaterThan">
      <formula>0</formula>
    </cfRule>
  </conditionalFormatting>
  <conditionalFormatting sqref="TL101">
    <cfRule type="cellIs" dxfId="3675" priority="2646" operator="lessThan">
      <formula>0</formula>
    </cfRule>
    <cfRule type="cellIs" dxfId="3674" priority="2647" operator="greaterThan">
      <formula>0</formula>
    </cfRule>
  </conditionalFormatting>
  <conditionalFormatting sqref="TL104">
    <cfRule type="cellIs" dxfId="3673" priority="2644" operator="lessThan">
      <formula>0</formula>
    </cfRule>
    <cfRule type="cellIs" dxfId="3672" priority="2645" operator="greaterThan">
      <formula>0</formula>
    </cfRule>
  </conditionalFormatting>
  <conditionalFormatting sqref="TL48:TL49">
    <cfRule type="cellIs" dxfId="3671" priority="2642" operator="lessThan">
      <formula>0</formula>
    </cfRule>
    <cfRule type="cellIs" dxfId="3670" priority="2643" operator="greaterThan">
      <formula>0</formula>
    </cfRule>
  </conditionalFormatting>
  <conditionalFormatting sqref="TN91:TN96">
    <cfRule type="cellIs" dxfId="3669" priority="2635" operator="lessThan">
      <formula>0</formula>
    </cfRule>
    <cfRule type="cellIs" dxfId="3668" priority="2636" operator="greaterThan">
      <formula>0</formula>
    </cfRule>
  </conditionalFormatting>
  <conditionalFormatting sqref="TN50:TN68 TN80:TN90">
    <cfRule type="cellIs" dxfId="3667" priority="2633" operator="lessThan">
      <formula>0</formula>
    </cfRule>
    <cfRule type="cellIs" dxfId="3666" priority="2634" operator="greaterThan">
      <formula>0</formula>
    </cfRule>
  </conditionalFormatting>
  <conditionalFormatting sqref="TN98">
    <cfRule type="cellIs" dxfId="3665" priority="2601" operator="lessThan">
      <formula>0</formula>
    </cfRule>
    <cfRule type="cellIs" dxfId="3664" priority="2602" operator="greaterThan">
      <formula>0</formula>
    </cfRule>
  </conditionalFormatting>
  <conditionalFormatting sqref="TN6 TN9:TN11">
    <cfRule type="cellIs" dxfId="3663" priority="2625" operator="lessThan">
      <formula>0</formula>
    </cfRule>
    <cfRule type="cellIs" dxfId="3662" priority="2626" operator="greaterThan">
      <formula>0</formula>
    </cfRule>
  </conditionalFormatting>
  <conditionalFormatting sqref="TN43:TN44">
    <cfRule type="cellIs" dxfId="3661" priority="2603" operator="lessThan">
      <formula>0</formula>
    </cfRule>
    <cfRule type="cellIs" dxfId="3660" priority="2604" operator="greaterThan">
      <formula>0</formula>
    </cfRule>
  </conditionalFormatting>
  <conditionalFormatting sqref="TN11 TN19 TN3 TN24:TN32 TN34:TN42 TN69:TN79">
    <cfRule type="cellIs" dxfId="3659" priority="2631" operator="lessThan">
      <formula>0</formula>
    </cfRule>
    <cfRule type="cellIs" dxfId="3658" priority="2632" operator="greaterThan">
      <formula>0</formula>
    </cfRule>
  </conditionalFormatting>
  <conditionalFormatting sqref="TN4:TN5">
    <cfRule type="cellIs" dxfId="3657" priority="2627" operator="lessThan">
      <formula>0</formula>
    </cfRule>
    <cfRule type="cellIs" dxfId="3656" priority="2628" operator="greaterThan">
      <formula>0</formula>
    </cfRule>
  </conditionalFormatting>
  <conditionalFormatting sqref="TN12:TN13">
    <cfRule type="cellIs" dxfId="3655" priority="2623" operator="lessThan">
      <formula>0</formula>
    </cfRule>
    <cfRule type="cellIs" dxfId="3654" priority="2624" operator="greaterThan">
      <formula>0</formula>
    </cfRule>
  </conditionalFormatting>
  <conditionalFormatting sqref="TN14:TN19">
    <cfRule type="cellIs" dxfId="3653" priority="2621" operator="lessThan">
      <formula>0</formula>
    </cfRule>
    <cfRule type="cellIs" dxfId="3652" priority="2622" operator="greaterThan">
      <formula>0</formula>
    </cfRule>
  </conditionalFormatting>
  <conditionalFormatting sqref="TN20:TN22">
    <cfRule type="cellIs" dxfId="3651" priority="2619" operator="lessThan">
      <formula>0</formula>
    </cfRule>
    <cfRule type="cellIs" dxfId="3650" priority="2620" operator="greaterThan">
      <formula>0</formula>
    </cfRule>
  </conditionalFormatting>
  <conditionalFormatting sqref="TN45:TN46">
    <cfRule type="cellIs" dxfId="3649" priority="2629" operator="lessThan">
      <formula>0</formula>
    </cfRule>
    <cfRule type="cellIs" dxfId="3648" priority="2630" operator="greaterThan">
      <formula>0</formula>
    </cfRule>
  </conditionalFormatting>
  <conditionalFormatting sqref="TN7">
    <cfRule type="cellIs" dxfId="3647" priority="2617" operator="lessThan">
      <formula>0</formula>
    </cfRule>
    <cfRule type="cellIs" dxfId="3646" priority="2618" operator="greaterThan">
      <formula>0</formula>
    </cfRule>
  </conditionalFormatting>
  <conditionalFormatting sqref="TN7">
    <cfRule type="cellIs" dxfId="3645" priority="2615" operator="lessThan">
      <formula>0</formula>
    </cfRule>
    <cfRule type="cellIs" dxfId="3644" priority="2616" operator="greaterThan">
      <formula>0</formula>
    </cfRule>
  </conditionalFormatting>
  <conditionalFormatting sqref="TN8">
    <cfRule type="cellIs" dxfId="3643" priority="2613" operator="lessThan">
      <formula>0</formula>
    </cfRule>
    <cfRule type="cellIs" dxfId="3642" priority="2614" operator="greaterThan">
      <formula>0</formula>
    </cfRule>
  </conditionalFormatting>
  <conditionalFormatting sqref="TN47">
    <cfRule type="cellIs" dxfId="3641" priority="2611" operator="lessThan">
      <formula>0</formula>
    </cfRule>
    <cfRule type="cellIs" dxfId="3640" priority="2612" operator="greaterThan">
      <formula>0</formula>
    </cfRule>
  </conditionalFormatting>
  <conditionalFormatting sqref="TN44">
    <cfRule type="cellIs" dxfId="3639" priority="2609" operator="lessThan">
      <formula>0</formula>
    </cfRule>
    <cfRule type="cellIs" dxfId="3638" priority="2610" operator="greaterThan">
      <formula>0</formula>
    </cfRule>
  </conditionalFormatting>
  <conditionalFormatting sqref="TN23:TN24">
    <cfRule type="cellIs" dxfId="3637" priority="2607" operator="lessThan">
      <formula>0</formula>
    </cfRule>
    <cfRule type="cellIs" dxfId="3636" priority="2608" operator="greaterThan">
      <formula>0</formula>
    </cfRule>
  </conditionalFormatting>
  <conditionalFormatting sqref="TN33:TN34">
    <cfRule type="cellIs" dxfId="3635" priority="2605" operator="lessThan">
      <formula>0</formula>
    </cfRule>
    <cfRule type="cellIs" dxfId="3634" priority="2606" operator="greaterThan">
      <formula>0</formula>
    </cfRule>
  </conditionalFormatting>
  <conditionalFormatting sqref="TN101">
    <cfRule type="cellIs" dxfId="3633" priority="2599" operator="lessThan">
      <formula>0</formula>
    </cfRule>
    <cfRule type="cellIs" dxfId="3632" priority="2600" operator="greaterThan">
      <formula>0</formula>
    </cfRule>
  </conditionalFormatting>
  <conditionalFormatting sqref="TN104">
    <cfRule type="cellIs" dxfId="3631" priority="2597" operator="lessThan">
      <formula>0</formula>
    </cfRule>
    <cfRule type="cellIs" dxfId="3630" priority="2598" operator="greaterThan">
      <formula>0</formula>
    </cfRule>
  </conditionalFormatting>
  <conditionalFormatting sqref="TN48:TN49">
    <cfRule type="cellIs" dxfId="3629" priority="2595" operator="lessThan">
      <formula>0</formula>
    </cfRule>
    <cfRule type="cellIs" dxfId="3628" priority="2596" operator="greaterThan">
      <formula>0</formula>
    </cfRule>
  </conditionalFormatting>
  <conditionalFormatting sqref="TP91:TP96">
    <cfRule type="cellIs" dxfId="3627" priority="2593" operator="lessThan">
      <formula>0</formula>
    </cfRule>
    <cfRule type="cellIs" dxfId="3626" priority="2594" operator="greaterThan">
      <formula>0</formula>
    </cfRule>
  </conditionalFormatting>
  <conditionalFormatting sqref="TP50:TP68 TP80:TP90">
    <cfRule type="cellIs" dxfId="3625" priority="2591" operator="lessThan">
      <formula>0</formula>
    </cfRule>
    <cfRule type="cellIs" dxfId="3624" priority="2592" operator="greaterThan">
      <formula>0</formula>
    </cfRule>
  </conditionalFormatting>
  <conditionalFormatting sqref="TP98">
    <cfRule type="cellIs" dxfId="3623" priority="2559" operator="lessThan">
      <formula>0</formula>
    </cfRule>
    <cfRule type="cellIs" dxfId="3622" priority="2560" operator="greaterThan">
      <formula>0</formula>
    </cfRule>
  </conditionalFormatting>
  <conditionalFormatting sqref="TP6 TP9:TP11">
    <cfRule type="cellIs" dxfId="3621" priority="2583" operator="lessThan">
      <formula>0</formula>
    </cfRule>
    <cfRule type="cellIs" dxfId="3620" priority="2584" operator="greaterThan">
      <formula>0</formula>
    </cfRule>
  </conditionalFormatting>
  <conditionalFormatting sqref="TP43:TP44">
    <cfRule type="cellIs" dxfId="3619" priority="2561" operator="lessThan">
      <formula>0</formula>
    </cfRule>
    <cfRule type="cellIs" dxfId="3618" priority="2562" operator="greaterThan">
      <formula>0</formula>
    </cfRule>
  </conditionalFormatting>
  <conditionalFormatting sqref="TP11 TP19 TP3 TP24:TP32 TP34:TP42 TP69:TP79">
    <cfRule type="cellIs" dxfId="3617" priority="2589" operator="lessThan">
      <formula>0</formula>
    </cfRule>
    <cfRule type="cellIs" dxfId="3616" priority="2590" operator="greaterThan">
      <formula>0</formula>
    </cfRule>
  </conditionalFormatting>
  <conditionalFormatting sqref="TP4:TP5">
    <cfRule type="cellIs" dxfId="3615" priority="2585" operator="lessThan">
      <formula>0</formula>
    </cfRule>
    <cfRule type="cellIs" dxfId="3614" priority="2586" operator="greaterThan">
      <formula>0</formula>
    </cfRule>
  </conditionalFormatting>
  <conditionalFormatting sqref="TP12:TP13">
    <cfRule type="cellIs" dxfId="3613" priority="2581" operator="lessThan">
      <formula>0</formula>
    </cfRule>
    <cfRule type="cellIs" dxfId="3612" priority="2582" operator="greaterThan">
      <formula>0</formula>
    </cfRule>
  </conditionalFormatting>
  <conditionalFormatting sqref="TP14:TP19">
    <cfRule type="cellIs" dxfId="3611" priority="2579" operator="lessThan">
      <formula>0</formula>
    </cfRule>
    <cfRule type="cellIs" dxfId="3610" priority="2580" operator="greaterThan">
      <formula>0</formula>
    </cfRule>
  </conditionalFormatting>
  <conditionalFormatting sqref="TP20:TP22">
    <cfRule type="cellIs" dxfId="3609" priority="2577" operator="lessThan">
      <formula>0</formula>
    </cfRule>
    <cfRule type="cellIs" dxfId="3608" priority="2578" operator="greaterThan">
      <formula>0</formula>
    </cfRule>
  </conditionalFormatting>
  <conditionalFormatting sqref="TP45:TP46">
    <cfRule type="cellIs" dxfId="3607" priority="2587" operator="lessThan">
      <formula>0</formula>
    </cfRule>
    <cfRule type="cellIs" dxfId="3606" priority="2588" operator="greaterThan">
      <formula>0</formula>
    </cfRule>
  </conditionalFormatting>
  <conditionalFormatting sqref="TP7">
    <cfRule type="cellIs" dxfId="3605" priority="2575" operator="lessThan">
      <formula>0</formula>
    </cfRule>
    <cfRule type="cellIs" dxfId="3604" priority="2576" operator="greaterThan">
      <formula>0</formula>
    </cfRule>
  </conditionalFormatting>
  <conditionalFormatting sqref="TP7">
    <cfRule type="cellIs" dxfId="3603" priority="2573" operator="lessThan">
      <formula>0</formula>
    </cfRule>
    <cfRule type="cellIs" dxfId="3602" priority="2574" operator="greaterThan">
      <formula>0</formula>
    </cfRule>
  </conditionalFormatting>
  <conditionalFormatting sqref="TP8">
    <cfRule type="cellIs" dxfId="3601" priority="2571" operator="lessThan">
      <formula>0</formula>
    </cfRule>
    <cfRule type="cellIs" dxfId="3600" priority="2572" operator="greaterThan">
      <formula>0</formula>
    </cfRule>
  </conditionalFormatting>
  <conditionalFormatting sqref="TP47">
    <cfRule type="cellIs" dxfId="3599" priority="2569" operator="lessThan">
      <formula>0</formula>
    </cfRule>
    <cfRule type="cellIs" dxfId="3598" priority="2570" operator="greaterThan">
      <formula>0</formula>
    </cfRule>
  </conditionalFormatting>
  <conditionalFormatting sqref="TP44">
    <cfRule type="cellIs" dxfId="3597" priority="2567" operator="lessThan">
      <formula>0</formula>
    </cfRule>
    <cfRule type="cellIs" dxfId="3596" priority="2568" operator="greaterThan">
      <formula>0</formula>
    </cfRule>
  </conditionalFormatting>
  <conditionalFormatting sqref="TP23:TP24">
    <cfRule type="cellIs" dxfId="3595" priority="2565" operator="lessThan">
      <formula>0</formula>
    </cfRule>
    <cfRule type="cellIs" dxfId="3594" priority="2566" operator="greaterThan">
      <formula>0</formula>
    </cfRule>
  </conditionalFormatting>
  <conditionalFormatting sqref="TP33:TP34">
    <cfRule type="cellIs" dxfId="3593" priority="2563" operator="lessThan">
      <formula>0</formula>
    </cfRule>
    <cfRule type="cellIs" dxfId="3592" priority="2564" operator="greaterThan">
      <formula>0</formula>
    </cfRule>
  </conditionalFormatting>
  <conditionalFormatting sqref="TP101">
    <cfRule type="cellIs" dxfId="3591" priority="2557" operator="lessThan">
      <formula>0</formula>
    </cfRule>
    <cfRule type="cellIs" dxfId="3590" priority="2558" operator="greaterThan">
      <formula>0</formula>
    </cfRule>
  </conditionalFormatting>
  <conditionalFormatting sqref="TP104">
    <cfRule type="cellIs" dxfId="3589" priority="2555" operator="lessThan">
      <formula>0</formula>
    </cfRule>
    <cfRule type="cellIs" dxfId="3588" priority="2556" operator="greaterThan">
      <formula>0</formula>
    </cfRule>
  </conditionalFormatting>
  <conditionalFormatting sqref="TP48:TP49">
    <cfRule type="cellIs" dxfId="3587" priority="2553" operator="lessThan">
      <formula>0</formula>
    </cfRule>
    <cfRule type="cellIs" dxfId="3586" priority="2554" operator="greaterThan">
      <formula>0</formula>
    </cfRule>
  </conditionalFormatting>
  <conditionalFormatting sqref="TR91:TR96">
    <cfRule type="cellIs" dxfId="3585" priority="2551" operator="lessThan">
      <formula>0</formula>
    </cfRule>
    <cfRule type="cellIs" dxfId="3584" priority="2552" operator="greaterThan">
      <formula>0</formula>
    </cfRule>
  </conditionalFormatting>
  <conditionalFormatting sqref="TR50:TR68 TR80:TR90">
    <cfRule type="cellIs" dxfId="3583" priority="2549" operator="lessThan">
      <formula>0</formula>
    </cfRule>
    <cfRule type="cellIs" dxfId="3582" priority="2550" operator="greaterThan">
      <formula>0</formula>
    </cfRule>
  </conditionalFormatting>
  <conditionalFormatting sqref="TR98">
    <cfRule type="cellIs" dxfId="3581" priority="2517" operator="lessThan">
      <formula>0</formula>
    </cfRule>
    <cfRule type="cellIs" dxfId="3580" priority="2518" operator="greaterThan">
      <formula>0</formula>
    </cfRule>
  </conditionalFormatting>
  <conditionalFormatting sqref="TR6 TR9:TR11">
    <cfRule type="cellIs" dxfId="3579" priority="2541" operator="lessThan">
      <formula>0</formula>
    </cfRule>
    <cfRule type="cellIs" dxfId="3578" priority="2542" operator="greaterThan">
      <formula>0</formula>
    </cfRule>
  </conditionalFormatting>
  <conditionalFormatting sqref="TR43:TR44">
    <cfRule type="cellIs" dxfId="3577" priority="2519" operator="lessThan">
      <formula>0</formula>
    </cfRule>
    <cfRule type="cellIs" dxfId="3576" priority="2520" operator="greaterThan">
      <formula>0</formula>
    </cfRule>
  </conditionalFormatting>
  <conditionalFormatting sqref="TR11 TR19 TR3 TR24:TR32 TR34:TR42 TR69:TR79">
    <cfRule type="cellIs" dxfId="3575" priority="2547" operator="lessThan">
      <formula>0</formula>
    </cfRule>
    <cfRule type="cellIs" dxfId="3574" priority="2548" operator="greaterThan">
      <formula>0</formula>
    </cfRule>
  </conditionalFormatting>
  <conditionalFormatting sqref="TR4:TR5">
    <cfRule type="cellIs" dxfId="3573" priority="2543" operator="lessThan">
      <formula>0</formula>
    </cfRule>
    <cfRule type="cellIs" dxfId="3572" priority="2544" operator="greaterThan">
      <formula>0</formula>
    </cfRule>
  </conditionalFormatting>
  <conditionalFormatting sqref="TR12:TR13">
    <cfRule type="cellIs" dxfId="3571" priority="2539" operator="lessThan">
      <formula>0</formula>
    </cfRule>
    <cfRule type="cellIs" dxfId="3570" priority="2540" operator="greaterThan">
      <formula>0</formula>
    </cfRule>
  </conditionalFormatting>
  <conditionalFormatting sqref="TR14:TR19">
    <cfRule type="cellIs" dxfId="3569" priority="2537" operator="lessThan">
      <formula>0</formula>
    </cfRule>
    <cfRule type="cellIs" dxfId="3568" priority="2538" operator="greaterThan">
      <formula>0</formula>
    </cfRule>
  </conditionalFormatting>
  <conditionalFormatting sqref="TR20:TR22">
    <cfRule type="cellIs" dxfId="3567" priority="2535" operator="lessThan">
      <formula>0</formula>
    </cfRule>
    <cfRule type="cellIs" dxfId="3566" priority="2536" operator="greaterThan">
      <formula>0</formula>
    </cfRule>
  </conditionalFormatting>
  <conditionalFormatting sqref="TR45:TR46">
    <cfRule type="cellIs" dxfId="3565" priority="2545" operator="lessThan">
      <formula>0</formula>
    </cfRule>
    <cfRule type="cellIs" dxfId="3564" priority="2546" operator="greaterThan">
      <formula>0</formula>
    </cfRule>
  </conditionalFormatting>
  <conditionalFormatting sqref="TR7">
    <cfRule type="cellIs" dxfId="3563" priority="2533" operator="lessThan">
      <formula>0</formula>
    </cfRule>
    <cfRule type="cellIs" dxfId="3562" priority="2534" operator="greaterThan">
      <formula>0</formula>
    </cfRule>
  </conditionalFormatting>
  <conditionalFormatting sqref="TR7">
    <cfRule type="cellIs" dxfId="3561" priority="2531" operator="lessThan">
      <formula>0</formula>
    </cfRule>
    <cfRule type="cellIs" dxfId="3560" priority="2532" operator="greaterThan">
      <formula>0</formula>
    </cfRule>
  </conditionalFormatting>
  <conditionalFormatting sqref="TR8">
    <cfRule type="cellIs" dxfId="3559" priority="2529" operator="lessThan">
      <formula>0</formula>
    </cfRule>
    <cfRule type="cellIs" dxfId="3558" priority="2530" operator="greaterThan">
      <formula>0</formula>
    </cfRule>
  </conditionalFormatting>
  <conditionalFormatting sqref="TR47">
    <cfRule type="cellIs" dxfId="3557" priority="2527" operator="lessThan">
      <formula>0</formula>
    </cfRule>
    <cfRule type="cellIs" dxfId="3556" priority="2528" operator="greaterThan">
      <formula>0</formula>
    </cfRule>
  </conditionalFormatting>
  <conditionalFormatting sqref="TR44">
    <cfRule type="cellIs" dxfId="3555" priority="2525" operator="lessThan">
      <formula>0</formula>
    </cfRule>
    <cfRule type="cellIs" dxfId="3554" priority="2526" operator="greaterThan">
      <formula>0</formula>
    </cfRule>
  </conditionalFormatting>
  <conditionalFormatting sqref="TR23:TR24">
    <cfRule type="cellIs" dxfId="3553" priority="2523" operator="lessThan">
      <formula>0</formula>
    </cfRule>
    <cfRule type="cellIs" dxfId="3552" priority="2524" operator="greaterThan">
      <formula>0</formula>
    </cfRule>
  </conditionalFormatting>
  <conditionalFormatting sqref="TR33:TR34">
    <cfRule type="cellIs" dxfId="3551" priority="2521" operator="lessThan">
      <formula>0</formula>
    </cfRule>
    <cfRule type="cellIs" dxfId="3550" priority="2522" operator="greaterThan">
      <formula>0</formula>
    </cfRule>
  </conditionalFormatting>
  <conditionalFormatting sqref="TR101">
    <cfRule type="cellIs" dxfId="3549" priority="2515" operator="lessThan">
      <formula>0</formula>
    </cfRule>
    <cfRule type="cellIs" dxfId="3548" priority="2516" operator="greaterThan">
      <formula>0</formula>
    </cfRule>
  </conditionalFormatting>
  <conditionalFormatting sqref="TR104">
    <cfRule type="cellIs" dxfId="3547" priority="2513" operator="lessThan">
      <formula>0</formula>
    </cfRule>
    <cfRule type="cellIs" dxfId="3546" priority="2514" operator="greaterThan">
      <formula>0</formula>
    </cfRule>
  </conditionalFormatting>
  <conditionalFormatting sqref="TR48:TR49">
    <cfRule type="cellIs" dxfId="3545" priority="2511" operator="lessThan">
      <formula>0</formula>
    </cfRule>
    <cfRule type="cellIs" dxfId="3544" priority="2512" operator="greaterThan">
      <formula>0</formula>
    </cfRule>
  </conditionalFormatting>
  <conditionalFormatting sqref="TT91:TT96">
    <cfRule type="cellIs" dxfId="3543" priority="2509" operator="lessThan">
      <formula>0</formula>
    </cfRule>
    <cfRule type="cellIs" dxfId="3542" priority="2510" operator="greaterThan">
      <formula>0</formula>
    </cfRule>
  </conditionalFormatting>
  <conditionalFormatting sqref="TT50:TT68 TT80:TT90">
    <cfRule type="cellIs" dxfId="3541" priority="2507" operator="lessThan">
      <formula>0</formula>
    </cfRule>
    <cfRule type="cellIs" dxfId="3540" priority="2508" operator="greaterThan">
      <formula>0</formula>
    </cfRule>
  </conditionalFormatting>
  <conditionalFormatting sqref="TT98">
    <cfRule type="cellIs" dxfId="3539" priority="2475" operator="lessThan">
      <formula>0</formula>
    </cfRule>
    <cfRule type="cellIs" dxfId="3538" priority="2476" operator="greaterThan">
      <formula>0</formula>
    </cfRule>
  </conditionalFormatting>
  <conditionalFormatting sqref="TT6 TT9:TT11">
    <cfRule type="cellIs" dxfId="3537" priority="2499" operator="lessThan">
      <formula>0</formula>
    </cfRule>
    <cfRule type="cellIs" dxfId="3536" priority="2500" operator="greaterThan">
      <formula>0</formula>
    </cfRule>
  </conditionalFormatting>
  <conditionalFormatting sqref="TT43:TT44">
    <cfRule type="cellIs" dxfId="3535" priority="2477" operator="lessThan">
      <formula>0</formula>
    </cfRule>
    <cfRule type="cellIs" dxfId="3534" priority="2478" operator="greaterThan">
      <formula>0</formula>
    </cfRule>
  </conditionalFormatting>
  <conditionalFormatting sqref="TT11 TT19 TT3 TT24:TT32 TT34:TT42 TT69:TT79">
    <cfRule type="cellIs" dxfId="3533" priority="2505" operator="lessThan">
      <formula>0</formula>
    </cfRule>
    <cfRule type="cellIs" dxfId="3532" priority="2506" operator="greaterThan">
      <formula>0</formula>
    </cfRule>
  </conditionalFormatting>
  <conditionalFormatting sqref="TT4:TT5">
    <cfRule type="cellIs" dxfId="3531" priority="2501" operator="lessThan">
      <formula>0</formula>
    </cfRule>
    <cfRule type="cellIs" dxfId="3530" priority="2502" operator="greaterThan">
      <formula>0</formula>
    </cfRule>
  </conditionalFormatting>
  <conditionalFormatting sqref="TT12:TT13">
    <cfRule type="cellIs" dxfId="3529" priority="2497" operator="lessThan">
      <formula>0</formula>
    </cfRule>
    <cfRule type="cellIs" dxfId="3528" priority="2498" operator="greaterThan">
      <formula>0</formula>
    </cfRule>
  </conditionalFormatting>
  <conditionalFormatting sqref="TT14:TT19">
    <cfRule type="cellIs" dxfId="3527" priority="2495" operator="lessThan">
      <formula>0</formula>
    </cfRule>
    <cfRule type="cellIs" dxfId="3526" priority="2496" operator="greaterThan">
      <formula>0</formula>
    </cfRule>
  </conditionalFormatting>
  <conditionalFormatting sqref="TT20:TT22">
    <cfRule type="cellIs" dxfId="3525" priority="2493" operator="lessThan">
      <formula>0</formula>
    </cfRule>
    <cfRule type="cellIs" dxfId="3524" priority="2494" operator="greaterThan">
      <formula>0</formula>
    </cfRule>
  </conditionalFormatting>
  <conditionalFormatting sqref="TT45:TT46">
    <cfRule type="cellIs" dxfId="3523" priority="2503" operator="lessThan">
      <formula>0</formula>
    </cfRule>
    <cfRule type="cellIs" dxfId="3522" priority="2504" operator="greaterThan">
      <formula>0</formula>
    </cfRule>
  </conditionalFormatting>
  <conditionalFormatting sqref="TT7">
    <cfRule type="cellIs" dxfId="3521" priority="2491" operator="lessThan">
      <formula>0</formula>
    </cfRule>
    <cfRule type="cellIs" dxfId="3520" priority="2492" operator="greaterThan">
      <formula>0</formula>
    </cfRule>
  </conditionalFormatting>
  <conditionalFormatting sqref="TT7">
    <cfRule type="cellIs" dxfId="3519" priority="2489" operator="lessThan">
      <formula>0</formula>
    </cfRule>
    <cfRule type="cellIs" dxfId="3518" priority="2490" operator="greaterThan">
      <formula>0</formula>
    </cfRule>
  </conditionalFormatting>
  <conditionalFormatting sqref="TT8">
    <cfRule type="cellIs" dxfId="3517" priority="2487" operator="lessThan">
      <formula>0</formula>
    </cfRule>
    <cfRule type="cellIs" dxfId="3516" priority="2488" operator="greaterThan">
      <formula>0</formula>
    </cfRule>
  </conditionalFormatting>
  <conditionalFormatting sqref="TT47">
    <cfRule type="cellIs" dxfId="3515" priority="2485" operator="lessThan">
      <formula>0</formula>
    </cfRule>
    <cfRule type="cellIs" dxfId="3514" priority="2486" operator="greaterThan">
      <formula>0</formula>
    </cfRule>
  </conditionalFormatting>
  <conditionalFormatting sqref="TT44">
    <cfRule type="cellIs" dxfId="3513" priority="2483" operator="lessThan">
      <formula>0</formula>
    </cfRule>
    <cfRule type="cellIs" dxfId="3512" priority="2484" operator="greaterThan">
      <formula>0</formula>
    </cfRule>
  </conditionalFormatting>
  <conditionalFormatting sqref="TT23:TT24">
    <cfRule type="cellIs" dxfId="3511" priority="2481" operator="lessThan">
      <formula>0</formula>
    </cfRule>
    <cfRule type="cellIs" dxfId="3510" priority="2482" operator="greaterThan">
      <formula>0</formula>
    </cfRule>
  </conditionalFormatting>
  <conditionalFormatting sqref="TT33:TT34">
    <cfRule type="cellIs" dxfId="3509" priority="2479" operator="lessThan">
      <formula>0</formula>
    </cfRule>
    <cfRule type="cellIs" dxfId="3508" priority="2480" operator="greaterThan">
      <formula>0</formula>
    </cfRule>
  </conditionalFormatting>
  <conditionalFormatting sqref="TT101">
    <cfRule type="cellIs" dxfId="3507" priority="2473" operator="lessThan">
      <formula>0</formula>
    </cfRule>
    <cfRule type="cellIs" dxfId="3506" priority="2474" operator="greaterThan">
      <formula>0</formula>
    </cfRule>
  </conditionalFormatting>
  <conditionalFormatting sqref="TT104">
    <cfRule type="cellIs" dxfId="3505" priority="2471" operator="lessThan">
      <formula>0</formula>
    </cfRule>
    <cfRule type="cellIs" dxfId="3504" priority="2472" operator="greaterThan">
      <formula>0</formula>
    </cfRule>
  </conditionalFormatting>
  <conditionalFormatting sqref="TT48:TT49">
    <cfRule type="cellIs" dxfId="3503" priority="2469" operator="lessThan">
      <formula>0</formula>
    </cfRule>
    <cfRule type="cellIs" dxfId="3502" priority="2470" operator="greaterThan">
      <formula>0</formula>
    </cfRule>
  </conditionalFormatting>
  <conditionalFormatting sqref="TV91:TV96">
    <cfRule type="cellIs" dxfId="3501" priority="2467" operator="lessThan">
      <formula>0</formula>
    </cfRule>
    <cfRule type="cellIs" dxfId="3500" priority="2468" operator="greaterThan">
      <formula>0</formula>
    </cfRule>
  </conditionalFormatting>
  <conditionalFormatting sqref="TV50:TV68 TV80:TV90">
    <cfRule type="cellIs" dxfId="3499" priority="2465" operator="lessThan">
      <formula>0</formula>
    </cfRule>
    <cfRule type="cellIs" dxfId="3498" priority="2466" operator="greaterThan">
      <formula>0</formula>
    </cfRule>
  </conditionalFormatting>
  <conditionalFormatting sqref="TV98">
    <cfRule type="cellIs" dxfId="3497" priority="2433" operator="lessThan">
      <formula>0</formula>
    </cfRule>
    <cfRule type="cellIs" dxfId="3496" priority="2434" operator="greaterThan">
      <formula>0</formula>
    </cfRule>
  </conditionalFormatting>
  <conditionalFormatting sqref="TV6 TV9:TV11">
    <cfRule type="cellIs" dxfId="3495" priority="2457" operator="lessThan">
      <formula>0</formula>
    </cfRule>
    <cfRule type="cellIs" dxfId="3494" priority="2458" operator="greaterThan">
      <formula>0</formula>
    </cfRule>
  </conditionalFormatting>
  <conditionalFormatting sqref="TV43:TV44">
    <cfRule type="cellIs" dxfId="3493" priority="2435" operator="lessThan">
      <formula>0</formula>
    </cfRule>
    <cfRule type="cellIs" dxfId="3492" priority="2436" operator="greaterThan">
      <formula>0</formula>
    </cfRule>
  </conditionalFormatting>
  <conditionalFormatting sqref="TV11 TV19 TV3 TV24:TV32 TV34:TV42 TV69:TV79">
    <cfRule type="cellIs" dxfId="3491" priority="2463" operator="lessThan">
      <formula>0</formula>
    </cfRule>
    <cfRule type="cellIs" dxfId="3490" priority="2464" operator="greaterThan">
      <formula>0</formula>
    </cfRule>
  </conditionalFormatting>
  <conditionalFormatting sqref="TV4:TV5">
    <cfRule type="cellIs" dxfId="3489" priority="2459" operator="lessThan">
      <formula>0</formula>
    </cfRule>
    <cfRule type="cellIs" dxfId="3488" priority="2460" operator="greaterThan">
      <formula>0</formula>
    </cfRule>
  </conditionalFormatting>
  <conditionalFormatting sqref="TV12:TV13">
    <cfRule type="cellIs" dxfId="3487" priority="2455" operator="lessThan">
      <formula>0</formula>
    </cfRule>
    <cfRule type="cellIs" dxfId="3486" priority="2456" operator="greaterThan">
      <formula>0</formula>
    </cfRule>
  </conditionalFormatting>
  <conditionalFormatting sqref="TV14:TV19">
    <cfRule type="cellIs" dxfId="3485" priority="2453" operator="lessThan">
      <formula>0</formula>
    </cfRule>
    <cfRule type="cellIs" dxfId="3484" priority="2454" operator="greaterThan">
      <formula>0</formula>
    </cfRule>
  </conditionalFormatting>
  <conditionalFormatting sqref="TV20:TV22">
    <cfRule type="cellIs" dxfId="3483" priority="2451" operator="lessThan">
      <formula>0</formula>
    </cfRule>
    <cfRule type="cellIs" dxfId="3482" priority="2452" operator="greaterThan">
      <formula>0</formula>
    </cfRule>
  </conditionalFormatting>
  <conditionalFormatting sqref="TV45:TV46">
    <cfRule type="cellIs" dxfId="3481" priority="2461" operator="lessThan">
      <formula>0</formula>
    </cfRule>
    <cfRule type="cellIs" dxfId="3480" priority="2462" operator="greaterThan">
      <formula>0</formula>
    </cfRule>
  </conditionalFormatting>
  <conditionalFormatting sqref="TV7">
    <cfRule type="cellIs" dxfId="3479" priority="2449" operator="lessThan">
      <formula>0</formula>
    </cfRule>
    <cfRule type="cellIs" dxfId="3478" priority="2450" operator="greaterThan">
      <formula>0</formula>
    </cfRule>
  </conditionalFormatting>
  <conditionalFormatting sqref="TV7">
    <cfRule type="cellIs" dxfId="3477" priority="2447" operator="lessThan">
      <formula>0</formula>
    </cfRule>
    <cfRule type="cellIs" dxfId="3476" priority="2448" operator="greaterThan">
      <formula>0</formula>
    </cfRule>
  </conditionalFormatting>
  <conditionalFormatting sqref="TV8">
    <cfRule type="cellIs" dxfId="3475" priority="2445" operator="lessThan">
      <formula>0</formula>
    </cfRule>
    <cfRule type="cellIs" dxfId="3474" priority="2446" operator="greaterThan">
      <formula>0</formula>
    </cfRule>
  </conditionalFormatting>
  <conditionalFormatting sqref="TV47">
    <cfRule type="cellIs" dxfId="3473" priority="2443" operator="lessThan">
      <formula>0</formula>
    </cfRule>
    <cfRule type="cellIs" dxfId="3472" priority="2444" operator="greaterThan">
      <formula>0</formula>
    </cfRule>
  </conditionalFormatting>
  <conditionalFormatting sqref="TV44">
    <cfRule type="cellIs" dxfId="3471" priority="2441" operator="lessThan">
      <formula>0</formula>
    </cfRule>
    <cfRule type="cellIs" dxfId="3470" priority="2442" operator="greaterThan">
      <formula>0</formula>
    </cfRule>
  </conditionalFormatting>
  <conditionalFormatting sqref="TV23:TV24">
    <cfRule type="cellIs" dxfId="3469" priority="2439" operator="lessThan">
      <formula>0</formula>
    </cfRule>
    <cfRule type="cellIs" dxfId="3468" priority="2440" operator="greaterThan">
      <formula>0</formula>
    </cfRule>
  </conditionalFormatting>
  <conditionalFormatting sqref="TV33:TV34">
    <cfRule type="cellIs" dxfId="3467" priority="2437" operator="lessThan">
      <formula>0</formula>
    </cfRule>
    <cfRule type="cellIs" dxfId="3466" priority="2438" operator="greaterThan">
      <formula>0</formula>
    </cfRule>
  </conditionalFormatting>
  <conditionalFormatting sqref="TV101">
    <cfRule type="cellIs" dxfId="3465" priority="2431" operator="lessThan">
      <formula>0</formula>
    </cfRule>
    <cfRule type="cellIs" dxfId="3464" priority="2432" operator="greaterThan">
      <formula>0</formula>
    </cfRule>
  </conditionalFormatting>
  <conditionalFormatting sqref="TV104">
    <cfRule type="cellIs" dxfId="3463" priority="2429" operator="lessThan">
      <formula>0</formula>
    </cfRule>
    <cfRule type="cellIs" dxfId="3462" priority="2430" operator="greaterThan">
      <formula>0</formula>
    </cfRule>
  </conditionalFormatting>
  <conditionalFormatting sqref="TV48:TV49">
    <cfRule type="cellIs" dxfId="3461" priority="2427" operator="lessThan">
      <formula>0</formula>
    </cfRule>
    <cfRule type="cellIs" dxfId="3460" priority="2428" operator="greaterThan">
      <formula>0</formula>
    </cfRule>
  </conditionalFormatting>
  <conditionalFormatting sqref="TX91:TX96">
    <cfRule type="cellIs" dxfId="3459" priority="2414" operator="lessThan">
      <formula>0</formula>
    </cfRule>
    <cfRule type="cellIs" dxfId="3458" priority="2415" operator="greaterThan">
      <formula>0</formula>
    </cfRule>
  </conditionalFormatting>
  <conditionalFormatting sqref="TX50:TX68 TX80:TX90">
    <cfRule type="cellIs" dxfId="3457" priority="2412" operator="lessThan">
      <formula>0</formula>
    </cfRule>
    <cfRule type="cellIs" dxfId="3456" priority="2413" operator="greaterThan">
      <formula>0</formula>
    </cfRule>
  </conditionalFormatting>
  <conditionalFormatting sqref="TX98">
    <cfRule type="cellIs" dxfId="3455" priority="2380" operator="lessThan">
      <formula>0</formula>
    </cfRule>
    <cfRule type="cellIs" dxfId="3454" priority="2381" operator="greaterThan">
      <formula>0</formula>
    </cfRule>
  </conditionalFormatting>
  <conditionalFormatting sqref="TX6 TX9:TX11">
    <cfRule type="cellIs" dxfId="3453" priority="2404" operator="lessThan">
      <formula>0</formula>
    </cfRule>
    <cfRule type="cellIs" dxfId="3452" priority="2405" operator="greaterThan">
      <formula>0</formula>
    </cfRule>
  </conditionalFormatting>
  <conditionalFormatting sqref="TX43:TX44">
    <cfRule type="cellIs" dxfId="3451" priority="2382" operator="lessThan">
      <formula>0</formula>
    </cfRule>
    <cfRule type="cellIs" dxfId="3450" priority="2383" operator="greaterThan">
      <formula>0</formula>
    </cfRule>
  </conditionalFormatting>
  <conditionalFormatting sqref="TX11 TX19 TX3 TX24:TX32 TX34:TX42 TX69:TX79">
    <cfRule type="cellIs" dxfId="3449" priority="2410" operator="lessThan">
      <formula>0</formula>
    </cfRule>
    <cfRule type="cellIs" dxfId="3448" priority="2411" operator="greaterThan">
      <formula>0</formula>
    </cfRule>
  </conditionalFormatting>
  <conditionalFormatting sqref="TX4:TX5">
    <cfRule type="cellIs" dxfId="3447" priority="2406" operator="lessThan">
      <formula>0</formula>
    </cfRule>
    <cfRule type="cellIs" dxfId="3446" priority="2407" operator="greaterThan">
      <formula>0</formula>
    </cfRule>
  </conditionalFormatting>
  <conditionalFormatting sqref="TX12:TX13">
    <cfRule type="cellIs" dxfId="3445" priority="2402" operator="lessThan">
      <formula>0</formula>
    </cfRule>
    <cfRule type="cellIs" dxfId="3444" priority="2403" operator="greaterThan">
      <formula>0</formula>
    </cfRule>
  </conditionalFormatting>
  <conditionalFormatting sqref="TX14:TX19">
    <cfRule type="cellIs" dxfId="3443" priority="2400" operator="lessThan">
      <formula>0</formula>
    </cfRule>
    <cfRule type="cellIs" dxfId="3442" priority="2401" operator="greaterThan">
      <formula>0</formula>
    </cfRule>
  </conditionalFormatting>
  <conditionalFormatting sqref="TX20:TX22">
    <cfRule type="cellIs" dxfId="3441" priority="2398" operator="lessThan">
      <formula>0</formula>
    </cfRule>
    <cfRule type="cellIs" dxfId="3440" priority="2399" operator="greaterThan">
      <formula>0</formula>
    </cfRule>
  </conditionalFormatting>
  <conditionalFormatting sqref="TX45:TX46">
    <cfRule type="cellIs" dxfId="3439" priority="2408" operator="lessThan">
      <formula>0</formula>
    </cfRule>
    <cfRule type="cellIs" dxfId="3438" priority="2409" operator="greaterThan">
      <formula>0</formula>
    </cfRule>
  </conditionalFormatting>
  <conditionalFormatting sqref="TX7">
    <cfRule type="cellIs" dxfId="3437" priority="2396" operator="lessThan">
      <formula>0</formula>
    </cfRule>
    <cfRule type="cellIs" dxfId="3436" priority="2397" operator="greaterThan">
      <formula>0</formula>
    </cfRule>
  </conditionalFormatting>
  <conditionalFormatting sqref="TX7">
    <cfRule type="cellIs" dxfId="3435" priority="2394" operator="lessThan">
      <formula>0</formula>
    </cfRule>
    <cfRule type="cellIs" dxfId="3434" priority="2395" operator="greaterThan">
      <formula>0</formula>
    </cfRule>
  </conditionalFormatting>
  <conditionalFormatting sqref="TX8">
    <cfRule type="cellIs" dxfId="3433" priority="2392" operator="lessThan">
      <formula>0</formula>
    </cfRule>
    <cfRule type="cellIs" dxfId="3432" priority="2393" operator="greaterThan">
      <formula>0</formula>
    </cfRule>
  </conditionalFormatting>
  <conditionalFormatting sqref="TX47">
    <cfRule type="cellIs" dxfId="3431" priority="2390" operator="lessThan">
      <formula>0</formula>
    </cfRule>
    <cfRule type="cellIs" dxfId="3430" priority="2391" operator="greaterThan">
      <formula>0</formula>
    </cfRule>
  </conditionalFormatting>
  <conditionalFormatting sqref="TX44">
    <cfRule type="cellIs" dxfId="3429" priority="2388" operator="lessThan">
      <formula>0</formula>
    </cfRule>
    <cfRule type="cellIs" dxfId="3428" priority="2389" operator="greaterThan">
      <formula>0</formula>
    </cfRule>
  </conditionalFormatting>
  <conditionalFormatting sqref="TX23:TX24">
    <cfRule type="cellIs" dxfId="3427" priority="2386" operator="lessThan">
      <formula>0</formula>
    </cfRule>
    <cfRule type="cellIs" dxfId="3426" priority="2387" operator="greaterThan">
      <formula>0</formula>
    </cfRule>
  </conditionalFormatting>
  <conditionalFormatting sqref="TX33:TX34">
    <cfRule type="cellIs" dxfId="3425" priority="2384" operator="lessThan">
      <formula>0</formula>
    </cfRule>
    <cfRule type="cellIs" dxfId="3424" priority="2385" operator="greaterThan">
      <formula>0</formula>
    </cfRule>
  </conditionalFormatting>
  <conditionalFormatting sqref="TX101">
    <cfRule type="cellIs" dxfId="3423" priority="2378" operator="lessThan">
      <formula>0</formula>
    </cfRule>
    <cfRule type="cellIs" dxfId="3422" priority="2379" operator="greaterThan">
      <formula>0</formula>
    </cfRule>
  </conditionalFormatting>
  <conditionalFormatting sqref="TX104">
    <cfRule type="cellIs" dxfId="3421" priority="2376" operator="lessThan">
      <formula>0</formula>
    </cfRule>
    <cfRule type="cellIs" dxfId="3420" priority="2377" operator="greaterThan">
      <formula>0</formula>
    </cfRule>
  </conditionalFormatting>
  <conditionalFormatting sqref="TX48:TX49">
    <cfRule type="cellIs" dxfId="3419" priority="2374" operator="lessThan">
      <formula>0</formula>
    </cfRule>
    <cfRule type="cellIs" dxfId="3418" priority="2375" operator="greaterThan">
      <formula>0</formula>
    </cfRule>
  </conditionalFormatting>
  <conditionalFormatting sqref="TZ91:TZ96">
    <cfRule type="cellIs" dxfId="3417" priority="2361" operator="lessThan">
      <formula>0</formula>
    </cfRule>
    <cfRule type="cellIs" dxfId="3416" priority="2362" operator="greaterThan">
      <formula>0</formula>
    </cfRule>
  </conditionalFormatting>
  <conditionalFormatting sqref="TZ50:TZ68 TZ80:TZ90">
    <cfRule type="cellIs" dxfId="3415" priority="2359" operator="lessThan">
      <formula>0</formula>
    </cfRule>
    <cfRule type="cellIs" dxfId="3414" priority="2360" operator="greaterThan">
      <formula>0</formula>
    </cfRule>
  </conditionalFormatting>
  <conditionalFormatting sqref="TZ98">
    <cfRule type="cellIs" dxfId="3413" priority="2327" operator="lessThan">
      <formula>0</formula>
    </cfRule>
    <cfRule type="cellIs" dxfId="3412" priority="2328" operator="greaterThan">
      <formula>0</formula>
    </cfRule>
  </conditionalFormatting>
  <conditionalFormatting sqref="TZ6 TZ9:TZ11">
    <cfRule type="cellIs" dxfId="3411" priority="2351" operator="lessThan">
      <formula>0</formula>
    </cfRule>
    <cfRule type="cellIs" dxfId="3410" priority="2352" operator="greaterThan">
      <formula>0</formula>
    </cfRule>
  </conditionalFormatting>
  <conditionalFormatting sqref="TZ43:TZ44">
    <cfRule type="cellIs" dxfId="3409" priority="2329" operator="lessThan">
      <formula>0</formula>
    </cfRule>
    <cfRule type="cellIs" dxfId="3408" priority="2330" operator="greaterThan">
      <formula>0</formula>
    </cfRule>
  </conditionalFormatting>
  <conditionalFormatting sqref="TZ11 TZ19 TZ3 TZ24:TZ32 TZ34:TZ42 TZ69:TZ79">
    <cfRule type="cellIs" dxfId="3407" priority="2357" operator="lessThan">
      <formula>0</formula>
    </cfRule>
    <cfRule type="cellIs" dxfId="3406" priority="2358" operator="greaterThan">
      <formula>0</formula>
    </cfRule>
  </conditionalFormatting>
  <conditionalFormatting sqref="TZ4:TZ5">
    <cfRule type="cellIs" dxfId="3405" priority="2353" operator="lessThan">
      <formula>0</formula>
    </cfRule>
    <cfRule type="cellIs" dxfId="3404" priority="2354" operator="greaterThan">
      <formula>0</formula>
    </cfRule>
  </conditionalFormatting>
  <conditionalFormatting sqref="TZ12:TZ13">
    <cfRule type="cellIs" dxfId="3403" priority="2349" operator="lessThan">
      <formula>0</formula>
    </cfRule>
    <cfRule type="cellIs" dxfId="3402" priority="2350" operator="greaterThan">
      <formula>0</formula>
    </cfRule>
  </conditionalFormatting>
  <conditionalFormatting sqref="TZ14:TZ19">
    <cfRule type="cellIs" dxfId="3401" priority="2347" operator="lessThan">
      <formula>0</formula>
    </cfRule>
    <cfRule type="cellIs" dxfId="3400" priority="2348" operator="greaterThan">
      <formula>0</formula>
    </cfRule>
  </conditionalFormatting>
  <conditionalFormatting sqref="TZ20:TZ22">
    <cfRule type="cellIs" dxfId="3399" priority="2345" operator="lessThan">
      <formula>0</formula>
    </cfRule>
    <cfRule type="cellIs" dxfId="3398" priority="2346" operator="greaterThan">
      <formula>0</formula>
    </cfRule>
  </conditionalFormatting>
  <conditionalFormatting sqref="TZ45:TZ46">
    <cfRule type="cellIs" dxfId="3397" priority="2355" operator="lessThan">
      <formula>0</formula>
    </cfRule>
    <cfRule type="cellIs" dxfId="3396" priority="2356" operator="greaterThan">
      <formula>0</formula>
    </cfRule>
  </conditionalFormatting>
  <conditionalFormatting sqref="TZ7">
    <cfRule type="cellIs" dxfId="3395" priority="2343" operator="lessThan">
      <formula>0</formula>
    </cfRule>
    <cfRule type="cellIs" dxfId="3394" priority="2344" operator="greaterThan">
      <formula>0</formula>
    </cfRule>
  </conditionalFormatting>
  <conditionalFormatting sqref="TZ7">
    <cfRule type="cellIs" dxfId="3393" priority="2341" operator="lessThan">
      <formula>0</formula>
    </cfRule>
    <cfRule type="cellIs" dxfId="3392" priority="2342" operator="greaterThan">
      <formula>0</formula>
    </cfRule>
  </conditionalFormatting>
  <conditionalFormatting sqref="TZ8">
    <cfRule type="cellIs" dxfId="3391" priority="2339" operator="lessThan">
      <formula>0</formula>
    </cfRule>
    <cfRule type="cellIs" dxfId="3390" priority="2340" operator="greaterThan">
      <formula>0</formula>
    </cfRule>
  </conditionalFormatting>
  <conditionalFormatting sqref="TZ47">
    <cfRule type="cellIs" dxfId="3389" priority="2337" operator="lessThan">
      <formula>0</formula>
    </cfRule>
    <cfRule type="cellIs" dxfId="3388" priority="2338" operator="greaterThan">
      <formula>0</formula>
    </cfRule>
  </conditionalFormatting>
  <conditionalFormatting sqref="TZ44">
    <cfRule type="cellIs" dxfId="3387" priority="2335" operator="lessThan">
      <formula>0</formula>
    </cfRule>
    <cfRule type="cellIs" dxfId="3386" priority="2336" operator="greaterThan">
      <formula>0</formula>
    </cfRule>
  </conditionalFormatting>
  <conditionalFormatting sqref="TZ23:TZ24">
    <cfRule type="cellIs" dxfId="3385" priority="2333" operator="lessThan">
      <formula>0</formula>
    </cfRule>
    <cfRule type="cellIs" dxfId="3384" priority="2334" operator="greaterThan">
      <formula>0</formula>
    </cfRule>
  </conditionalFormatting>
  <conditionalFormatting sqref="TZ33:TZ34">
    <cfRule type="cellIs" dxfId="3383" priority="2331" operator="lessThan">
      <formula>0</formula>
    </cfRule>
    <cfRule type="cellIs" dxfId="3382" priority="2332" operator="greaterThan">
      <formula>0</formula>
    </cfRule>
  </conditionalFormatting>
  <conditionalFormatting sqref="TZ101">
    <cfRule type="cellIs" dxfId="3381" priority="2325" operator="lessThan">
      <formula>0</formula>
    </cfRule>
    <cfRule type="cellIs" dxfId="3380" priority="2326" operator="greaterThan">
      <formula>0</formula>
    </cfRule>
  </conditionalFormatting>
  <conditionalFormatting sqref="TZ104">
    <cfRule type="cellIs" dxfId="3379" priority="2323" operator="lessThan">
      <formula>0</formula>
    </cfRule>
    <cfRule type="cellIs" dxfId="3378" priority="2324" operator="greaterThan">
      <formula>0</formula>
    </cfRule>
  </conditionalFormatting>
  <conditionalFormatting sqref="TZ48:TZ49">
    <cfRule type="cellIs" dxfId="3377" priority="2321" operator="lessThan">
      <formula>0</formula>
    </cfRule>
    <cfRule type="cellIs" dxfId="3376" priority="2322" operator="greaterThan">
      <formula>0</formula>
    </cfRule>
  </conditionalFormatting>
  <conditionalFormatting sqref="UB91:UB96">
    <cfRule type="cellIs" dxfId="3375" priority="2319" operator="lessThan">
      <formula>0</formula>
    </cfRule>
    <cfRule type="cellIs" dxfId="3374" priority="2320" operator="greaterThan">
      <formula>0</formula>
    </cfRule>
  </conditionalFormatting>
  <conditionalFormatting sqref="UB50:UB68 UB80:UB90">
    <cfRule type="cellIs" dxfId="3373" priority="2317" operator="lessThan">
      <formula>0</formula>
    </cfRule>
    <cfRule type="cellIs" dxfId="3372" priority="2318" operator="greaterThan">
      <formula>0</formula>
    </cfRule>
  </conditionalFormatting>
  <conditionalFormatting sqref="UB98">
    <cfRule type="cellIs" dxfId="3371" priority="2285" operator="lessThan">
      <formula>0</formula>
    </cfRule>
    <cfRule type="cellIs" dxfId="3370" priority="2286" operator="greaterThan">
      <formula>0</formula>
    </cfRule>
  </conditionalFormatting>
  <conditionalFormatting sqref="UB6 UB9:UB11">
    <cfRule type="cellIs" dxfId="3369" priority="2309" operator="lessThan">
      <formula>0</formula>
    </cfRule>
    <cfRule type="cellIs" dxfId="3368" priority="2310" operator="greaterThan">
      <formula>0</formula>
    </cfRule>
  </conditionalFormatting>
  <conditionalFormatting sqref="UB43:UB44">
    <cfRule type="cellIs" dxfId="3367" priority="2287" operator="lessThan">
      <formula>0</formula>
    </cfRule>
    <cfRule type="cellIs" dxfId="3366" priority="2288" operator="greaterThan">
      <formula>0</formula>
    </cfRule>
  </conditionalFormatting>
  <conditionalFormatting sqref="UB11 UB19 UB3 UB24:UB32 UB34:UB42 UB69:UB79">
    <cfRule type="cellIs" dxfId="3365" priority="2315" operator="lessThan">
      <formula>0</formula>
    </cfRule>
    <cfRule type="cellIs" dxfId="3364" priority="2316" operator="greaterThan">
      <formula>0</formula>
    </cfRule>
  </conditionalFormatting>
  <conditionalFormatting sqref="UB4:UB5">
    <cfRule type="cellIs" dxfId="3363" priority="2311" operator="lessThan">
      <formula>0</formula>
    </cfRule>
    <cfRule type="cellIs" dxfId="3362" priority="2312" operator="greaterThan">
      <formula>0</formula>
    </cfRule>
  </conditionalFormatting>
  <conditionalFormatting sqref="UB12:UB13">
    <cfRule type="cellIs" dxfId="3361" priority="2307" operator="lessThan">
      <formula>0</formula>
    </cfRule>
    <cfRule type="cellIs" dxfId="3360" priority="2308" operator="greaterThan">
      <formula>0</formula>
    </cfRule>
  </conditionalFormatting>
  <conditionalFormatting sqref="UB14:UB19">
    <cfRule type="cellIs" dxfId="3359" priority="2305" operator="lessThan">
      <formula>0</formula>
    </cfRule>
    <cfRule type="cellIs" dxfId="3358" priority="2306" operator="greaterThan">
      <formula>0</formula>
    </cfRule>
  </conditionalFormatting>
  <conditionalFormatting sqref="UB20:UB22">
    <cfRule type="cellIs" dxfId="3357" priority="2303" operator="lessThan">
      <formula>0</formula>
    </cfRule>
    <cfRule type="cellIs" dxfId="3356" priority="2304" operator="greaterThan">
      <formula>0</formula>
    </cfRule>
  </conditionalFormatting>
  <conditionalFormatting sqref="UB45:UB46">
    <cfRule type="cellIs" dxfId="3355" priority="2313" operator="lessThan">
      <formula>0</formula>
    </cfRule>
    <cfRule type="cellIs" dxfId="3354" priority="2314" operator="greaterThan">
      <formula>0</formula>
    </cfRule>
  </conditionalFormatting>
  <conditionalFormatting sqref="UB7">
    <cfRule type="cellIs" dxfId="3353" priority="2301" operator="lessThan">
      <formula>0</formula>
    </cfRule>
    <cfRule type="cellIs" dxfId="3352" priority="2302" operator="greaterThan">
      <formula>0</formula>
    </cfRule>
  </conditionalFormatting>
  <conditionalFormatting sqref="UB7">
    <cfRule type="cellIs" dxfId="3351" priority="2299" operator="lessThan">
      <formula>0</formula>
    </cfRule>
    <cfRule type="cellIs" dxfId="3350" priority="2300" operator="greaterThan">
      <formula>0</formula>
    </cfRule>
  </conditionalFormatting>
  <conditionalFormatting sqref="UB8">
    <cfRule type="cellIs" dxfId="3349" priority="2297" operator="lessThan">
      <formula>0</formula>
    </cfRule>
    <cfRule type="cellIs" dxfId="3348" priority="2298" operator="greaterThan">
      <formula>0</formula>
    </cfRule>
  </conditionalFormatting>
  <conditionalFormatting sqref="UB47">
    <cfRule type="cellIs" dxfId="3347" priority="2295" operator="lessThan">
      <formula>0</formula>
    </cfRule>
    <cfRule type="cellIs" dxfId="3346" priority="2296" operator="greaterThan">
      <formula>0</formula>
    </cfRule>
  </conditionalFormatting>
  <conditionalFormatting sqref="UB44">
    <cfRule type="cellIs" dxfId="3345" priority="2293" operator="lessThan">
      <formula>0</formula>
    </cfRule>
    <cfRule type="cellIs" dxfId="3344" priority="2294" operator="greaterThan">
      <formula>0</formula>
    </cfRule>
  </conditionalFormatting>
  <conditionalFormatting sqref="UB23:UB24">
    <cfRule type="cellIs" dxfId="3343" priority="2291" operator="lessThan">
      <formula>0</formula>
    </cfRule>
    <cfRule type="cellIs" dxfId="3342" priority="2292" operator="greaterThan">
      <formula>0</formula>
    </cfRule>
  </conditionalFormatting>
  <conditionalFormatting sqref="UB33:UB34">
    <cfRule type="cellIs" dxfId="3341" priority="2289" operator="lessThan">
      <formula>0</formula>
    </cfRule>
    <cfRule type="cellIs" dxfId="3340" priority="2290" operator="greaterThan">
      <formula>0</formula>
    </cfRule>
  </conditionalFormatting>
  <conditionalFormatting sqref="UB101">
    <cfRule type="cellIs" dxfId="3339" priority="2283" operator="lessThan">
      <formula>0</formula>
    </cfRule>
    <cfRule type="cellIs" dxfId="3338" priority="2284" operator="greaterThan">
      <formula>0</formula>
    </cfRule>
  </conditionalFormatting>
  <conditionalFormatting sqref="UB104">
    <cfRule type="cellIs" dxfId="3337" priority="2281" operator="lessThan">
      <formula>0</formula>
    </cfRule>
    <cfRule type="cellIs" dxfId="3336" priority="2282" operator="greaterThan">
      <formula>0</formula>
    </cfRule>
  </conditionalFormatting>
  <conditionalFormatting sqref="UB48:UB49">
    <cfRule type="cellIs" dxfId="3335" priority="2279" operator="lessThan">
      <formula>0</formula>
    </cfRule>
    <cfRule type="cellIs" dxfId="3334" priority="2280" operator="greaterThan">
      <formula>0</formula>
    </cfRule>
  </conditionalFormatting>
  <conditionalFormatting sqref="UD91:UD96">
    <cfRule type="cellIs" dxfId="3333" priority="2266" operator="lessThan">
      <formula>0</formula>
    </cfRule>
    <cfRule type="cellIs" dxfId="3332" priority="2267" operator="greaterThan">
      <formula>0</formula>
    </cfRule>
  </conditionalFormatting>
  <conditionalFormatting sqref="UD50:UD68 UD80:UD90">
    <cfRule type="cellIs" dxfId="3331" priority="2264" operator="lessThan">
      <formula>0</formula>
    </cfRule>
    <cfRule type="cellIs" dxfId="3330" priority="2265" operator="greaterThan">
      <formula>0</formula>
    </cfRule>
  </conditionalFormatting>
  <conditionalFormatting sqref="UD98">
    <cfRule type="cellIs" dxfId="3329" priority="2232" operator="lessThan">
      <formula>0</formula>
    </cfRule>
    <cfRule type="cellIs" dxfId="3328" priority="2233" operator="greaterThan">
      <formula>0</formula>
    </cfRule>
  </conditionalFormatting>
  <conditionalFormatting sqref="UD6 UD9:UD11">
    <cfRule type="cellIs" dxfId="3327" priority="2256" operator="lessThan">
      <formula>0</formula>
    </cfRule>
    <cfRule type="cellIs" dxfId="3326" priority="2257" operator="greaterThan">
      <formula>0</formula>
    </cfRule>
  </conditionalFormatting>
  <conditionalFormatting sqref="UD43:UD44">
    <cfRule type="cellIs" dxfId="3325" priority="2234" operator="lessThan">
      <formula>0</formula>
    </cfRule>
    <cfRule type="cellIs" dxfId="3324" priority="2235" operator="greaterThan">
      <formula>0</formula>
    </cfRule>
  </conditionalFormatting>
  <conditionalFormatting sqref="UD11 UD19 UD3 UD24:UD32 UD34:UD42 UD69:UD79">
    <cfRule type="cellIs" dxfId="3323" priority="2262" operator="lessThan">
      <formula>0</formula>
    </cfRule>
    <cfRule type="cellIs" dxfId="3322" priority="2263" operator="greaterThan">
      <formula>0</formula>
    </cfRule>
  </conditionalFormatting>
  <conditionalFormatting sqref="UD4:UD5">
    <cfRule type="cellIs" dxfId="3321" priority="2258" operator="lessThan">
      <formula>0</formula>
    </cfRule>
    <cfRule type="cellIs" dxfId="3320" priority="2259" operator="greaterThan">
      <formula>0</formula>
    </cfRule>
  </conditionalFormatting>
  <conditionalFormatting sqref="UD12:UD13">
    <cfRule type="cellIs" dxfId="3319" priority="2254" operator="lessThan">
      <formula>0</formula>
    </cfRule>
    <cfRule type="cellIs" dxfId="3318" priority="2255" operator="greaterThan">
      <formula>0</formula>
    </cfRule>
  </conditionalFormatting>
  <conditionalFormatting sqref="UD14:UD19">
    <cfRule type="cellIs" dxfId="3317" priority="2252" operator="lessThan">
      <formula>0</formula>
    </cfRule>
    <cfRule type="cellIs" dxfId="3316" priority="2253" operator="greaterThan">
      <formula>0</formula>
    </cfRule>
  </conditionalFormatting>
  <conditionalFormatting sqref="UD20:UD22">
    <cfRule type="cellIs" dxfId="3315" priority="2250" operator="lessThan">
      <formula>0</formula>
    </cfRule>
    <cfRule type="cellIs" dxfId="3314" priority="2251" operator="greaterThan">
      <formula>0</formula>
    </cfRule>
  </conditionalFormatting>
  <conditionalFormatting sqref="UD45:UD46">
    <cfRule type="cellIs" dxfId="3313" priority="2260" operator="lessThan">
      <formula>0</formula>
    </cfRule>
    <cfRule type="cellIs" dxfId="3312" priority="2261" operator="greaterThan">
      <formula>0</formula>
    </cfRule>
  </conditionalFormatting>
  <conditionalFormatting sqref="UD7">
    <cfRule type="cellIs" dxfId="3311" priority="2248" operator="lessThan">
      <formula>0</formula>
    </cfRule>
    <cfRule type="cellIs" dxfId="3310" priority="2249" operator="greaterThan">
      <formula>0</formula>
    </cfRule>
  </conditionalFormatting>
  <conditionalFormatting sqref="UD7">
    <cfRule type="cellIs" dxfId="3309" priority="2246" operator="lessThan">
      <formula>0</formula>
    </cfRule>
    <cfRule type="cellIs" dxfId="3308" priority="2247" operator="greaterThan">
      <formula>0</formula>
    </cfRule>
  </conditionalFormatting>
  <conditionalFormatting sqref="UD8">
    <cfRule type="cellIs" dxfId="3307" priority="2244" operator="lessThan">
      <formula>0</formula>
    </cfRule>
    <cfRule type="cellIs" dxfId="3306" priority="2245" operator="greaterThan">
      <formula>0</formula>
    </cfRule>
  </conditionalFormatting>
  <conditionalFormatting sqref="UD47">
    <cfRule type="cellIs" dxfId="3305" priority="2242" operator="lessThan">
      <formula>0</formula>
    </cfRule>
    <cfRule type="cellIs" dxfId="3304" priority="2243" operator="greaterThan">
      <formula>0</formula>
    </cfRule>
  </conditionalFormatting>
  <conditionalFormatting sqref="UD44">
    <cfRule type="cellIs" dxfId="3303" priority="2240" operator="lessThan">
      <formula>0</formula>
    </cfRule>
    <cfRule type="cellIs" dxfId="3302" priority="2241" operator="greaterThan">
      <formula>0</formula>
    </cfRule>
  </conditionalFormatting>
  <conditionalFormatting sqref="UD23:UD24">
    <cfRule type="cellIs" dxfId="3301" priority="2238" operator="lessThan">
      <formula>0</formula>
    </cfRule>
    <cfRule type="cellIs" dxfId="3300" priority="2239" operator="greaterThan">
      <formula>0</formula>
    </cfRule>
  </conditionalFormatting>
  <conditionalFormatting sqref="UD33:UD34">
    <cfRule type="cellIs" dxfId="3299" priority="2236" operator="lessThan">
      <formula>0</formula>
    </cfRule>
    <cfRule type="cellIs" dxfId="3298" priority="2237" operator="greaterThan">
      <formula>0</formula>
    </cfRule>
  </conditionalFormatting>
  <conditionalFormatting sqref="UD101">
    <cfRule type="cellIs" dxfId="3297" priority="2230" operator="lessThan">
      <formula>0</formula>
    </cfRule>
    <cfRule type="cellIs" dxfId="3296" priority="2231" operator="greaterThan">
      <formula>0</formula>
    </cfRule>
  </conditionalFormatting>
  <conditionalFormatting sqref="UD104">
    <cfRule type="cellIs" dxfId="3295" priority="2228" operator="lessThan">
      <formula>0</formula>
    </cfRule>
    <cfRule type="cellIs" dxfId="3294" priority="2229" operator="greaterThan">
      <formula>0</formula>
    </cfRule>
  </conditionalFormatting>
  <conditionalFormatting sqref="UD48:UD49">
    <cfRule type="cellIs" dxfId="3293" priority="2226" operator="lessThan">
      <formula>0</formula>
    </cfRule>
    <cfRule type="cellIs" dxfId="3292" priority="2227" operator="greaterThan">
      <formula>0</formula>
    </cfRule>
  </conditionalFormatting>
  <conditionalFormatting sqref="UF91:UF96">
    <cfRule type="cellIs" dxfId="3291" priority="2224" operator="lessThan">
      <formula>0</formula>
    </cfRule>
    <cfRule type="cellIs" dxfId="3290" priority="2225" operator="greaterThan">
      <formula>0</formula>
    </cfRule>
  </conditionalFormatting>
  <conditionalFormatting sqref="UF50:UF68 UF80:UF90">
    <cfRule type="cellIs" dxfId="3289" priority="2222" operator="lessThan">
      <formula>0</formula>
    </cfRule>
    <cfRule type="cellIs" dxfId="3288" priority="2223" operator="greaterThan">
      <formula>0</formula>
    </cfRule>
  </conditionalFormatting>
  <conditionalFormatting sqref="UF98">
    <cfRule type="cellIs" dxfId="3287" priority="2190" operator="lessThan">
      <formula>0</formula>
    </cfRule>
    <cfRule type="cellIs" dxfId="3286" priority="2191" operator="greaterThan">
      <formula>0</formula>
    </cfRule>
  </conditionalFormatting>
  <conditionalFormatting sqref="UF6 UF9:UF11">
    <cfRule type="cellIs" dxfId="3285" priority="2214" operator="lessThan">
      <formula>0</formula>
    </cfRule>
    <cfRule type="cellIs" dxfId="3284" priority="2215" operator="greaterThan">
      <formula>0</formula>
    </cfRule>
  </conditionalFormatting>
  <conditionalFormatting sqref="UF43:UF44">
    <cfRule type="cellIs" dxfId="3283" priority="2192" operator="lessThan">
      <formula>0</formula>
    </cfRule>
    <cfRule type="cellIs" dxfId="3282" priority="2193" operator="greaterThan">
      <formula>0</formula>
    </cfRule>
  </conditionalFormatting>
  <conditionalFormatting sqref="UF11 UF19 UF3 UF24:UF32 UF34:UF42 UF69:UF79">
    <cfRule type="cellIs" dxfId="3281" priority="2220" operator="lessThan">
      <formula>0</formula>
    </cfRule>
    <cfRule type="cellIs" dxfId="3280" priority="2221" operator="greaterThan">
      <formula>0</formula>
    </cfRule>
  </conditionalFormatting>
  <conditionalFormatting sqref="UF4:UF5">
    <cfRule type="cellIs" dxfId="3279" priority="2216" operator="lessThan">
      <formula>0</formula>
    </cfRule>
    <cfRule type="cellIs" dxfId="3278" priority="2217" operator="greaterThan">
      <formula>0</formula>
    </cfRule>
  </conditionalFormatting>
  <conditionalFormatting sqref="UF12:UF13">
    <cfRule type="cellIs" dxfId="3277" priority="2212" operator="lessThan">
      <formula>0</formula>
    </cfRule>
    <cfRule type="cellIs" dxfId="3276" priority="2213" operator="greaterThan">
      <formula>0</formula>
    </cfRule>
  </conditionalFormatting>
  <conditionalFormatting sqref="UF14:UF19">
    <cfRule type="cellIs" dxfId="3275" priority="2210" operator="lessThan">
      <formula>0</formula>
    </cfRule>
    <cfRule type="cellIs" dxfId="3274" priority="2211" operator="greaterThan">
      <formula>0</formula>
    </cfRule>
  </conditionalFormatting>
  <conditionalFormatting sqref="UF20:UF22">
    <cfRule type="cellIs" dxfId="3273" priority="2208" operator="lessThan">
      <formula>0</formula>
    </cfRule>
    <cfRule type="cellIs" dxfId="3272" priority="2209" operator="greaterThan">
      <formula>0</formula>
    </cfRule>
  </conditionalFormatting>
  <conditionalFormatting sqref="UF45:UF46">
    <cfRule type="cellIs" dxfId="3271" priority="2218" operator="lessThan">
      <formula>0</formula>
    </cfRule>
    <cfRule type="cellIs" dxfId="3270" priority="2219" operator="greaterThan">
      <formula>0</formula>
    </cfRule>
  </conditionalFormatting>
  <conditionalFormatting sqref="UF7">
    <cfRule type="cellIs" dxfId="3269" priority="2206" operator="lessThan">
      <formula>0</formula>
    </cfRule>
    <cfRule type="cellIs" dxfId="3268" priority="2207" operator="greaterThan">
      <formula>0</formula>
    </cfRule>
  </conditionalFormatting>
  <conditionalFormatting sqref="UF7">
    <cfRule type="cellIs" dxfId="3267" priority="2204" operator="lessThan">
      <formula>0</formula>
    </cfRule>
    <cfRule type="cellIs" dxfId="3266" priority="2205" operator="greaterThan">
      <formula>0</formula>
    </cfRule>
  </conditionalFormatting>
  <conditionalFormatting sqref="UF8">
    <cfRule type="cellIs" dxfId="3265" priority="2202" operator="lessThan">
      <formula>0</formula>
    </cfRule>
    <cfRule type="cellIs" dxfId="3264" priority="2203" operator="greaterThan">
      <formula>0</formula>
    </cfRule>
  </conditionalFormatting>
  <conditionalFormatting sqref="UF47">
    <cfRule type="cellIs" dxfId="3263" priority="2200" operator="lessThan">
      <formula>0</formula>
    </cfRule>
    <cfRule type="cellIs" dxfId="3262" priority="2201" operator="greaterThan">
      <formula>0</formula>
    </cfRule>
  </conditionalFormatting>
  <conditionalFormatting sqref="UF44">
    <cfRule type="cellIs" dxfId="3261" priority="2198" operator="lessThan">
      <formula>0</formula>
    </cfRule>
    <cfRule type="cellIs" dxfId="3260" priority="2199" operator="greaterThan">
      <formula>0</formula>
    </cfRule>
  </conditionalFormatting>
  <conditionalFormatting sqref="UF23:UF24">
    <cfRule type="cellIs" dxfId="3259" priority="2196" operator="lessThan">
      <formula>0</formula>
    </cfRule>
    <cfRule type="cellIs" dxfId="3258" priority="2197" operator="greaterThan">
      <formula>0</formula>
    </cfRule>
  </conditionalFormatting>
  <conditionalFormatting sqref="UF33:UF34">
    <cfRule type="cellIs" dxfId="3257" priority="2194" operator="lessThan">
      <formula>0</formula>
    </cfRule>
    <cfRule type="cellIs" dxfId="3256" priority="2195" operator="greaterThan">
      <formula>0</formula>
    </cfRule>
  </conditionalFormatting>
  <conditionalFormatting sqref="UF101">
    <cfRule type="cellIs" dxfId="3255" priority="2188" operator="lessThan">
      <formula>0</formula>
    </cfRule>
    <cfRule type="cellIs" dxfId="3254" priority="2189" operator="greaterThan">
      <formula>0</formula>
    </cfRule>
  </conditionalFormatting>
  <conditionalFormatting sqref="UF104">
    <cfRule type="cellIs" dxfId="3253" priority="2186" operator="lessThan">
      <formula>0</formula>
    </cfRule>
    <cfRule type="cellIs" dxfId="3252" priority="2187" operator="greaterThan">
      <formula>0</formula>
    </cfRule>
  </conditionalFormatting>
  <conditionalFormatting sqref="UF48:UF49">
    <cfRule type="cellIs" dxfId="3251" priority="2184" operator="lessThan">
      <formula>0</formula>
    </cfRule>
    <cfRule type="cellIs" dxfId="3250" priority="2185" operator="greaterThan">
      <formula>0</formula>
    </cfRule>
  </conditionalFormatting>
  <conditionalFormatting sqref="UH91:UH96">
    <cfRule type="cellIs" dxfId="3249" priority="2182" operator="lessThan">
      <formula>0</formula>
    </cfRule>
    <cfRule type="cellIs" dxfId="3248" priority="2183" operator="greaterThan">
      <formula>0</formula>
    </cfRule>
  </conditionalFormatting>
  <conditionalFormatting sqref="UH50:UH68 UH80:UH90">
    <cfRule type="cellIs" dxfId="3247" priority="2180" operator="lessThan">
      <formula>0</formula>
    </cfRule>
    <cfRule type="cellIs" dxfId="3246" priority="2181" operator="greaterThan">
      <formula>0</formula>
    </cfRule>
  </conditionalFormatting>
  <conditionalFormatting sqref="UH98">
    <cfRule type="cellIs" dxfId="3245" priority="2148" operator="lessThan">
      <formula>0</formula>
    </cfRule>
    <cfRule type="cellIs" dxfId="3244" priority="2149" operator="greaterThan">
      <formula>0</formula>
    </cfRule>
  </conditionalFormatting>
  <conditionalFormatting sqref="UH6 UH9:UH11">
    <cfRule type="cellIs" dxfId="3243" priority="2172" operator="lessThan">
      <formula>0</formula>
    </cfRule>
    <cfRule type="cellIs" dxfId="3242" priority="2173" operator="greaterThan">
      <formula>0</formula>
    </cfRule>
  </conditionalFormatting>
  <conditionalFormatting sqref="UH43:UH44">
    <cfRule type="cellIs" dxfId="3241" priority="2150" operator="lessThan">
      <formula>0</formula>
    </cfRule>
    <cfRule type="cellIs" dxfId="3240" priority="2151" operator="greaterThan">
      <formula>0</formula>
    </cfRule>
  </conditionalFormatting>
  <conditionalFormatting sqref="UH11 UH19 UH3 UH24:UH32 UH34:UH42 UH69:UH79">
    <cfRule type="cellIs" dxfId="3239" priority="2178" operator="lessThan">
      <formula>0</formula>
    </cfRule>
    <cfRule type="cellIs" dxfId="3238" priority="2179" operator="greaterThan">
      <formula>0</formula>
    </cfRule>
  </conditionalFormatting>
  <conditionalFormatting sqref="UH4:UH5">
    <cfRule type="cellIs" dxfId="3237" priority="2174" operator="lessThan">
      <formula>0</formula>
    </cfRule>
    <cfRule type="cellIs" dxfId="3236" priority="2175" operator="greaterThan">
      <formula>0</formula>
    </cfRule>
  </conditionalFormatting>
  <conditionalFormatting sqref="UH12:UH13">
    <cfRule type="cellIs" dxfId="3235" priority="2170" operator="lessThan">
      <formula>0</formula>
    </cfRule>
    <cfRule type="cellIs" dxfId="3234" priority="2171" operator="greaterThan">
      <formula>0</formula>
    </cfRule>
  </conditionalFormatting>
  <conditionalFormatting sqref="UH14:UH19">
    <cfRule type="cellIs" dxfId="3233" priority="2168" operator="lessThan">
      <formula>0</formula>
    </cfRule>
    <cfRule type="cellIs" dxfId="3232" priority="2169" operator="greaterThan">
      <formula>0</formula>
    </cfRule>
  </conditionalFormatting>
  <conditionalFormatting sqref="UH20:UH22">
    <cfRule type="cellIs" dxfId="3231" priority="2166" operator="lessThan">
      <formula>0</formula>
    </cfRule>
    <cfRule type="cellIs" dxfId="3230" priority="2167" operator="greaterThan">
      <formula>0</formula>
    </cfRule>
  </conditionalFormatting>
  <conditionalFormatting sqref="UH45:UH46">
    <cfRule type="cellIs" dxfId="3229" priority="2176" operator="lessThan">
      <formula>0</formula>
    </cfRule>
    <cfRule type="cellIs" dxfId="3228" priority="2177" operator="greaterThan">
      <formula>0</formula>
    </cfRule>
  </conditionalFormatting>
  <conditionalFormatting sqref="UH7">
    <cfRule type="cellIs" dxfId="3227" priority="2164" operator="lessThan">
      <formula>0</formula>
    </cfRule>
    <cfRule type="cellIs" dxfId="3226" priority="2165" operator="greaterThan">
      <formula>0</formula>
    </cfRule>
  </conditionalFormatting>
  <conditionalFormatting sqref="UH7">
    <cfRule type="cellIs" dxfId="3225" priority="2162" operator="lessThan">
      <formula>0</formula>
    </cfRule>
    <cfRule type="cellIs" dxfId="3224" priority="2163" operator="greaterThan">
      <formula>0</formula>
    </cfRule>
  </conditionalFormatting>
  <conditionalFormatting sqref="UH8">
    <cfRule type="cellIs" dxfId="3223" priority="2160" operator="lessThan">
      <formula>0</formula>
    </cfRule>
    <cfRule type="cellIs" dxfId="3222" priority="2161" operator="greaterThan">
      <formula>0</formula>
    </cfRule>
  </conditionalFormatting>
  <conditionalFormatting sqref="UH47">
    <cfRule type="cellIs" dxfId="3221" priority="2158" operator="lessThan">
      <formula>0</formula>
    </cfRule>
    <cfRule type="cellIs" dxfId="3220" priority="2159" operator="greaterThan">
      <formula>0</formula>
    </cfRule>
  </conditionalFormatting>
  <conditionalFormatting sqref="UH44">
    <cfRule type="cellIs" dxfId="3219" priority="2156" operator="lessThan">
      <formula>0</formula>
    </cfRule>
    <cfRule type="cellIs" dxfId="3218" priority="2157" operator="greaterThan">
      <formula>0</formula>
    </cfRule>
  </conditionalFormatting>
  <conditionalFormatting sqref="UH23:UH24">
    <cfRule type="cellIs" dxfId="3217" priority="2154" operator="lessThan">
      <formula>0</formula>
    </cfRule>
    <cfRule type="cellIs" dxfId="3216" priority="2155" operator="greaterThan">
      <formula>0</formula>
    </cfRule>
  </conditionalFormatting>
  <conditionalFormatting sqref="UH33:UH34">
    <cfRule type="cellIs" dxfId="3215" priority="2152" operator="lessThan">
      <formula>0</formula>
    </cfRule>
    <cfRule type="cellIs" dxfId="3214" priority="2153" operator="greaterThan">
      <formula>0</formula>
    </cfRule>
  </conditionalFormatting>
  <conditionalFormatting sqref="UH101">
    <cfRule type="cellIs" dxfId="3213" priority="2146" operator="lessThan">
      <formula>0</formula>
    </cfRule>
    <cfRule type="cellIs" dxfId="3212" priority="2147" operator="greaterThan">
      <formula>0</formula>
    </cfRule>
  </conditionalFormatting>
  <conditionalFormatting sqref="UH104">
    <cfRule type="cellIs" dxfId="3211" priority="2144" operator="lessThan">
      <formula>0</formula>
    </cfRule>
    <cfRule type="cellIs" dxfId="3210" priority="2145" operator="greaterThan">
      <formula>0</formula>
    </cfRule>
  </conditionalFormatting>
  <conditionalFormatting sqref="UH48:UH49">
    <cfRule type="cellIs" dxfId="3209" priority="2142" operator="lessThan">
      <formula>0</formula>
    </cfRule>
    <cfRule type="cellIs" dxfId="3208" priority="2143" operator="greaterThan">
      <formula>0</formula>
    </cfRule>
  </conditionalFormatting>
  <conditionalFormatting sqref="UJ91:UJ96">
    <cfRule type="cellIs" dxfId="3207" priority="2140" operator="lessThan">
      <formula>0</formula>
    </cfRule>
    <cfRule type="cellIs" dxfId="3206" priority="2141" operator="greaterThan">
      <formula>0</formula>
    </cfRule>
  </conditionalFormatting>
  <conditionalFormatting sqref="UJ50:UJ68 UJ80:UJ90">
    <cfRule type="cellIs" dxfId="3205" priority="2138" operator="lessThan">
      <formula>0</formula>
    </cfRule>
    <cfRule type="cellIs" dxfId="3204" priority="2139" operator="greaterThan">
      <formula>0</formula>
    </cfRule>
  </conditionalFormatting>
  <conditionalFormatting sqref="UJ98">
    <cfRule type="cellIs" dxfId="3203" priority="2106" operator="lessThan">
      <formula>0</formula>
    </cfRule>
    <cfRule type="cellIs" dxfId="3202" priority="2107" operator="greaterThan">
      <formula>0</formula>
    </cfRule>
  </conditionalFormatting>
  <conditionalFormatting sqref="UJ6 UJ9:UJ11">
    <cfRule type="cellIs" dxfId="3201" priority="2130" operator="lessThan">
      <formula>0</formula>
    </cfRule>
    <cfRule type="cellIs" dxfId="3200" priority="2131" operator="greaterThan">
      <formula>0</formula>
    </cfRule>
  </conditionalFormatting>
  <conditionalFormatting sqref="UJ43:UJ44">
    <cfRule type="cellIs" dxfId="3199" priority="2108" operator="lessThan">
      <formula>0</formula>
    </cfRule>
    <cfRule type="cellIs" dxfId="3198" priority="2109" operator="greaterThan">
      <formula>0</formula>
    </cfRule>
  </conditionalFormatting>
  <conditionalFormatting sqref="UJ11 UJ19 UJ3 UJ24:UJ32 UJ34:UJ42 UJ69:UJ79">
    <cfRule type="cellIs" dxfId="3197" priority="2136" operator="lessThan">
      <formula>0</formula>
    </cfRule>
    <cfRule type="cellIs" dxfId="3196" priority="2137" operator="greaterThan">
      <formula>0</formula>
    </cfRule>
  </conditionalFormatting>
  <conditionalFormatting sqref="UJ4:UJ5">
    <cfRule type="cellIs" dxfId="3195" priority="2132" operator="lessThan">
      <formula>0</formula>
    </cfRule>
    <cfRule type="cellIs" dxfId="3194" priority="2133" operator="greaterThan">
      <formula>0</formula>
    </cfRule>
  </conditionalFormatting>
  <conditionalFormatting sqref="UJ12:UJ13">
    <cfRule type="cellIs" dxfId="3193" priority="2128" operator="lessThan">
      <formula>0</formula>
    </cfRule>
    <cfRule type="cellIs" dxfId="3192" priority="2129" operator="greaterThan">
      <formula>0</formula>
    </cfRule>
  </conditionalFormatting>
  <conditionalFormatting sqref="UJ14:UJ19">
    <cfRule type="cellIs" dxfId="3191" priority="2126" operator="lessThan">
      <formula>0</formula>
    </cfRule>
    <cfRule type="cellIs" dxfId="3190" priority="2127" operator="greaterThan">
      <formula>0</formula>
    </cfRule>
  </conditionalFormatting>
  <conditionalFormatting sqref="UJ20:UJ22">
    <cfRule type="cellIs" dxfId="3189" priority="2124" operator="lessThan">
      <formula>0</formula>
    </cfRule>
    <cfRule type="cellIs" dxfId="3188" priority="2125" operator="greaterThan">
      <formula>0</formula>
    </cfRule>
  </conditionalFormatting>
  <conditionalFormatting sqref="UJ45:UJ46">
    <cfRule type="cellIs" dxfId="3187" priority="2134" operator="lessThan">
      <formula>0</formula>
    </cfRule>
    <cfRule type="cellIs" dxfId="3186" priority="2135" operator="greaterThan">
      <formula>0</formula>
    </cfRule>
  </conditionalFormatting>
  <conditionalFormatting sqref="UJ7">
    <cfRule type="cellIs" dxfId="3185" priority="2122" operator="lessThan">
      <formula>0</formula>
    </cfRule>
    <cfRule type="cellIs" dxfId="3184" priority="2123" operator="greaterThan">
      <formula>0</formula>
    </cfRule>
  </conditionalFormatting>
  <conditionalFormatting sqref="UJ7">
    <cfRule type="cellIs" dxfId="3183" priority="2120" operator="lessThan">
      <formula>0</formula>
    </cfRule>
    <cfRule type="cellIs" dxfId="3182" priority="2121" operator="greaterThan">
      <formula>0</formula>
    </cfRule>
  </conditionalFormatting>
  <conditionalFormatting sqref="UJ8">
    <cfRule type="cellIs" dxfId="3181" priority="2118" operator="lessThan">
      <formula>0</formula>
    </cfRule>
    <cfRule type="cellIs" dxfId="3180" priority="2119" operator="greaterThan">
      <formula>0</formula>
    </cfRule>
  </conditionalFormatting>
  <conditionalFormatting sqref="UJ47">
    <cfRule type="cellIs" dxfId="3179" priority="2116" operator="lessThan">
      <formula>0</formula>
    </cfRule>
    <cfRule type="cellIs" dxfId="3178" priority="2117" operator="greaterThan">
      <formula>0</formula>
    </cfRule>
  </conditionalFormatting>
  <conditionalFormatting sqref="UJ44">
    <cfRule type="cellIs" dxfId="3177" priority="2114" operator="lessThan">
      <formula>0</formula>
    </cfRule>
    <cfRule type="cellIs" dxfId="3176" priority="2115" operator="greaterThan">
      <formula>0</formula>
    </cfRule>
  </conditionalFormatting>
  <conditionalFormatting sqref="UJ23:UJ24">
    <cfRule type="cellIs" dxfId="3175" priority="2112" operator="lessThan">
      <formula>0</formula>
    </cfRule>
    <cfRule type="cellIs" dxfId="3174" priority="2113" operator="greaterThan">
      <formula>0</formula>
    </cfRule>
  </conditionalFormatting>
  <conditionalFormatting sqref="UJ33:UJ34">
    <cfRule type="cellIs" dxfId="3173" priority="2110" operator="lessThan">
      <formula>0</formula>
    </cfRule>
    <cfRule type="cellIs" dxfId="3172" priority="2111" operator="greaterThan">
      <formula>0</formula>
    </cfRule>
  </conditionalFormatting>
  <conditionalFormatting sqref="UJ101">
    <cfRule type="cellIs" dxfId="3171" priority="2104" operator="lessThan">
      <formula>0</formula>
    </cfRule>
    <cfRule type="cellIs" dxfId="3170" priority="2105" operator="greaterThan">
      <formula>0</formula>
    </cfRule>
  </conditionalFormatting>
  <conditionalFormatting sqref="UJ104">
    <cfRule type="cellIs" dxfId="3169" priority="2102" operator="lessThan">
      <formula>0</formula>
    </cfRule>
    <cfRule type="cellIs" dxfId="3168" priority="2103" operator="greaterThan">
      <formula>0</formula>
    </cfRule>
  </conditionalFormatting>
  <conditionalFormatting sqref="UJ48:UJ49">
    <cfRule type="cellIs" dxfId="3167" priority="2100" operator="lessThan">
      <formula>0</formula>
    </cfRule>
    <cfRule type="cellIs" dxfId="3166" priority="2101" operator="greaterThan">
      <formula>0</formula>
    </cfRule>
  </conditionalFormatting>
  <conditionalFormatting sqref="UL91:UL96">
    <cfRule type="cellIs" dxfId="3165" priority="2087" operator="lessThan">
      <formula>0</formula>
    </cfRule>
    <cfRule type="cellIs" dxfId="3164" priority="2088" operator="greaterThan">
      <formula>0</formula>
    </cfRule>
  </conditionalFormatting>
  <conditionalFormatting sqref="UL50:UL68 UL80:UL90">
    <cfRule type="cellIs" dxfId="3163" priority="2085" operator="lessThan">
      <formula>0</formula>
    </cfRule>
    <cfRule type="cellIs" dxfId="3162" priority="2086" operator="greaterThan">
      <formula>0</formula>
    </cfRule>
  </conditionalFormatting>
  <conditionalFormatting sqref="UL98">
    <cfRule type="cellIs" dxfId="3161" priority="2053" operator="lessThan">
      <formula>0</formula>
    </cfRule>
    <cfRule type="cellIs" dxfId="3160" priority="2054" operator="greaterThan">
      <formula>0</formula>
    </cfRule>
  </conditionalFormatting>
  <conditionalFormatting sqref="UL6 UL9:UL11">
    <cfRule type="cellIs" dxfId="3159" priority="2077" operator="lessThan">
      <formula>0</formula>
    </cfRule>
    <cfRule type="cellIs" dxfId="3158" priority="2078" operator="greaterThan">
      <formula>0</formula>
    </cfRule>
  </conditionalFormatting>
  <conditionalFormatting sqref="UL43:UL44">
    <cfRule type="cellIs" dxfId="3157" priority="2055" operator="lessThan">
      <formula>0</formula>
    </cfRule>
    <cfRule type="cellIs" dxfId="3156" priority="2056" operator="greaterThan">
      <formula>0</formula>
    </cfRule>
  </conditionalFormatting>
  <conditionalFormatting sqref="UL11 UL19 UL3 UL24:UL32 UL34:UL42 UL69:UL79">
    <cfRule type="cellIs" dxfId="3155" priority="2083" operator="lessThan">
      <formula>0</formula>
    </cfRule>
    <cfRule type="cellIs" dxfId="3154" priority="2084" operator="greaterThan">
      <formula>0</formula>
    </cfRule>
  </conditionalFormatting>
  <conditionalFormatting sqref="UL4:UL5">
    <cfRule type="cellIs" dxfId="3153" priority="2079" operator="lessThan">
      <formula>0</formula>
    </cfRule>
    <cfRule type="cellIs" dxfId="3152" priority="2080" operator="greaterThan">
      <formula>0</formula>
    </cfRule>
  </conditionalFormatting>
  <conditionalFormatting sqref="UL12:UL13">
    <cfRule type="cellIs" dxfId="3151" priority="2075" operator="lessThan">
      <formula>0</formula>
    </cfRule>
    <cfRule type="cellIs" dxfId="3150" priority="2076" operator="greaterThan">
      <formula>0</formula>
    </cfRule>
  </conditionalFormatting>
  <conditionalFormatting sqref="UL14:UL19">
    <cfRule type="cellIs" dxfId="3149" priority="2073" operator="lessThan">
      <formula>0</formula>
    </cfRule>
    <cfRule type="cellIs" dxfId="3148" priority="2074" operator="greaterThan">
      <formula>0</formula>
    </cfRule>
  </conditionalFormatting>
  <conditionalFormatting sqref="UL20:UL22">
    <cfRule type="cellIs" dxfId="3147" priority="2071" operator="lessThan">
      <formula>0</formula>
    </cfRule>
    <cfRule type="cellIs" dxfId="3146" priority="2072" operator="greaterThan">
      <formula>0</formula>
    </cfRule>
  </conditionalFormatting>
  <conditionalFormatting sqref="UL45:UL46">
    <cfRule type="cellIs" dxfId="3145" priority="2081" operator="lessThan">
      <formula>0</formula>
    </cfRule>
    <cfRule type="cellIs" dxfId="3144" priority="2082" operator="greaterThan">
      <formula>0</formula>
    </cfRule>
  </conditionalFormatting>
  <conditionalFormatting sqref="UL7">
    <cfRule type="cellIs" dxfId="3143" priority="2069" operator="lessThan">
      <formula>0</formula>
    </cfRule>
    <cfRule type="cellIs" dxfId="3142" priority="2070" operator="greaterThan">
      <formula>0</formula>
    </cfRule>
  </conditionalFormatting>
  <conditionalFormatting sqref="UL7">
    <cfRule type="cellIs" dxfId="3141" priority="2067" operator="lessThan">
      <formula>0</formula>
    </cfRule>
    <cfRule type="cellIs" dxfId="3140" priority="2068" operator="greaterThan">
      <formula>0</formula>
    </cfRule>
  </conditionalFormatting>
  <conditionalFormatting sqref="UL8">
    <cfRule type="cellIs" dxfId="3139" priority="2065" operator="lessThan">
      <formula>0</formula>
    </cfRule>
    <cfRule type="cellIs" dxfId="3138" priority="2066" operator="greaterThan">
      <formula>0</formula>
    </cfRule>
  </conditionalFormatting>
  <conditionalFormatting sqref="UL47">
    <cfRule type="cellIs" dxfId="3137" priority="2063" operator="lessThan">
      <formula>0</formula>
    </cfRule>
    <cfRule type="cellIs" dxfId="3136" priority="2064" operator="greaterThan">
      <formula>0</formula>
    </cfRule>
  </conditionalFormatting>
  <conditionalFormatting sqref="UL44">
    <cfRule type="cellIs" dxfId="3135" priority="2061" operator="lessThan">
      <formula>0</formula>
    </cfRule>
    <cfRule type="cellIs" dxfId="3134" priority="2062" operator="greaterThan">
      <formula>0</formula>
    </cfRule>
  </conditionalFormatting>
  <conditionalFormatting sqref="UL23:UL24">
    <cfRule type="cellIs" dxfId="3133" priority="2059" operator="lessThan">
      <formula>0</formula>
    </cfRule>
    <cfRule type="cellIs" dxfId="3132" priority="2060" operator="greaterThan">
      <formula>0</formula>
    </cfRule>
  </conditionalFormatting>
  <conditionalFormatting sqref="UL33:UL34">
    <cfRule type="cellIs" dxfId="3131" priority="2057" operator="lessThan">
      <formula>0</formula>
    </cfRule>
    <cfRule type="cellIs" dxfId="3130" priority="2058" operator="greaterThan">
      <formula>0</formula>
    </cfRule>
  </conditionalFormatting>
  <conditionalFormatting sqref="UL101">
    <cfRule type="cellIs" dxfId="3129" priority="2051" operator="lessThan">
      <formula>0</formula>
    </cfRule>
    <cfRule type="cellIs" dxfId="3128" priority="2052" operator="greaterThan">
      <formula>0</formula>
    </cfRule>
  </conditionalFormatting>
  <conditionalFormatting sqref="UL104">
    <cfRule type="cellIs" dxfId="3127" priority="2049" operator="lessThan">
      <formula>0</formula>
    </cfRule>
    <cfRule type="cellIs" dxfId="3126" priority="2050" operator="greaterThan">
      <formula>0</formula>
    </cfRule>
  </conditionalFormatting>
  <conditionalFormatting sqref="UL48:UL49">
    <cfRule type="cellIs" dxfId="3125" priority="2047" operator="lessThan">
      <formula>0</formula>
    </cfRule>
    <cfRule type="cellIs" dxfId="3124" priority="2048" operator="greaterThan">
      <formula>0</formula>
    </cfRule>
  </conditionalFormatting>
  <conditionalFormatting sqref="UN91:UN96">
    <cfRule type="cellIs" dxfId="3123" priority="2045" operator="lessThan">
      <formula>0</formula>
    </cfRule>
    <cfRule type="cellIs" dxfId="3122" priority="2046" operator="greaterThan">
      <formula>0</formula>
    </cfRule>
  </conditionalFormatting>
  <conditionalFormatting sqref="UN50:UN68 UN80:UN90">
    <cfRule type="cellIs" dxfId="3121" priority="2043" operator="lessThan">
      <formula>0</formula>
    </cfRule>
    <cfRule type="cellIs" dxfId="3120" priority="2044" operator="greaterThan">
      <formula>0</formula>
    </cfRule>
  </conditionalFormatting>
  <conditionalFormatting sqref="UN98">
    <cfRule type="cellIs" dxfId="3119" priority="2011" operator="lessThan">
      <formula>0</formula>
    </cfRule>
    <cfRule type="cellIs" dxfId="3118" priority="2012" operator="greaterThan">
      <formula>0</formula>
    </cfRule>
  </conditionalFormatting>
  <conditionalFormatting sqref="UN6 UN9:UN11">
    <cfRule type="cellIs" dxfId="3117" priority="2035" operator="lessThan">
      <formula>0</formula>
    </cfRule>
    <cfRule type="cellIs" dxfId="3116" priority="2036" operator="greaterThan">
      <formula>0</formula>
    </cfRule>
  </conditionalFormatting>
  <conditionalFormatting sqref="UN43:UN44">
    <cfRule type="cellIs" dxfId="3115" priority="2013" operator="lessThan">
      <formula>0</formula>
    </cfRule>
    <cfRule type="cellIs" dxfId="3114" priority="2014" operator="greaterThan">
      <formula>0</formula>
    </cfRule>
  </conditionalFormatting>
  <conditionalFormatting sqref="UN11 UN19 UN3 UN24:UN32 UN34:UN42 UN69:UN79">
    <cfRule type="cellIs" dxfId="3113" priority="2041" operator="lessThan">
      <formula>0</formula>
    </cfRule>
    <cfRule type="cellIs" dxfId="3112" priority="2042" operator="greaterThan">
      <formula>0</formula>
    </cfRule>
  </conditionalFormatting>
  <conditionalFormatting sqref="UN4:UN5">
    <cfRule type="cellIs" dxfId="3111" priority="2037" operator="lessThan">
      <formula>0</formula>
    </cfRule>
    <cfRule type="cellIs" dxfId="3110" priority="2038" operator="greaterThan">
      <formula>0</formula>
    </cfRule>
  </conditionalFormatting>
  <conditionalFormatting sqref="UN12:UN13">
    <cfRule type="cellIs" dxfId="3109" priority="2033" operator="lessThan">
      <formula>0</formula>
    </cfRule>
    <cfRule type="cellIs" dxfId="3108" priority="2034" operator="greaterThan">
      <formula>0</formula>
    </cfRule>
  </conditionalFormatting>
  <conditionalFormatting sqref="UN14:UN19">
    <cfRule type="cellIs" dxfId="3107" priority="2031" operator="lessThan">
      <formula>0</formula>
    </cfRule>
    <cfRule type="cellIs" dxfId="3106" priority="2032" operator="greaterThan">
      <formula>0</formula>
    </cfRule>
  </conditionalFormatting>
  <conditionalFormatting sqref="UN20:UN22">
    <cfRule type="cellIs" dxfId="3105" priority="2029" operator="lessThan">
      <formula>0</formula>
    </cfRule>
    <cfRule type="cellIs" dxfId="3104" priority="2030" operator="greaterThan">
      <formula>0</formula>
    </cfRule>
  </conditionalFormatting>
  <conditionalFormatting sqref="UN45:UN46">
    <cfRule type="cellIs" dxfId="3103" priority="2039" operator="lessThan">
      <formula>0</formula>
    </cfRule>
    <cfRule type="cellIs" dxfId="3102" priority="2040" operator="greaterThan">
      <formula>0</formula>
    </cfRule>
  </conditionalFormatting>
  <conditionalFormatting sqref="UN7">
    <cfRule type="cellIs" dxfId="3101" priority="2027" operator="lessThan">
      <formula>0</formula>
    </cfRule>
    <cfRule type="cellIs" dxfId="3100" priority="2028" operator="greaterThan">
      <formula>0</formula>
    </cfRule>
  </conditionalFormatting>
  <conditionalFormatting sqref="UN7">
    <cfRule type="cellIs" dxfId="3099" priority="2025" operator="lessThan">
      <formula>0</formula>
    </cfRule>
    <cfRule type="cellIs" dxfId="3098" priority="2026" operator="greaterThan">
      <formula>0</formula>
    </cfRule>
  </conditionalFormatting>
  <conditionalFormatting sqref="UN8">
    <cfRule type="cellIs" dxfId="3097" priority="2023" operator="lessThan">
      <formula>0</formula>
    </cfRule>
    <cfRule type="cellIs" dxfId="3096" priority="2024" operator="greaterThan">
      <formula>0</formula>
    </cfRule>
  </conditionalFormatting>
  <conditionalFormatting sqref="UN47">
    <cfRule type="cellIs" dxfId="3095" priority="2021" operator="lessThan">
      <formula>0</formula>
    </cfRule>
    <cfRule type="cellIs" dxfId="3094" priority="2022" operator="greaterThan">
      <formula>0</formula>
    </cfRule>
  </conditionalFormatting>
  <conditionalFormatting sqref="UN44">
    <cfRule type="cellIs" dxfId="3093" priority="2019" operator="lessThan">
      <formula>0</formula>
    </cfRule>
    <cfRule type="cellIs" dxfId="3092" priority="2020" operator="greaterThan">
      <formula>0</formula>
    </cfRule>
  </conditionalFormatting>
  <conditionalFormatting sqref="UN23:UN24">
    <cfRule type="cellIs" dxfId="3091" priority="2017" operator="lessThan">
      <formula>0</formula>
    </cfRule>
    <cfRule type="cellIs" dxfId="3090" priority="2018" operator="greaterThan">
      <formula>0</formula>
    </cfRule>
  </conditionalFormatting>
  <conditionalFormatting sqref="UN33:UN34">
    <cfRule type="cellIs" dxfId="3089" priority="2015" operator="lessThan">
      <formula>0</formula>
    </cfRule>
    <cfRule type="cellIs" dxfId="3088" priority="2016" operator="greaterThan">
      <formula>0</formula>
    </cfRule>
  </conditionalFormatting>
  <conditionalFormatting sqref="UN101">
    <cfRule type="cellIs" dxfId="3087" priority="2009" operator="lessThan">
      <formula>0</formula>
    </cfRule>
    <cfRule type="cellIs" dxfId="3086" priority="2010" operator="greaterThan">
      <formula>0</formula>
    </cfRule>
  </conditionalFormatting>
  <conditionalFormatting sqref="UN104">
    <cfRule type="cellIs" dxfId="3085" priority="2007" operator="lessThan">
      <formula>0</formula>
    </cfRule>
    <cfRule type="cellIs" dxfId="3084" priority="2008" operator="greaterThan">
      <formula>0</formula>
    </cfRule>
  </conditionalFormatting>
  <conditionalFormatting sqref="UN48:UN49">
    <cfRule type="cellIs" dxfId="3083" priority="2005" operator="lessThan">
      <formula>0</formula>
    </cfRule>
    <cfRule type="cellIs" dxfId="3082" priority="2006" operator="greaterThan">
      <formula>0</formula>
    </cfRule>
  </conditionalFormatting>
  <conditionalFormatting sqref="UP91:UP96">
    <cfRule type="cellIs" dxfId="3081" priority="1992" operator="lessThan">
      <formula>0</formula>
    </cfRule>
    <cfRule type="cellIs" dxfId="3080" priority="1993" operator="greaterThan">
      <formula>0</formula>
    </cfRule>
  </conditionalFormatting>
  <conditionalFormatting sqref="UP50:UP68 UP80:UP90">
    <cfRule type="cellIs" dxfId="3079" priority="1990" operator="lessThan">
      <formula>0</formula>
    </cfRule>
    <cfRule type="cellIs" dxfId="3078" priority="1991" operator="greaterThan">
      <formula>0</formula>
    </cfRule>
  </conditionalFormatting>
  <conditionalFormatting sqref="UP98">
    <cfRule type="cellIs" dxfId="3077" priority="1958" operator="lessThan">
      <formula>0</formula>
    </cfRule>
    <cfRule type="cellIs" dxfId="3076" priority="1959" operator="greaterThan">
      <formula>0</formula>
    </cfRule>
  </conditionalFormatting>
  <conditionalFormatting sqref="UP6 UP9:UP11">
    <cfRule type="cellIs" dxfId="3075" priority="1982" operator="lessThan">
      <formula>0</formula>
    </cfRule>
    <cfRule type="cellIs" dxfId="3074" priority="1983" operator="greaterThan">
      <formula>0</formula>
    </cfRule>
  </conditionalFormatting>
  <conditionalFormatting sqref="UP43:UP44">
    <cfRule type="cellIs" dxfId="3073" priority="1960" operator="lessThan">
      <formula>0</formula>
    </cfRule>
    <cfRule type="cellIs" dxfId="3072" priority="1961" operator="greaterThan">
      <formula>0</formula>
    </cfRule>
  </conditionalFormatting>
  <conditionalFormatting sqref="UP11 UP19 UP3 UP24:UP32 UP34:UP42 UP69:UP79">
    <cfRule type="cellIs" dxfId="3071" priority="1988" operator="lessThan">
      <formula>0</formula>
    </cfRule>
    <cfRule type="cellIs" dxfId="3070" priority="1989" operator="greaterThan">
      <formula>0</formula>
    </cfRule>
  </conditionalFormatting>
  <conditionalFormatting sqref="UP4:UP5">
    <cfRule type="cellIs" dxfId="3069" priority="1984" operator="lessThan">
      <formula>0</formula>
    </cfRule>
    <cfRule type="cellIs" dxfId="3068" priority="1985" operator="greaterThan">
      <formula>0</formula>
    </cfRule>
  </conditionalFormatting>
  <conditionalFormatting sqref="UP12:UP13">
    <cfRule type="cellIs" dxfId="3067" priority="1980" operator="lessThan">
      <formula>0</formula>
    </cfRule>
    <cfRule type="cellIs" dxfId="3066" priority="1981" operator="greaterThan">
      <formula>0</formula>
    </cfRule>
  </conditionalFormatting>
  <conditionalFormatting sqref="UP14:UP19">
    <cfRule type="cellIs" dxfId="3065" priority="1978" operator="lessThan">
      <formula>0</formula>
    </cfRule>
    <cfRule type="cellIs" dxfId="3064" priority="1979" operator="greaterThan">
      <formula>0</formula>
    </cfRule>
  </conditionalFormatting>
  <conditionalFormatting sqref="UP20:UP22">
    <cfRule type="cellIs" dxfId="3063" priority="1976" operator="lessThan">
      <formula>0</formula>
    </cfRule>
    <cfRule type="cellIs" dxfId="3062" priority="1977" operator="greaterThan">
      <formula>0</formula>
    </cfRule>
  </conditionalFormatting>
  <conditionalFormatting sqref="UP45:UP46">
    <cfRule type="cellIs" dxfId="3061" priority="1986" operator="lessThan">
      <formula>0</formula>
    </cfRule>
    <cfRule type="cellIs" dxfId="3060" priority="1987" operator="greaterThan">
      <formula>0</formula>
    </cfRule>
  </conditionalFormatting>
  <conditionalFormatting sqref="UP7">
    <cfRule type="cellIs" dxfId="3059" priority="1974" operator="lessThan">
      <formula>0</formula>
    </cfRule>
    <cfRule type="cellIs" dxfId="3058" priority="1975" operator="greaterThan">
      <formula>0</formula>
    </cfRule>
  </conditionalFormatting>
  <conditionalFormatting sqref="UP7">
    <cfRule type="cellIs" dxfId="3057" priority="1972" operator="lessThan">
      <formula>0</formula>
    </cfRule>
    <cfRule type="cellIs" dxfId="3056" priority="1973" operator="greaterThan">
      <formula>0</formula>
    </cfRule>
  </conditionalFormatting>
  <conditionalFormatting sqref="UP8">
    <cfRule type="cellIs" dxfId="3055" priority="1970" operator="lessThan">
      <formula>0</formula>
    </cfRule>
    <cfRule type="cellIs" dxfId="3054" priority="1971" operator="greaterThan">
      <formula>0</formula>
    </cfRule>
  </conditionalFormatting>
  <conditionalFormatting sqref="UP47">
    <cfRule type="cellIs" dxfId="3053" priority="1968" operator="lessThan">
      <formula>0</formula>
    </cfRule>
    <cfRule type="cellIs" dxfId="3052" priority="1969" operator="greaterThan">
      <formula>0</formula>
    </cfRule>
  </conditionalFormatting>
  <conditionalFormatting sqref="UP44">
    <cfRule type="cellIs" dxfId="3051" priority="1966" operator="lessThan">
      <formula>0</formula>
    </cfRule>
    <cfRule type="cellIs" dxfId="3050" priority="1967" operator="greaterThan">
      <formula>0</formula>
    </cfRule>
  </conditionalFormatting>
  <conditionalFormatting sqref="UP23:UP24">
    <cfRule type="cellIs" dxfId="3049" priority="1964" operator="lessThan">
      <formula>0</formula>
    </cfRule>
    <cfRule type="cellIs" dxfId="3048" priority="1965" operator="greaterThan">
      <formula>0</formula>
    </cfRule>
  </conditionalFormatting>
  <conditionalFormatting sqref="UP33:UP34">
    <cfRule type="cellIs" dxfId="3047" priority="1962" operator="lessThan">
      <formula>0</formula>
    </cfRule>
    <cfRule type="cellIs" dxfId="3046" priority="1963" operator="greaterThan">
      <formula>0</formula>
    </cfRule>
  </conditionalFormatting>
  <conditionalFormatting sqref="UP101">
    <cfRule type="cellIs" dxfId="3045" priority="1956" operator="lessThan">
      <formula>0</formula>
    </cfRule>
    <cfRule type="cellIs" dxfId="3044" priority="1957" operator="greaterThan">
      <formula>0</formula>
    </cfRule>
  </conditionalFormatting>
  <conditionalFormatting sqref="UP104">
    <cfRule type="cellIs" dxfId="3043" priority="1954" operator="lessThan">
      <formula>0</formula>
    </cfRule>
    <cfRule type="cellIs" dxfId="3042" priority="1955" operator="greaterThan">
      <formula>0</formula>
    </cfRule>
  </conditionalFormatting>
  <conditionalFormatting sqref="UP48:UP49">
    <cfRule type="cellIs" dxfId="3041" priority="1952" operator="lessThan">
      <formula>0</formula>
    </cfRule>
    <cfRule type="cellIs" dxfId="3040" priority="1953" operator="greaterThan">
      <formula>0</formula>
    </cfRule>
  </conditionalFormatting>
  <conditionalFormatting sqref="UR91:UR96">
    <cfRule type="cellIs" dxfId="3039" priority="1950" operator="lessThan">
      <formula>0</formula>
    </cfRule>
    <cfRule type="cellIs" dxfId="3038" priority="1951" operator="greaterThan">
      <formula>0</formula>
    </cfRule>
  </conditionalFormatting>
  <conditionalFormatting sqref="UR50:UR68 UR80:UR90">
    <cfRule type="cellIs" dxfId="3037" priority="1948" operator="lessThan">
      <formula>0</formula>
    </cfRule>
    <cfRule type="cellIs" dxfId="3036" priority="1949" operator="greaterThan">
      <formula>0</formula>
    </cfRule>
  </conditionalFormatting>
  <conditionalFormatting sqref="UR98">
    <cfRule type="cellIs" dxfId="3035" priority="1916" operator="lessThan">
      <formula>0</formula>
    </cfRule>
    <cfRule type="cellIs" dxfId="3034" priority="1917" operator="greaterThan">
      <formula>0</formula>
    </cfRule>
  </conditionalFormatting>
  <conditionalFormatting sqref="UR6 UR9:UR11">
    <cfRule type="cellIs" dxfId="3033" priority="1940" operator="lessThan">
      <formula>0</formula>
    </cfRule>
    <cfRule type="cellIs" dxfId="3032" priority="1941" operator="greaterThan">
      <formula>0</formula>
    </cfRule>
  </conditionalFormatting>
  <conditionalFormatting sqref="UR43:UR44">
    <cfRule type="cellIs" dxfId="3031" priority="1918" operator="lessThan">
      <formula>0</formula>
    </cfRule>
    <cfRule type="cellIs" dxfId="3030" priority="1919" operator="greaterThan">
      <formula>0</formula>
    </cfRule>
  </conditionalFormatting>
  <conditionalFormatting sqref="UR11 UR19 UR3 UR24:UR32 UR34:UR42 UR69:UR79">
    <cfRule type="cellIs" dxfId="3029" priority="1946" operator="lessThan">
      <formula>0</formula>
    </cfRule>
    <cfRule type="cellIs" dxfId="3028" priority="1947" operator="greaterThan">
      <formula>0</formula>
    </cfRule>
  </conditionalFormatting>
  <conditionalFormatting sqref="UR4:UR5">
    <cfRule type="cellIs" dxfId="3027" priority="1942" operator="lessThan">
      <formula>0</formula>
    </cfRule>
    <cfRule type="cellIs" dxfId="3026" priority="1943" operator="greaterThan">
      <formula>0</formula>
    </cfRule>
  </conditionalFormatting>
  <conditionalFormatting sqref="UR12:UR13">
    <cfRule type="cellIs" dxfId="3025" priority="1938" operator="lessThan">
      <formula>0</formula>
    </cfRule>
    <cfRule type="cellIs" dxfId="3024" priority="1939" operator="greaterThan">
      <formula>0</formula>
    </cfRule>
  </conditionalFormatting>
  <conditionalFormatting sqref="UR14:UR19">
    <cfRule type="cellIs" dxfId="3023" priority="1936" operator="lessThan">
      <formula>0</formula>
    </cfRule>
    <cfRule type="cellIs" dxfId="3022" priority="1937" operator="greaterThan">
      <formula>0</formula>
    </cfRule>
  </conditionalFormatting>
  <conditionalFormatting sqref="UR20:UR22">
    <cfRule type="cellIs" dxfId="3021" priority="1934" operator="lessThan">
      <formula>0</formula>
    </cfRule>
    <cfRule type="cellIs" dxfId="3020" priority="1935" operator="greaterThan">
      <formula>0</formula>
    </cfRule>
  </conditionalFormatting>
  <conditionalFormatting sqref="UR45:UR46">
    <cfRule type="cellIs" dxfId="3019" priority="1944" operator="lessThan">
      <formula>0</formula>
    </cfRule>
    <cfRule type="cellIs" dxfId="3018" priority="1945" operator="greaterThan">
      <formula>0</formula>
    </cfRule>
  </conditionalFormatting>
  <conditionalFormatting sqref="UR7">
    <cfRule type="cellIs" dxfId="3017" priority="1932" operator="lessThan">
      <formula>0</formula>
    </cfRule>
    <cfRule type="cellIs" dxfId="3016" priority="1933" operator="greaterThan">
      <formula>0</formula>
    </cfRule>
  </conditionalFormatting>
  <conditionalFormatting sqref="UR7">
    <cfRule type="cellIs" dxfId="3015" priority="1930" operator="lessThan">
      <formula>0</formula>
    </cfRule>
    <cfRule type="cellIs" dxfId="3014" priority="1931" operator="greaterThan">
      <formula>0</formula>
    </cfRule>
  </conditionalFormatting>
  <conditionalFormatting sqref="UR8">
    <cfRule type="cellIs" dxfId="3013" priority="1928" operator="lessThan">
      <formula>0</formula>
    </cfRule>
    <cfRule type="cellIs" dxfId="3012" priority="1929" operator="greaterThan">
      <formula>0</formula>
    </cfRule>
  </conditionalFormatting>
  <conditionalFormatting sqref="UR47">
    <cfRule type="cellIs" dxfId="3011" priority="1926" operator="lessThan">
      <formula>0</formula>
    </cfRule>
    <cfRule type="cellIs" dxfId="3010" priority="1927" operator="greaterThan">
      <formula>0</formula>
    </cfRule>
  </conditionalFormatting>
  <conditionalFormatting sqref="UR44">
    <cfRule type="cellIs" dxfId="3009" priority="1924" operator="lessThan">
      <formula>0</formula>
    </cfRule>
    <cfRule type="cellIs" dxfId="3008" priority="1925" operator="greaterThan">
      <formula>0</formula>
    </cfRule>
  </conditionalFormatting>
  <conditionalFormatting sqref="UR23:UR24">
    <cfRule type="cellIs" dxfId="3007" priority="1922" operator="lessThan">
      <formula>0</formula>
    </cfRule>
    <cfRule type="cellIs" dxfId="3006" priority="1923" operator="greaterThan">
      <formula>0</formula>
    </cfRule>
  </conditionalFormatting>
  <conditionalFormatting sqref="UR33:UR34">
    <cfRule type="cellIs" dxfId="3005" priority="1920" operator="lessThan">
      <formula>0</formula>
    </cfRule>
    <cfRule type="cellIs" dxfId="3004" priority="1921" operator="greaterThan">
      <formula>0</formula>
    </cfRule>
  </conditionalFormatting>
  <conditionalFormatting sqref="UR101">
    <cfRule type="cellIs" dxfId="3003" priority="1914" operator="lessThan">
      <formula>0</formula>
    </cfRule>
    <cfRule type="cellIs" dxfId="3002" priority="1915" operator="greaterThan">
      <formula>0</formula>
    </cfRule>
  </conditionalFormatting>
  <conditionalFormatting sqref="UR104">
    <cfRule type="cellIs" dxfId="3001" priority="1912" operator="lessThan">
      <formula>0</formula>
    </cfRule>
    <cfRule type="cellIs" dxfId="3000" priority="1913" operator="greaterThan">
      <formula>0</formula>
    </cfRule>
  </conditionalFormatting>
  <conditionalFormatting sqref="UR48:UR49">
    <cfRule type="cellIs" dxfId="2999" priority="1910" operator="lessThan">
      <formula>0</formula>
    </cfRule>
    <cfRule type="cellIs" dxfId="2998" priority="1911" operator="greaterThan">
      <formula>0</formula>
    </cfRule>
  </conditionalFormatting>
  <conditionalFormatting sqref="UT91:UT96">
    <cfRule type="cellIs" dxfId="2997" priority="1855" operator="lessThan">
      <formula>0</formula>
    </cfRule>
    <cfRule type="cellIs" dxfId="2996" priority="1856" operator="greaterThan">
      <formula>0</formula>
    </cfRule>
  </conditionalFormatting>
  <conditionalFormatting sqref="UT50:UT68 UT80:UT90">
    <cfRule type="cellIs" dxfId="2995" priority="1853" operator="lessThan">
      <formula>0</formula>
    </cfRule>
    <cfRule type="cellIs" dxfId="2994" priority="1854" operator="greaterThan">
      <formula>0</formula>
    </cfRule>
  </conditionalFormatting>
  <conditionalFormatting sqref="UT98">
    <cfRule type="cellIs" dxfId="2993" priority="1821" operator="lessThan">
      <formula>0</formula>
    </cfRule>
    <cfRule type="cellIs" dxfId="2992" priority="1822" operator="greaterThan">
      <formula>0</formula>
    </cfRule>
  </conditionalFormatting>
  <conditionalFormatting sqref="UT6 UT9:UT11">
    <cfRule type="cellIs" dxfId="2991" priority="1845" operator="lessThan">
      <formula>0</formula>
    </cfRule>
    <cfRule type="cellIs" dxfId="2990" priority="1846" operator="greaterThan">
      <formula>0</formula>
    </cfRule>
  </conditionalFormatting>
  <conditionalFormatting sqref="UT43:UT44">
    <cfRule type="cellIs" dxfId="2989" priority="1823" operator="lessThan">
      <formula>0</formula>
    </cfRule>
    <cfRule type="cellIs" dxfId="2988" priority="1824" operator="greaterThan">
      <formula>0</formula>
    </cfRule>
  </conditionalFormatting>
  <conditionalFormatting sqref="UT11 UT19 UT3 UT24:UT32 UT34:UT42 UT69:UT79">
    <cfRule type="cellIs" dxfId="2987" priority="1851" operator="lessThan">
      <formula>0</formula>
    </cfRule>
    <cfRule type="cellIs" dxfId="2986" priority="1852" operator="greaterThan">
      <formula>0</formula>
    </cfRule>
  </conditionalFormatting>
  <conditionalFormatting sqref="UT4:UT5">
    <cfRule type="cellIs" dxfId="2985" priority="1847" operator="lessThan">
      <formula>0</formula>
    </cfRule>
    <cfRule type="cellIs" dxfId="2984" priority="1848" operator="greaterThan">
      <formula>0</formula>
    </cfRule>
  </conditionalFormatting>
  <conditionalFormatting sqref="UT12:UT13">
    <cfRule type="cellIs" dxfId="2983" priority="1843" operator="lessThan">
      <formula>0</formula>
    </cfRule>
    <cfRule type="cellIs" dxfId="2982" priority="1844" operator="greaterThan">
      <formula>0</formula>
    </cfRule>
  </conditionalFormatting>
  <conditionalFormatting sqref="UT14:UT19">
    <cfRule type="cellIs" dxfId="2981" priority="1841" operator="lessThan">
      <formula>0</formula>
    </cfRule>
    <cfRule type="cellIs" dxfId="2980" priority="1842" operator="greaterThan">
      <formula>0</formula>
    </cfRule>
  </conditionalFormatting>
  <conditionalFormatting sqref="UT20:UT22">
    <cfRule type="cellIs" dxfId="2979" priority="1839" operator="lessThan">
      <formula>0</formula>
    </cfRule>
    <cfRule type="cellIs" dxfId="2978" priority="1840" operator="greaterThan">
      <formula>0</formula>
    </cfRule>
  </conditionalFormatting>
  <conditionalFormatting sqref="UT45:UT46">
    <cfRule type="cellIs" dxfId="2977" priority="1849" operator="lessThan">
      <formula>0</formula>
    </cfRule>
    <cfRule type="cellIs" dxfId="2976" priority="1850" operator="greaterThan">
      <formula>0</formula>
    </cfRule>
  </conditionalFormatting>
  <conditionalFormatting sqref="UT7">
    <cfRule type="cellIs" dxfId="2975" priority="1837" operator="lessThan">
      <formula>0</formula>
    </cfRule>
    <cfRule type="cellIs" dxfId="2974" priority="1838" operator="greaterThan">
      <formula>0</formula>
    </cfRule>
  </conditionalFormatting>
  <conditionalFormatting sqref="UT7">
    <cfRule type="cellIs" dxfId="2973" priority="1835" operator="lessThan">
      <formula>0</formula>
    </cfRule>
    <cfRule type="cellIs" dxfId="2972" priority="1836" operator="greaterThan">
      <formula>0</formula>
    </cfRule>
  </conditionalFormatting>
  <conditionalFormatting sqref="UT8">
    <cfRule type="cellIs" dxfId="2971" priority="1833" operator="lessThan">
      <formula>0</formula>
    </cfRule>
    <cfRule type="cellIs" dxfId="2970" priority="1834" operator="greaterThan">
      <formula>0</formula>
    </cfRule>
  </conditionalFormatting>
  <conditionalFormatting sqref="UT47">
    <cfRule type="cellIs" dxfId="2969" priority="1831" operator="lessThan">
      <formula>0</formula>
    </cfRule>
    <cfRule type="cellIs" dxfId="2968" priority="1832" operator="greaterThan">
      <formula>0</formula>
    </cfRule>
  </conditionalFormatting>
  <conditionalFormatting sqref="UT44">
    <cfRule type="cellIs" dxfId="2967" priority="1829" operator="lessThan">
      <formula>0</formula>
    </cfRule>
    <cfRule type="cellIs" dxfId="2966" priority="1830" operator="greaterThan">
      <formula>0</formula>
    </cfRule>
  </conditionalFormatting>
  <conditionalFormatting sqref="UT23:UT24">
    <cfRule type="cellIs" dxfId="2965" priority="1827" operator="lessThan">
      <formula>0</formula>
    </cfRule>
    <cfRule type="cellIs" dxfId="2964" priority="1828" operator="greaterThan">
      <formula>0</formula>
    </cfRule>
  </conditionalFormatting>
  <conditionalFormatting sqref="UT33:UT34">
    <cfRule type="cellIs" dxfId="2963" priority="1825" operator="lessThan">
      <formula>0</formula>
    </cfRule>
    <cfRule type="cellIs" dxfId="2962" priority="1826" operator="greaterThan">
      <formula>0</formula>
    </cfRule>
  </conditionalFormatting>
  <conditionalFormatting sqref="UT101">
    <cfRule type="cellIs" dxfId="2961" priority="1819" operator="lessThan">
      <formula>0</formula>
    </cfRule>
    <cfRule type="cellIs" dxfId="2960" priority="1820" operator="greaterThan">
      <formula>0</formula>
    </cfRule>
  </conditionalFormatting>
  <conditionalFormatting sqref="UT104">
    <cfRule type="cellIs" dxfId="2959" priority="1817" operator="lessThan">
      <formula>0</formula>
    </cfRule>
    <cfRule type="cellIs" dxfId="2958" priority="1818" operator="greaterThan">
      <formula>0</formula>
    </cfRule>
  </conditionalFormatting>
  <conditionalFormatting sqref="UT48:UT49">
    <cfRule type="cellIs" dxfId="2957" priority="1815" operator="lessThan">
      <formula>0</formula>
    </cfRule>
    <cfRule type="cellIs" dxfId="2956" priority="1816" operator="greaterThan">
      <formula>0</formula>
    </cfRule>
  </conditionalFormatting>
  <conditionalFormatting sqref="UV91:UV96">
    <cfRule type="cellIs" dxfId="2955" priority="1802" operator="lessThan">
      <formula>0</formula>
    </cfRule>
    <cfRule type="cellIs" dxfId="2954" priority="1803" operator="greaterThan">
      <formula>0</formula>
    </cfRule>
  </conditionalFormatting>
  <conditionalFormatting sqref="UV50:UV68 UV80:UV90">
    <cfRule type="cellIs" dxfId="2953" priority="1800" operator="lessThan">
      <formula>0</formula>
    </cfRule>
    <cfRule type="cellIs" dxfId="2952" priority="1801" operator="greaterThan">
      <formula>0</formula>
    </cfRule>
  </conditionalFormatting>
  <conditionalFormatting sqref="UV98">
    <cfRule type="cellIs" dxfId="2951" priority="1768" operator="lessThan">
      <formula>0</formula>
    </cfRule>
    <cfRule type="cellIs" dxfId="2950" priority="1769" operator="greaterThan">
      <formula>0</formula>
    </cfRule>
  </conditionalFormatting>
  <conditionalFormatting sqref="UV6 UV9:UV11">
    <cfRule type="cellIs" dxfId="2949" priority="1792" operator="lessThan">
      <formula>0</formula>
    </cfRule>
    <cfRule type="cellIs" dxfId="2948" priority="1793" operator="greaterThan">
      <formula>0</formula>
    </cfRule>
  </conditionalFormatting>
  <conditionalFormatting sqref="UV43:UV44">
    <cfRule type="cellIs" dxfId="2947" priority="1770" operator="lessThan">
      <formula>0</formula>
    </cfRule>
    <cfRule type="cellIs" dxfId="2946" priority="1771" operator="greaterThan">
      <formula>0</formula>
    </cfRule>
  </conditionalFormatting>
  <conditionalFormatting sqref="UV11 UV19 UV3 UV24:UV32 UV34:UV42 UV69:UV79">
    <cfRule type="cellIs" dxfId="2945" priority="1798" operator="lessThan">
      <formula>0</formula>
    </cfRule>
    <cfRule type="cellIs" dxfId="2944" priority="1799" operator="greaterThan">
      <formula>0</formula>
    </cfRule>
  </conditionalFormatting>
  <conditionalFormatting sqref="UV4:UV5">
    <cfRule type="cellIs" dxfId="2943" priority="1794" operator="lessThan">
      <formula>0</formula>
    </cfRule>
    <cfRule type="cellIs" dxfId="2942" priority="1795" operator="greaterThan">
      <formula>0</formula>
    </cfRule>
  </conditionalFormatting>
  <conditionalFormatting sqref="UV12:UV13">
    <cfRule type="cellIs" dxfId="2941" priority="1790" operator="lessThan">
      <formula>0</formula>
    </cfRule>
    <cfRule type="cellIs" dxfId="2940" priority="1791" operator="greaterThan">
      <formula>0</formula>
    </cfRule>
  </conditionalFormatting>
  <conditionalFormatting sqref="UV14:UV19">
    <cfRule type="cellIs" dxfId="2939" priority="1788" operator="lessThan">
      <formula>0</formula>
    </cfRule>
    <cfRule type="cellIs" dxfId="2938" priority="1789" operator="greaterThan">
      <formula>0</formula>
    </cfRule>
  </conditionalFormatting>
  <conditionalFormatting sqref="UV20:UV22">
    <cfRule type="cellIs" dxfId="2937" priority="1786" operator="lessThan">
      <formula>0</formula>
    </cfRule>
    <cfRule type="cellIs" dxfId="2936" priority="1787" operator="greaterThan">
      <formula>0</formula>
    </cfRule>
  </conditionalFormatting>
  <conditionalFormatting sqref="UV45:UV46">
    <cfRule type="cellIs" dxfId="2935" priority="1796" operator="lessThan">
      <formula>0</formula>
    </cfRule>
    <cfRule type="cellIs" dxfId="2934" priority="1797" operator="greaterThan">
      <formula>0</formula>
    </cfRule>
  </conditionalFormatting>
  <conditionalFormatting sqref="UV7">
    <cfRule type="cellIs" dxfId="2933" priority="1784" operator="lessThan">
      <formula>0</formula>
    </cfRule>
    <cfRule type="cellIs" dxfId="2932" priority="1785" operator="greaterThan">
      <formula>0</formula>
    </cfRule>
  </conditionalFormatting>
  <conditionalFormatting sqref="UV7">
    <cfRule type="cellIs" dxfId="2931" priority="1782" operator="lessThan">
      <formula>0</formula>
    </cfRule>
    <cfRule type="cellIs" dxfId="2930" priority="1783" operator="greaterThan">
      <formula>0</formula>
    </cfRule>
  </conditionalFormatting>
  <conditionalFormatting sqref="UV8">
    <cfRule type="cellIs" dxfId="2929" priority="1780" operator="lessThan">
      <formula>0</formula>
    </cfRule>
    <cfRule type="cellIs" dxfId="2928" priority="1781" operator="greaterThan">
      <formula>0</formula>
    </cfRule>
  </conditionalFormatting>
  <conditionalFormatting sqref="UV47">
    <cfRule type="cellIs" dxfId="2927" priority="1778" operator="lessThan">
      <formula>0</formula>
    </cfRule>
    <cfRule type="cellIs" dxfId="2926" priority="1779" operator="greaterThan">
      <formula>0</formula>
    </cfRule>
  </conditionalFormatting>
  <conditionalFormatting sqref="UV44">
    <cfRule type="cellIs" dxfId="2925" priority="1776" operator="lessThan">
      <formula>0</formula>
    </cfRule>
    <cfRule type="cellIs" dxfId="2924" priority="1777" operator="greaterThan">
      <formula>0</formula>
    </cfRule>
  </conditionalFormatting>
  <conditionalFormatting sqref="UV23:UV24">
    <cfRule type="cellIs" dxfId="2923" priority="1774" operator="lessThan">
      <formula>0</formula>
    </cfRule>
    <cfRule type="cellIs" dxfId="2922" priority="1775" operator="greaterThan">
      <formula>0</formula>
    </cfRule>
  </conditionalFormatting>
  <conditionalFormatting sqref="UV33:UV34">
    <cfRule type="cellIs" dxfId="2921" priority="1772" operator="lessThan">
      <formula>0</formula>
    </cfRule>
    <cfRule type="cellIs" dxfId="2920" priority="1773" operator="greaterThan">
      <formula>0</formula>
    </cfRule>
  </conditionalFormatting>
  <conditionalFormatting sqref="UV101">
    <cfRule type="cellIs" dxfId="2919" priority="1766" operator="lessThan">
      <formula>0</formula>
    </cfRule>
    <cfRule type="cellIs" dxfId="2918" priority="1767" operator="greaterThan">
      <formula>0</formula>
    </cfRule>
  </conditionalFormatting>
  <conditionalFormatting sqref="UV104">
    <cfRule type="cellIs" dxfId="2917" priority="1764" operator="lessThan">
      <formula>0</formula>
    </cfRule>
    <cfRule type="cellIs" dxfId="2916" priority="1765" operator="greaterThan">
      <formula>0</formula>
    </cfRule>
  </conditionalFormatting>
  <conditionalFormatting sqref="UV48:UV49">
    <cfRule type="cellIs" dxfId="2915" priority="1762" operator="lessThan">
      <formula>0</formula>
    </cfRule>
    <cfRule type="cellIs" dxfId="2914" priority="1763" operator="greaterThan">
      <formula>0</formula>
    </cfRule>
  </conditionalFormatting>
  <conditionalFormatting sqref="UX91:UX96">
    <cfRule type="cellIs" dxfId="2913" priority="1760" operator="lessThan">
      <formula>0</formula>
    </cfRule>
    <cfRule type="cellIs" dxfId="2912" priority="1761" operator="greaterThan">
      <formula>0</formula>
    </cfRule>
  </conditionalFormatting>
  <conditionalFormatting sqref="UX50:UX68 UX80:UX90">
    <cfRule type="cellIs" dxfId="2911" priority="1758" operator="lessThan">
      <formula>0</formula>
    </cfRule>
    <cfRule type="cellIs" dxfId="2910" priority="1759" operator="greaterThan">
      <formula>0</formula>
    </cfRule>
  </conditionalFormatting>
  <conditionalFormatting sqref="UX98">
    <cfRule type="cellIs" dxfId="2909" priority="1726" operator="lessThan">
      <formula>0</formula>
    </cfRule>
    <cfRule type="cellIs" dxfId="2908" priority="1727" operator="greaterThan">
      <formula>0</formula>
    </cfRule>
  </conditionalFormatting>
  <conditionalFormatting sqref="UX6 UX9:UX11">
    <cfRule type="cellIs" dxfId="2907" priority="1750" operator="lessThan">
      <formula>0</formula>
    </cfRule>
    <cfRule type="cellIs" dxfId="2906" priority="1751" operator="greaterThan">
      <formula>0</formula>
    </cfRule>
  </conditionalFormatting>
  <conditionalFormatting sqref="UX43:UX44">
    <cfRule type="cellIs" dxfId="2905" priority="1728" operator="lessThan">
      <formula>0</formula>
    </cfRule>
    <cfRule type="cellIs" dxfId="2904" priority="1729" operator="greaterThan">
      <formula>0</formula>
    </cfRule>
  </conditionalFormatting>
  <conditionalFormatting sqref="UX11 UX19 UX3 UX24:UX32 UX34:UX42 UX69:UX79">
    <cfRule type="cellIs" dxfId="2903" priority="1756" operator="lessThan">
      <formula>0</formula>
    </cfRule>
    <cfRule type="cellIs" dxfId="2902" priority="1757" operator="greaterThan">
      <formula>0</formula>
    </cfRule>
  </conditionalFormatting>
  <conditionalFormatting sqref="UX4:UX5">
    <cfRule type="cellIs" dxfId="2901" priority="1752" operator="lessThan">
      <formula>0</formula>
    </cfRule>
    <cfRule type="cellIs" dxfId="2900" priority="1753" operator="greaterThan">
      <formula>0</formula>
    </cfRule>
  </conditionalFormatting>
  <conditionalFormatting sqref="UX12:UX13">
    <cfRule type="cellIs" dxfId="2899" priority="1748" operator="lessThan">
      <formula>0</formula>
    </cfRule>
    <cfRule type="cellIs" dxfId="2898" priority="1749" operator="greaterThan">
      <formula>0</formula>
    </cfRule>
  </conditionalFormatting>
  <conditionalFormatting sqref="UX14:UX19">
    <cfRule type="cellIs" dxfId="2897" priority="1746" operator="lessThan">
      <formula>0</formula>
    </cfRule>
    <cfRule type="cellIs" dxfId="2896" priority="1747" operator="greaterThan">
      <formula>0</formula>
    </cfRule>
  </conditionalFormatting>
  <conditionalFormatting sqref="UX20:UX22">
    <cfRule type="cellIs" dxfId="2895" priority="1744" operator="lessThan">
      <formula>0</formula>
    </cfRule>
    <cfRule type="cellIs" dxfId="2894" priority="1745" operator="greaterThan">
      <formula>0</formula>
    </cfRule>
  </conditionalFormatting>
  <conditionalFormatting sqref="UX45:UX46">
    <cfRule type="cellIs" dxfId="2893" priority="1754" operator="lessThan">
      <formula>0</formula>
    </cfRule>
    <cfRule type="cellIs" dxfId="2892" priority="1755" operator="greaterThan">
      <formula>0</formula>
    </cfRule>
  </conditionalFormatting>
  <conditionalFormatting sqref="UX7">
    <cfRule type="cellIs" dxfId="2891" priority="1742" operator="lessThan">
      <formula>0</formula>
    </cfRule>
    <cfRule type="cellIs" dxfId="2890" priority="1743" operator="greaterThan">
      <formula>0</formula>
    </cfRule>
  </conditionalFormatting>
  <conditionalFormatting sqref="UX7">
    <cfRule type="cellIs" dxfId="2889" priority="1740" operator="lessThan">
      <formula>0</formula>
    </cfRule>
    <cfRule type="cellIs" dxfId="2888" priority="1741" operator="greaterThan">
      <formula>0</formula>
    </cfRule>
  </conditionalFormatting>
  <conditionalFormatting sqref="UX8">
    <cfRule type="cellIs" dxfId="2887" priority="1738" operator="lessThan">
      <formula>0</formula>
    </cfRule>
    <cfRule type="cellIs" dxfId="2886" priority="1739" operator="greaterThan">
      <formula>0</formula>
    </cfRule>
  </conditionalFormatting>
  <conditionalFormatting sqref="UX47">
    <cfRule type="cellIs" dxfId="2885" priority="1736" operator="lessThan">
      <formula>0</formula>
    </cfRule>
    <cfRule type="cellIs" dxfId="2884" priority="1737" operator="greaterThan">
      <formula>0</formula>
    </cfRule>
  </conditionalFormatting>
  <conditionalFormatting sqref="UX44">
    <cfRule type="cellIs" dxfId="2883" priority="1734" operator="lessThan">
      <formula>0</formula>
    </cfRule>
    <cfRule type="cellIs" dxfId="2882" priority="1735" operator="greaterThan">
      <formula>0</formula>
    </cfRule>
  </conditionalFormatting>
  <conditionalFormatting sqref="UX23:UX24">
    <cfRule type="cellIs" dxfId="2881" priority="1732" operator="lessThan">
      <formula>0</formula>
    </cfRule>
    <cfRule type="cellIs" dxfId="2880" priority="1733" operator="greaterThan">
      <formula>0</formula>
    </cfRule>
  </conditionalFormatting>
  <conditionalFormatting sqref="UX33:UX34">
    <cfRule type="cellIs" dxfId="2879" priority="1730" operator="lessThan">
      <formula>0</formula>
    </cfRule>
    <cfRule type="cellIs" dxfId="2878" priority="1731" operator="greaterThan">
      <formula>0</formula>
    </cfRule>
  </conditionalFormatting>
  <conditionalFormatting sqref="UX101">
    <cfRule type="cellIs" dxfId="2877" priority="1724" operator="lessThan">
      <formula>0</formula>
    </cfRule>
    <cfRule type="cellIs" dxfId="2876" priority="1725" operator="greaterThan">
      <formula>0</formula>
    </cfRule>
  </conditionalFormatting>
  <conditionalFormatting sqref="UX104">
    <cfRule type="cellIs" dxfId="2875" priority="1722" operator="lessThan">
      <formula>0</formula>
    </cfRule>
    <cfRule type="cellIs" dxfId="2874" priority="1723" operator="greaterThan">
      <formula>0</formula>
    </cfRule>
  </conditionalFormatting>
  <conditionalFormatting sqref="UX48:UX49">
    <cfRule type="cellIs" dxfId="2873" priority="1720" operator="lessThan">
      <formula>0</formula>
    </cfRule>
    <cfRule type="cellIs" dxfId="2872" priority="1721" operator="greaterThan">
      <formula>0</formula>
    </cfRule>
  </conditionalFormatting>
  <conditionalFormatting sqref="UZ91:UZ96">
    <cfRule type="cellIs" dxfId="2871" priority="1718" operator="lessThan">
      <formula>0</formula>
    </cfRule>
    <cfRule type="cellIs" dxfId="2870" priority="1719" operator="greaterThan">
      <formula>0</formula>
    </cfRule>
  </conditionalFormatting>
  <conditionalFormatting sqref="UZ50:UZ68 UZ80:UZ90">
    <cfRule type="cellIs" dxfId="2869" priority="1716" operator="lessThan">
      <formula>0</formula>
    </cfRule>
    <cfRule type="cellIs" dxfId="2868" priority="1717" operator="greaterThan">
      <formula>0</formula>
    </cfRule>
  </conditionalFormatting>
  <conditionalFormatting sqref="UZ98">
    <cfRule type="cellIs" dxfId="2867" priority="1684" operator="lessThan">
      <formula>0</formula>
    </cfRule>
    <cfRule type="cellIs" dxfId="2866" priority="1685" operator="greaterThan">
      <formula>0</formula>
    </cfRule>
  </conditionalFormatting>
  <conditionalFormatting sqref="UZ6 UZ9:UZ11">
    <cfRule type="cellIs" dxfId="2865" priority="1708" operator="lessThan">
      <formula>0</formula>
    </cfRule>
    <cfRule type="cellIs" dxfId="2864" priority="1709" operator="greaterThan">
      <formula>0</formula>
    </cfRule>
  </conditionalFormatting>
  <conditionalFormatting sqref="UZ43:UZ44">
    <cfRule type="cellIs" dxfId="2863" priority="1686" operator="lessThan">
      <formula>0</formula>
    </cfRule>
    <cfRule type="cellIs" dxfId="2862" priority="1687" operator="greaterThan">
      <formula>0</formula>
    </cfRule>
  </conditionalFormatting>
  <conditionalFormatting sqref="UZ11 UZ19 UZ3 UZ24:UZ32 UZ34:UZ42 UZ69:UZ79">
    <cfRule type="cellIs" dxfId="2861" priority="1714" operator="lessThan">
      <formula>0</formula>
    </cfRule>
    <cfRule type="cellIs" dxfId="2860" priority="1715" operator="greaterThan">
      <formula>0</formula>
    </cfRule>
  </conditionalFormatting>
  <conditionalFormatting sqref="UZ4:UZ5">
    <cfRule type="cellIs" dxfId="2859" priority="1710" operator="lessThan">
      <formula>0</formula>
    </cfRule>
    <cfRule type="cellIs" dxfId="2858" priority="1711" operator="greaterThan">
      <formula>0</formula>
    </cfRule>
  </conditionalFormatting>
  <conditionalFormatting sqref="UZ12:UZ13">
    <cfRule type="cellIs" dxfId="2857" priority="1706" operator="lessThan">
      <formula>0</formula>
    </cfRule>
    <cfRule type="cellIs" dxfId="2856" priority="1707" operator="greaterThan">
      <formula>0</formula>
    </cfRule>
  </conditionalFormatting>
  <conditionalFormatting sqref="UZ14:UZ19">
    <cfRule type="cellIs" dxfId="2855" priority="1704" operator="lessThan">
      <formula>0</formula>
    </cfRule>
    <cfRule type="cellIs" dxfId="2854" priority="1705" operator="greaterThan">
      <formula>0</formula>
    </cfRule>
  </conditionalFormatting>
  <conditionalFormatting sqref="UZ20:UZ22">
    <cfRule type="cellIs" dxfId="2853" priority="1702" operator="lessThan">
      <formula>0</formula>
    </cfRule>
    <cfRule type="cellIs" dxfId="2852" priority="1703" operator="greaterThan">
      <formula>0</formula>
    </cfRule>
  </conditionalFormatting>
  <conditionalFormatting sqref="UZ45:UZ46">
    <cfRule type="cellIs" dxfId="2851" priority="1712" operator="lessThan">
      <formula>0</formula>
    </cfRule>
    <cfRule type="cellIs" dxfId="2850" priority="1713" operator="greaterThan">
      <formula>0</formula>
    </cfRule>
  </conditionalFormatting>
  <conditionalFormatting sqref="UZ7">
    <cfRule type="cellIs" dxfId="2849" priority="1700" operator="lessThan">
      <formula>0</formula>
    </cfRule>
    <cfRule type="cellIs" dxfId="2848" priority="1701" operator="greaterThan">
      <formula>0</formula>
    </cfRule>
  </conditionalFormatting>
  <conditionalFormatting sqref="UZ7">
    <cfRule type="cellIs" dxfId="2847" priority="1698" operator="lessThan">
      <formula>0</formula>
    </cfRule>
    <cfRule type="cellIs" dxfId="2846" priority="1699" operator="greaterThan">
      <formula>0</formula>
    </cfRule>
  </conditionalFormatting>
  <conditionalFormatting sqref="UZ8">
    <cfRule type="cellIs" dxfId="2845" priority="1696" operator="lessThan">
      <formula>0</formula>
    </cfRule>
    <cfRule type="cellIs" dxfId="2844" priority="1697" operator="greaterThan">
      <formula>0</formula>
    </cfRule>
  </conditionalFormatting>
  <conditionalFormatting sqref="UZ47">
    <cfRule type="cellIs" dxfId="2843" priority="1694" operator="lessThan">
      <formula>0</formula>
    </cfRule>
    <cfRule type="cellIs" dxfId="2842" priority="1695" operator="greaterThan">
      <formula>0</formula>
    </cfRule>
  </conditionalFormatting>
  <conditionalFormatting sqref="UZ44">
    <cfRule type="cellIs" dxfId="2841" priority="1692" operator="lessThan">
      <formula>0</formula>
    </cfRule>
    <cfRule type="cellIs" dxfId="2840" priority="1693" operator="greaterThan">
      <formula>0</formula>
    </cfRule>
  </conditionalFormatting>
  <conditionalFormatting sqref="UZ23:UZ24">
    <cfRule type="cellIs" dxfId="2839" priority="1690" operator="lessThan">
      <formula>0</formula>
    </cfRule>
    <cfRule type="cellIs" dxfId="2838" priority="1691" operator="greaterThan">
      <formula>0</formula>
    </cfRule>
  </conditionalFormatting>
  <conditionalFormatting sqref="UZ33:UZ34">
    <cfRule type="cellIs" dxfId="2837" priority="1688" operator="lessThan">
      <formula>0</formula>
    </cfRule>
    <cfRule type="cellIs" dxfId="2836" priority="1689" operator="greaterThan">
      <formula>0</formula>
    </cfRule>
  </conditionalFormatting>
  <conditionalFormatting sqref="UZ101">
    <cfRule type="cellIs" dxfId="2835" priority="1682" operator="lessThan">
      <formula>0</formula>
    </cfRule>
    <cfRule type="cellIs" dxfId="2834" priority="1683" operator="greaterThan">
      <formula>0</formula>
    </cfRule>
  </conditionalFormatting>
  <conditionalFormatting sqref="UZ104">
    <cfRule type="cellIs" dxfId="2833" priority="1680" operator="lessThan">
      <formula>0</formula>
    </cfRule>
    <cfRule type="cellIs" dxfId="2832" priority="1681" operator="greaterThan">
      <formula>0</formula>
    </cfRule>
  </conditionalFormatting>
  <conditionalFormatting sqref="UZ48:UZ49">
    <cfRule type="cellIs" dxfId="2831" priority="1678" operator="lessThan">
      <formula>0</formula>
    </cfRule>
    <cfRule type="cellIs" dxfId="2830" priority="1679" operator="greaterThan">
      <formula>0</formula>
    </cfRule>
  </conditionalFormatting>
  <conditionalFormatting sqref="VB91:VB96">
    <cfRule type="cellIs" dxfId="2829" priority="1676" operator="lessThan">
      <formula>0</formula>
    </cfRule>
    <cfRule type="cellIs" dxfId="2828" priority="1677" operator="greaterThan">
      <formula>0</formula>
    </cfRule>
  </conditionalFormatting>
  <conditionalFormatting sqref="VB50:VB68 VB80:VB90">
    <cfRule type="cellIs" dxfId="2827" priority="1674" operator="lessThan">
      <formula>0</formula>
    </cfRule>
    <cfRule type="cellIs" dxfId="2826" priority="1675" operator="greaterThan">
      <formula>0</formula>
    </cfRule>
  </conditionalFormatting>
  <conditionalFormatting sqref="VB98">
    <cfRule type="cellIs" dxfId="2825" priority="1642" operator="lessThan">
      <formula>0</formula>
    </cfRule>
    <cfRule type="cellIs" dxfId="2824" priority="1643" operator="greaterThan">
      <formula>0</formula>
    </cfRule>
  </conditionalFormatting>
  <conditionalFormatting sqref="VB6 VB9:VB11">
    <cfRule type="cellIs" dxfId="2823" priority="1666" operator="lessThan">
      <formula>0</formula>
    </cfRule>
    <cfRule type="cellIs" dxfId="2822" priority="1667" operator="greaterThan">
      <formula>0</formula>
    </cfRule>
  </conditionalFormatting>
  <conditionalFormatting sqref="VB43:VB44">
    <cfRule type="cellIs" dxfId="2821" priority="1644" operator="lessThan">
      <formula>0</formula>
    </cfRule>
    <cfRule type="cellIs" dxfId="2820" priority="1645" operator="greaterThan">
      <formula>0</formula>
    </cfRule>
  </conditionalFormatting>
  <conditionalFormatting sqref="VB11 VB19 VB3 VB24:VB32 VB34:VB42 VB69:VB79">
    <cfRule type="cellIs" dxfId="2819" priority="1672" operator="lessThan">
      <formula>0</formula>
    </cfRule>
    <cfRule type="cellIs" dxfId="2818" priority="1673" operator="greaterThan">
      <formula>0</formula>
    </cfRule>
  </conditionalFormatting>
  <conditionalFormatting sqref="VB4:VB5">
    <cfRule type="cellIs" dxfId="2817" priority="1668" operator="lessThan">
      <formula>0</formula>
    </cfRule>
    <cfRule type="cellIs" dxfId="2816" priority="1669" operator="greaterThan">
      <formula>0</formula>
    </cfRule>
  </conditionalFormatting>
  <conditionalFormatting sqref="VB12:VB13">
    <cfRule type="cellIs" dxfId="2815" priority="1664" operator="lessThan">
      <formula>0</formula>
    </cfRule>
    <cfRule type="cellIs" dxfId="2814" priority="1665" operator="greaterThan">
      <formula>0</formula>
    </cfRule>
  </conditionalFormatting>
  <conditionalFormatting sqref="VB14:VB19">
    <cfRule type="cellIs" dxfId="2813" priority="1662" operator="lessThan">
      <formula>0</formula>
    </cfRule>
    <cfRule type="cellIs" dxfId="2812" priority="1663" operator="greaterThan">
      <formula>0</formula>
    </cfRule>
  </conditionalFormatting>
  <conditionalFormatting sqref="VB20:VB22">
    <cfRule type="cellIs" dxfId="2811" priority="1660" operator="lessThan">
      <formula>0</formula>
    </cfRule>
    <cfRule type="cellIs" dxfId="2810" priority="1661" operator="greaterThan">
      <formula>0</formula>
    </cfRule>
  </conditionalFormatting>
  <conditionalFormatting sqref="VB45:VB46">
    <cfRule type="cellIs" dxfId="2809" priority="1670" operator="lessThan">
      <formula>0</formula>
    </cfRule>
    <cfRule type="cellIs" dxfId="2808" priority="1671" operator="greaterThan">
      <formula>0</formula>
    </cfRule>
  </conditionalFormatting>
  <conditionalFormatting sqref="VB7">
    <cfRule type="cellIs" dxfId="2807" priority="1658" operator="lessThan">
      <formula>0</formula>
    </cfRule>
    <cfRule type="cellIs" dxfId="2806" priority="1659" operator="greaterThan">
      <formula>0</formula>
    </cfRule>
  </conditionalFormatting>
  <conditionalFormatting sqref="VB7">
    <cfRule type="cellIs" dxfId="2805" priority="1656" operator="lessThan">
      <formula>0</formula>
    </cfRule>
    <cfRule type="cellIs" dxfId="2804" priority="1657" operator="greaterThan">
      <formula>0</formula>
    </cfRule>
  </conditionalFormatting>
  <conditionalFormatting sqref="VB8">
    <cfRule type="cellIs" dxfId="2803" priority="1654" operator="lessThan">
      <formula>0</formula>
    </cfRule>
    <cfRule type="cellIs" dxfId="2802" priority="1655" operator="greaterThan">
      <formula>0</formula>
    </cfRule>
  </conditionalFormatting>
  <conditionalFormatting sqref="VB47">
    <cfRule type="cellIs" dxfId="2801" priority="1652" operator="lessThan">
      <formula>0</formula>
    </cfRule>
    <cfRule type="cellIs" dxfId="2800" priority="1653" operator="greaterThan">
      <formula>0</formula>
    </cfRule>
  </conditionalFormatting>
  <conditionalFormatting sqref="VB44">
    <cfRule type="cellIs" dxfId="2799" priority="1650" operator="lessThan">
      <formula>0</formula>
    </cfRule>
    <cfRule type="cellIs" dxfId="2798" priority="1651" operator="greaterThan">
      <formula>0</formula>
    </cfRule>
  </conditionalFormatting>
  <conditionalFormatting sqref="VB23:VB24">
    <cfRule type="cellIs" dxfId="2797" priority="1648" operator="lessThan">
      <formula>0</formula>
    </cfRule>
    <cfRule type="cellIs" dxfId="2796" priority="1649" operator="greaterThan">
      <formula>0</formula>
    </cfRule>
  </conditionalFormatting>
  <conditionalFormatting sqref="VB33:VB34">
    <cfRule type="cellIs" dxfId="2795" priority="1646" operator="lessThan">
      <formula>0</formula>
    </cfRule>
    <cfRule type="cellIs" dxfId="2794" priority="1647" operator="greaterThan">
      <formula>0</formula>
    </cfRule>
  </conditionalFormatting>
  <conditionalFormatting sqref="VB101">
    <cfRule type="cellIs" dxfId="2793" priority="1640" operator="lessThan">
      <formula>0</formula>
    </cfRule>
    <cfRule type="cellIs" dxfId="2792" priority="1641" operator="greaterThan">
      <formula>0</formula>
    </cfRule>
  </conditionalFormatting>
  <conditionalFormatting sqref="VB104">
    <cfRule type="cellIs" dxfId="2791" priority="1638" operator="lessThan">
      <formula>0</formula>
    </cfRule>
    <cfRule type="cellIs" dxfId="2790" priority="1639" operator="greaterThan">
      <formula>0</formula>
    </cfRule>
  </conditionalFormatting>
  <conditionalFormatting sqref="VB48:VB49">
    <cfRule type="cellIs" dxfId="2789" priority="1636" operator="lessThan">
      <formula>0</formula>
    </cfRule>
    <cfRule type="cellIs" dxfId="2788" priority="1637" operator="greaterThan">
      <formula>0</formula>
    </cfRule>
  </conditionalFormatting>
  <conditionalFormatting sqref="VD91:VD96">
    <cfRule type="cellIs" dxfId="2787" priority="1634" operator="lessThan">
      <formula>0</formula>
    </cfRule>
    <cfRule type="cellIs" dxfId="2786" priority="1635" operator="greaterThan">
      <formula>0</formula>
    </cfRule>
  </conditionalFormatting>
  <conditionalFormatting sqref="VD50:VD68 VD80:VD90">
    <cfRule type="cellIs" dxfId="2785" priority="1632" operator="lessThan">
      <formula>0</formula>
    </cfRule>
    <cfRule type="cellIs" dxfId="2784" priority="1633" operator="greaterThan">
      <formula>0</formula>
    </cfRule>
  </conditionalFormatting>
  <conditionalFormatting sqref="VD98">
    <cfRule type="cellIs" dxfId="2783" priority="1600" operator="lessThan">
      <formula>0</formula>
    </cfRule>
    <cfRule type="cellIs" dxfId="2782" priority="1601" operator="greaterThan">
      <formula>0</formula>
    </cfRule>
  </conditionalFormatting>
  <conditionalFormatting sqref="VD6 VD9:VD11">
    <cfRule type="cellIs" dxfId="2781" priority="1624" operator="lessThan">
      <formula>0</formula>
    </cfRule>
    <cfRule type="cellIs" dxfId="2780" priority="1625" operator="greaterThan">
      <formula>0</formula>
    </cfRule>
  </conditionalFormatting>
  <conditionalFormatting sqref="VD43:VD44">
    <cfRule type="cellIs" dxfId="2779" priority="1602" operator="lessThan">
      <formula>0</formula>
    </cfRule>
    <cfRule type="cellIs" dxfId="2778" priority="1603" operator="greaterThan">
      <formula>0</formula>
    </cfRule>
  </conditionalFormatting>
  <conditionalFormatting sqref="VD11 VD19 VD3 VD24:VD32 VD34:VD42 VD69:VD79">
    <cfRule type="cellIs" dxfId="2777" priority="1630" operator="lessThan">
      <formula>0</formula>
    </cfRule>
    <cfRule type="cellIs" dxfId="2776" priority="1631" operator="greaterThan">
      <formula>0</formula>
    </cfRule>
  </conditionalFormatting>
  <conditionalFormatting sqref="VD4:VD5">
    <cfRule type="cellIs" dxfId="2775" priority="1626" operator="lessThan">
      <formula>0</formula>
    </cfRule>
    <cfRule type="cellIs" dxfId="2774" priority="1627" operator="greaterThan">
      <formula>0</formula>
    </cfRule>
  </conditionalFormatting>
  <conditionalFormatting sqref="VD12:VD13">
    <cfRule type="cellIs" dxfId="2773" priority="1622" operator="lessThan">
      <formula>0</formula>
    </cfRule>
    <cfRule type="cellIs" dxfId="2772" priority="1623" operator="greaterThan">
      <formula>0</formula>
    </cfRule>
  </conditionalFormatting>
  <conditionalFormatting sqref="VD14:VD19">
    <cfRule type="cellIs" dxfId="2771" priority="1620" operator="lessThan">
      <formula>0</formula>
    </cfRule>
    <cfRule type="cellIs" dxfId="2770" priority="1621" operator="greaterThan">
      <formula>0</formula>
    </cfRule>
  </conditionalFormatting>
  <conditionalFormatting sqref="VD20:VD22">
    <cfRule type="cellIs" dxfId="2769" priority="1618" operator="lessThan">
      <formula>0</formula>
    </cfRule>
    <cfRule type="cellIs" dxfId="2768" priority="1619" operator="greaterThan">
      <formula>0</formula>
    </cfRule>
  </conditionalFormatting>
  <conditionalFormatting sqref="VD45:VD46">
    <cfRule type="cellIs" dxfId="2767" priority="1628" operator="lessThan">
      <formula>0</formula>
    </cfRule>
    <cfRule type="cellIs" dxfId="2766" priority="1629" operator="greaterThan">
      <formula>0</formula>
    </cfRule>
  </conditionalFormatting>
  <conditionalFormatting sqref="VD7">
    <cfRule type="cellIs" dxfId="2765" priority="1616" operator="lessThan">
      <formula>0</formula>
    </cfRule>
    <cfRule type="cellIs" dxfId="2764" priority="1617" operator="greaterThan">
      <formula>0</formula>
    </cfRule>
  </conditionalFormatting>
  <conditionalFormatting sqref="VD7">
    <cfRule type="cellIs" dxfId="2763" priority="1614" operator="lessThan">
      <formula>0</formula>
    </cfRule>
    <cfRule type="cellIs" dxfId="2762" priority="1615" operator="greaterThan">
      <formula>0</formula>
    </cfRule>
  </conditionalFormatting>
  <conditionalFormatting sqref="VD8">
    <cfRule type="cellIs" dxfId="2761" priority="1612" operator="lessThan">
      <formula>0</formula>
    </cfRule>
    <cfRule type="cellIs" dxfId="2760" priority="1613" operator="greaterThan">
      <formula>0</formula>
    </cfRule>
  </conditionalFormatting>
  <conditionalFormatting sqref="VD47">
    <cfRule type="cellIs" dxfId="2759" priority="1610" operator="lessThan">
      <formula>0</formula>
    </cfRule>
    <cfRule type="cellIs" dxfId="2758" priority="1611" operator="greaterThan">
      <formula>0</formula>
    </cfRule>
  </conditionalFormatting>
  <conditionalFormatting sqref="VD44">
    <cfRule type="cellIs" dxfId="2757" priority="1608" operator="lessThan">
      <formula>0</formula>
    </cfRule>
    <cfRule type="cellIs" dxfId="2756" priority="1609" operator="greaterThan">
      <formula>0</formula>
    </cfRule>
  </conditionalFormatting>
  <conditionalFormatting sqref="VD23:VD24">
    <cfRule type="cellIs" dxfId="2755" priority="1606" operator="lessThan">
      <formula>0</formula>
    </cfRule>
    <cfRule type="cellIs" dxfId="2754" priority="1607" operator="greaterThan">
      <formula>0</formula>
    </cfRule>
  </conditionalFormatting>
  <conditionalFormatting sqref="VD33:VD34">
    <cfRule type="cellIs" dxfId="2753" priority="1604" operator="lessThan">
      <formula>0</formula>
    </cfRule>
    <cfRule type="cellIs" dxfId="2752" priority="1605" operator="greaterThan">
      <formula>0</formula>
    </cfRule>
  </conditionalFormatting>
  <conditionalFormatting sqref="VD101">
    <cfRule type="cellIs" dxfId="2751" priority="1598" operator="lessThan">
      <formula>0</formula>
    </cfRule>
    <cfRule type="cellIs" dxfId="2750" priority="1599" operator="greaterThan">
      <formula>0</formula>
    </cfRule>
  </conditionalFormatting>
  <conditionalFormatting sqref="VD104">
    <cfRule type="cellIs" dxfId="2749" priority="1596" operator="lessThan">
      <formula>0</formula>
    </cfRule>
    <cfRule type="cellIs" dxfId="2748" priority="1597" operator="greaterThan">
      <formula>0</formula>
    </cfRule>
  </conditionalFormatting>
  <conditionalFormatting sqref="VD48:VD49">
    <cfRule type="cellIs" dxfId="2747" priority="1594" operator="lessThan">
      <formula>0</formula>
    </cfRule>
    <cfRule type="cellIs" dxfId="2746" priority="1595" operator="greaterThan">
      <formula>0</formula>
    </cfRule>
  </conditionalFormatting>
  <conditionalFormatting sqref="VF91:VF96">
    <cfRule type="cellIs" dxfId="2745" priority="1581" operator="lessThan">
      <formula>0</formula>
    </cfRule>
    <cfRule type="cellIs" dxfId="2744" priority="1582" operator="greaterThan">
      <formula>0</formula>
    </cfRule>
  </conditionalFormatting>
  <conditionalFormatting sqref="VF50:VF68 VF80:VF90">
    <cfRule type="cellIs" dxfId="2743" priority="1579" operator="lessThan">
      <formula>0</formula>
    </cfRule>
    <cfRule type="cellIs" dxfId="2742" priority="1580" operator="greaterThan">
      <formula>0</formula>
    </cfRule>
  </conditionalFormatting>
  <conditionalFormatting sqref="VF98">
    <cfRule type="cellIs" dxfId="2741" priority="1547" operator="lessThan">
      <formula>0</formula>
    </cfRule>
    <cfRule type="cellIs" dxfId="2740" priority="1548" operator="greaterThan">
      <formula>0</formula>
    </cfRule>
  </conditionalFormatting>
  <conditionalFormatting sqref="VF6 VF9:VF11">
    <cfRule type="cellIs" dxfId="2739" priority="1571" operator="lessThan">
      <formula>0</formula>
    </cfRule>
    <cfRule type="cellIs" dxfId="2738" priority="1572" operator="greaterThan">
      <formula>0</formula>
    </cfRule>
  </conditionalFormatting>
  <conditionalFormatting sqref="VF43:VF44">
    <cfRule type="cellIs" dxfId="2737" priority="1549" operator="lessThan">
      <formula>0</formula>
    </cfRule>
    <cfRule type="cellIs" dxfId="2736" priority="1550" operator="greaterThan">
      <formula>0</formula>
    </cfRule>
  </conditionalFormatting>
  <conditionalFormatting sqref="VF11 VF19 VF3 VF24:VF32 VF34:VF42 VF69:VF79">
    <cfRule type="cellIs" dxfId="2735" priority="1577" operator="lessThan">
      <formula>0</formula>
    </cfRule>
    <cfRule type="cellIs" dxfId="2734" priority="1578" operator="greaterThan">
      <formula>0</formula>
    </cfRule>
  </conditionalFormatting>
  <conditionalFormatting sqref="VF4:VF5">
    <cfRule type="cellIs" dxfId="2733" priority="1573" operator="lessThan">
      <formula>0</formula>
    </cfRule>
    <cfRule type="cellIs" dxfId="2732" priority="1574" operator="greaterThan">
      <formula>0</formula>
    </cfRule>
  </conditionalFormatting>
  <conditionalFormatting sqref="VF12:VF13">
    <cfRule type="cellIs" dxfId="2731" priority="1569" operator="lessThan">
      <formula>0</formula>
    </cfRule>
    <cfRule type="cellIs" dxfId="2730" priority="1570" operator="greaterThan">
      <formula>0</formula>
    </cfRule>
  </conditionalFormatting>
  <conditionalFormatting sqref="VF14:VF19">
    <cfRule type="cellIs" dxfId="2729" priority="1567" operator="lessThan">
      <formula>0</formula>
    </cfRule>
    <cfRule type="cellIs" dxfId="2728" priority="1568" operator="greaterThan">
      <formula>0</formula>
    </cfRule>
  </conditionalFormatting>
  <conditionalFormatting sqref="VF20:VF22">
    <cfRule type="cellIs" dxfId="2727" priority="1565" operator="lessThan">
      <formula>0</formula>
    </cfRule>
    <cfRule type="cellIs" dxfId="2726" priority="1566" operator="greaterThan">
      <formula>0</formula>
    </cfRule>
  </conditionalFormatting>
  <conditionalFormatting sqref="VF45:VF46">
    <cfRule type="cellIs" dxfId="2725" priority="1575" operator="lessThan">
      <formula>0</formula>
    </cfRule>
    <cfRule type="cellIs" dxfId="2724" priority="1576" operator="greaterThan">
      <formula>0</formula>
    </cfRule>
  </conditionalFormatting>
  <conditionalFormatting sqref="VF7">
    <cfRule type="cellIs" dxfId="2723" priority="1563" operator="lessThan">
      <formula>0</formula>
    </cfRule>
    <cfRule type="cellIs" dxfId="2722" priority="1564" operator="greaterThan">
      <formula>0</formula>
    </cfRule>
  </conditionalFormatting>
  <conditionalFormatting sqref="VF7">
    <cfRule type="cellIs" dxfId="2721" priority="1561" operator="lessThan">
      <formula>0</formula>
    </cfRule>
    <cfRule type="cellIs" dxfId="2720" priority="1562" operator="greaterThan">
      <formula>0</formula>
    </cfRule>
  </conditionalFormatting>
  <conditionalFormatting sqref="VF8">
    <cfRule type="cellIs" dxfId="2719" priority="1559" operator="lessThan">
      <formula>0</formula>
    </cfRule>
    <cfRule type="cellIs" dxfId="2718" priority="1560" operator="greaterThan">
      <formula>0</formula>
    </cfRule>
  </conditionalFormatting>
  <conditionalFormatting sqref="VF47">
    <cfRule type="cellIs" dxfId="2717" priority="1557" operator="lessThan">
      <formula>0</formula>
    </cfRule>
    <cfRule type="cellIs" dxfId="2716" priority="1558" operator="greaterThan">
      <formula>0</formula>
    </cfRule>
  </conditionalFormatting>
  <conditionalFormatting sqref="VF44">
    <cfRule type="cellIs" dxfId="2715" priority="1555" operator="lessThan">
      <formula>0</formula>
    </cfRule>
    <cfRule type="cellIs" dxfId="2714" priority="1556" operator="greaterThan">
      <formula>0</formula>
    </cfRule>
  </conditionalFormatting>
  <conditionalFormatting sqref="VF23:VF24">
    <cfRule type="cellIs" dxfId="2713" priority="1553" operator="lessThan">
      <formula>0</formula>
    </cfRule>
    <cfRule type="cellIs" dxfId="2712" priority="1554" operator="greaterThan">
      <formula>0</formula>
    </cfRule>
  </conditionalFormatting>
  <conditionalFormatting sqref="VF33:VF34">
    <cfRule type="cellIs" dxfId="2711" priority="1551" operator="lessThan">
      <formula>0</formula>
    </cfRule>
    <cfRule type="cellIs" dxfId="2710" priority="1552" operator="greaterThan">
      <formula>0</formula>
    </cfRule>
  </conditionalFormatting>
  <conditionalFormatting sqref="VF101">
    <cfRule type="cellIs" dxfId="2709" priority="1545" operator="lessThan">
      <formula>0</formula>
    </cfRule>
    <cfRule type="cellIs" dxfId="2708" priority="1546" operator="greaterThan">
      <formula>0</formula>
    </cfRule>
  </conditionalFormatting>
  <conditionalFormatting sqref="VF104">
    <cfRule type="cellIs" dxfId="2707" priority="1543" operator="lessThan">
      <formula>0</formula>
    </cfRule>
    <cfRule type="cellIs" dxfId="2706" priority="1544" operator="greaterThan">
      <formula>0</formula>
    </cfRule>
  </conditionalFormatting>
  <conditionalFormatting sqref="VF48:VF49">
    <cfRule type="cellIs" dxfId="2705" priority="1541" operator="lessThan">
      <formula>0</formula>
    </cfRule>
    <cfRule type="cellIs" dxfId="2704" priority="1542" operator="greaterThan">
      <formula>0</formula>
    </cfRule>
  </conditionalFormatting>
  <conditionalFormatting sqref="VH91:VH96">
    <cfRule type="cellIs" dxfId="2703" priority="1539" operator="lessThan">
      <formula>0</formula>
    </cfRule>
    <cfRule type="cellIs" dxfId="2702" priority="1540" operator="greaterThan">
      <formula>0</formula>
    </cfRule>
  </conditionalFormatting>
  <conditionalFormatting sqref="VH50:VH68 VH80:VH90">
    <cfRule type="cellIs" dxfId="2701" priority="1537" operator="lessThan">
      <formula>0</formula>
    </cfRule>
    <cfRule type="cellIs" dxfId="2700" priority="1538" operator="greaterThan">
      <formula>0</formula>
    </cfRule>
  </conditionalFormatting>
  <conditionalFormatting sqref="VH98">
    <cfRule type="cellIs" dxfId="2699" priority="1505" operator="lessThan">
      <formula>0</formula>
    </cfRule>
    <cfRule type="cellIs" dxfId="2698" priority="1506" operator="greaterThan">
      <formula>0</formula>
    </cfRule>
  </conditionalFormatting>
  <conditionalFormatting sqref="VH6 VH9:VH11">
    <cfRule type="cellIs" dxfId="2697" priority="1529" operator="lessThan">
      <formula>0</formula>
    </cfRule>
    <cfRule type="cellIs" dxfId="2696" priority="1530" operator="greaterThan">
      <formula>0</formula>
    </cfRule>
  </conditionalFormatting>
  <conditionalFormatting sqref="VH43:VH44">
    <cfRule type="cellIs" dxfId="2695" priority="1507" operator="lessThan">
      <formula>0</formula>
    </cfRule>
    <cfRule type="cellIs" dxfId="2694" priority="1508" operator="greaterThan">
      <formula>0</formula>
    </cfRule>
  </conditionalFormatting>
  <conditionalFormatting sqref="VH11 VH19 VH3 VH24:VH32 VH34:VH42 VH69:VH79">
    <cfRule type="cellIs" dxfId="2693" priority="1535" operator="lessThan">
      <formula>0</formula>
    </cfRule>
    <cfRule type="cellIs" dxfId="2692" priority="1536" operator="greaterThan">
      <formula>0</formula>
    </cfRule>
  </conditionalFormatting>
  <conditionalFormatting sqref="VH4:VH5">
    <cfRule type="cellIs" dxfId="2691" priority="1531" operator="lessThan">
      <formula>0</formula>
    </cfRule>
    <cfRule type="cellIs" dxfId="2690" priority="1532" operator="greaterThan">
      <formula>0</formula>
    </cfRule>
  </conditionalFormatting>
  <conditionalFormatting sqref="VH12:VH13">
    <cfRule type="cellIs" dxfId="2689" priority="1527" operator="lessThan">
      <formula>0</formula>
    </cfRule>
    <cfRule type="cellIs" dxfId="2688" priority="1528" operator="greaterThan">
      <formula>0</formula>
    </cfRule>
  </conditionalFormatting>
  <conditionalFormatting sqref="VH14:VH19">
    <cfRule type="cellIs" dxfId="2687" priority="1525" operator="lessThan">
      <formula>0</formula>
    </cfRule>
    <cfRule type="cellIs" dxfId="2686" priority="1526" operator="greaterThan">
      <formula>0</formula>
    </cfRule>
  </conditionalFormatting>
  <conditionalFormatting sqref="VH20:VH22">
    <cfRule type="cellIs" dxfId="2685" priority="1523" operator="lessThan">
      <formula>0</formula>
    </cfRule>
    <cfRule type="cellIs" dxfId="2684" priority="1524" operator="greaterThan">
      <formula>0</formula>
    </cfRule>
  </conditionalFormatting>
  <conditionalFormatting sqref="VH45:VH46">
    <cfRule type="cellIs" dxfId="2683" priority="1533" operator="lessThan">
      <formula>0</formula>
    </cfRule>
    <cfRule type="cellIs" dxfId="2682" priority="1534" operator="greaterThan">
      <formula>0</formula>
    </cfRule>
  </conditionalFormatting>
  <conditionalFormatting sqref="VH7">
    <cfRule type="cellIs" dxfId="2681" priority="1521" operator="lessThan">
      <formula>0</formula>
    </cfRule>
    <cfRule type="cellIs" dxfId="2680" priority="1522" operator="greaterThan">
      <formula>0</formula>
    </cfRule>
  </conditionalFormatting>
  <conditionalFormatting sqref="VH7">
    <cfRule type="cellIs" dxfId="2679" priority="1519" operator="lessThan">
      <formula>0</formula>
    </cfRule>
    <cfRule type="cellIs" dxfId="2678" priority="1520" operator="greaterThan">
      <formula>0</formula>
    </cfRule>
  </conditionalFormatting>
  <conditionalFormatting sqref="VH8">
    <cfRule type="cellIs" dxfId="2677" priority="1517" operator="lessThan">
      <formula>0</formula>
    </cfRule>
    <cfRule type="cellIs" dxfId="2676" priority="1518" operator="greaterThan">
      <formula>0</formula>
    </cfRule>
  </conditionalFormatting>
  <conditionalFormatting sqref="VH47">
    <cfRule type="cellIs" dxfId="2675" priority="1515" operator="lessThan">
      <formula>0</formula>
    </cfRule>
    <cfRule type="cellIs" dxfId="2674" priority="1516" operator="greaterThan">
      <formula>0</formula>
    </cfRule>
  </conditionalFormatting>
  <conditionalFormatting sqref="VH44">
    <cfRule type="cellIs" dxfId="2673" priority="1513" operator="lessThan">
      <formula>0</formula>
    </cfRule>
    <cfRule type="cellIs" dxfId="2672" priority="1514" operator="greaterThan">
      <formula>0</formula>
    </cfRule>
  </conditionalFormatting>
  <conditionalFormatting sqref="VH23:VH24">
    <cfRule type="cellIs" dxfId="2671" priority="1511" operator="lessThan">
      <formula>0</formula>
    </cfRule>
    <cfRule type="cellIs" dxfId="2670" priority="1512" operator="greaterThan">
      <formula>0</formula>
    </cfRule>
  </conditionalFormatting>
  <conditionalFormatting sqref="VH33:VH34">
    <cfRule type="cellIs" dxfId="2669" priority="1509" operator="lessThan">
      <formula>0</formula>
    </cfRule>
    <cfRule type="cellIs" dxfId="2668" priority="1510" operator="greaterThan">
      <formula>0</formula>
    </cfRule>
  </conditionalFormatting>
  <conditionalFormatting sqref="VH101">
    <cfRule type="cellIs" dxfId="2667" priority="1503" operator="lessThan">
      <formula>0</formula>
    </cfRule>
    <cfRule type="cellIs" dxfId="2666" priority="1504" operator="greaterThan">
      <formula>0</formula>
    </cfRule>
  </conditionalFormatting>
  <conditionalFormatting sqref="VH104">
    <cfRule type="cellIs" dxfId="2665" priority="1501" operator="lessThan">
      <formula>0</formula>
    </cfRule>
    <cfRule type="cellIs" dxfId="2664" priority="1502" operator="greaterThan">
      <formula>0</formula>
    </cfRule>
  </conditionalFormatting>
  <conditionalFormatting sqref="VH48:VH49">
    <cfRule type="cellIs" dxfId="2663" priority="1499" operator="lessThan">
      <formula>0</formula>
    </cfRule>
    <cfRule type="cellIs" dxfId="2662" priority="1500" operator="greaterThan">
      <formula>0</formula>
    </cfRule>
  </conditionalFormatting>
  <conditionalFormatting sqref="VJ91:VJ96">
    <cfRule type="cellIs" dxfId="2661" priority="1497" operator="lessThan">
      <formula>0</formula>
    </cfRule>
    <cfRule type="cellIs" dxfId="2660" priority="1498" operator="greaterThan">
      <formula>0</formula>
    </cfRule>
  </conditionalFormatting>
  <conditionalFormatting sqref="VJ50:VJ68 VJ80:VJ90">
    <cfRule type="cellIs" dxfId="2659" priority="1495" operator="lessThan">
      <formula>0</formula>
    </cfRule>
    <cfRule type="cellIs" dxfId="2658" priority="1496" operator="greaterThan">
      <formula>0</formula>
    </cfRule>
  </conditionalFormatting>
  <conditionalFormatting sqref="VJ98">
    <cfRule type="cellIs" dxfId="2657" priority="1463" operator="lessThan">
      <formula>0</formula>
    </cfRule>
    <cfRule type="cellIs" dxfId="2656" priority="1464" operator="greaterThan">
      <formula>0</formula>
    </cfRule>
  </conditionalFormatting>
  <conditionalFormatting sqref="VJ6 VJ9:VJ11">
    <cfRule type="cellIs" dxfId="2655" priority="1487" operator="lessThan">
      <formula>0</formula>
    </cfRule>
    <cfRule type="cellIs" dxfId="2654" priority="1488" operator="greaterThan">
      <formula>0</formula>
    </cfRule>
  </conditionalFormatting>
  <conditionalFormatting sqref="VJ43:VJ44">
    <cfRule type="cellIs" dxfId="2653" priority="1465" operator="lessThan">
      <formula>0</formula>
    </cfRule>
    <cfRule type="cellIs" dxfId="2652" priority="1466" operator="greaterThan">
      <formula>0</formula>
    </cfRule>
  </conditionalFormatting>
  <conditionalFormatting sqref="VJ11 VJ19 VJ3 VJ24:VJ32 VJ34:VJ42 VJ69:VJ79">
    <cfRule type="cellIs" dxfId="2651" priority="1493" operator="lessThan">
      <formula>0</formula>
    </cfRule>
    <cfRule type="cellIs" dxfId="2650" priority="1494" operator="greaterThan">
      <formula>0</formula>
    </cfRule>
  </conditionalFormatting>
  <conditionalFormatting sqref="VJ4:VJ5">
    <cfRule type="cellIs" dxfId="2649" priority="1489" operator="lessThan">
      <formula>0</formula>
    </cfRule>
    <cfRule type="cellIs" dxfId="2648" priority="1490" operator="greaterThan">
      <formula>0</formula>
    </cfRule>
  </conditionalFormatting>
  <conditionalFormatting sqref="VJ12:VJ13">
    <cfRule type="cellIs" dxfId="2647" priority="1485" operator="lessThan">
      <formula>0</formula>
    </cfRule>
    <cfRule type="cellIs" dxfId="2646" priority="1486" operator="greaterThan">
      <formula>0</formula>
    </cfRule>
  </conditionalFormatting>
  <conditionalFormatting sqref="VJ14:VJ19">
    <cfRule type="cellIs" dxfId="2645" priority="1483" operator="lessThan">
      <formula>0</formula>
    </cfRule>
    <cfRule type="cellIs" dxfId="2644" priority="1484" operator="greaterThan">
      <formula>0</formula>
    </cfRule>
  </conditionalFormatting>
  <conditionalFormatting sqref="VJ20:VJ22">
    <cfRule type="cellIs" dxfId="2643" priority="1481" operator="lessThan">
      <formula>0</formula>
    </cfRule>
    <cfRule type="cellIs" dxfId="2642" priority="1482" operator="greaterThan">
      <formula>0</formula>
    </cfRule>
  </conditionalFormatting>
  <conditionalFormatting sqref="VJ45:VJ46">
    <cfRule type="cellIs" dxfId="2641" priority="1491" operator="lessThan">
      <formula>0</formula>
    </cfRule>
    <cfRule type="cellIs" dxfId="2640" priority="1492" operator="greaterThan">
      <formula>0</formula>
    </cfRule>
  </conditionalFormatting>
  <conditionalFormatting sqref="VJ7">
    <cfRule type="cellIs" dxfId="2639" priority="1479" operator="lessThan">
      <formula>0</formula>
    </cfRule>
    <cfRule type="cellIs" dxfId="2638" priority="1480" operator="greaterThan">
      <formula>0</formula>
    </cfRule>
  </conditionalFormatting>
  <conditionalFormatting sqref="VJ7">
    <cfRule type="cellIs" dxfId="2637" priority="1477" operator="lessThan">
      <formula>0</formula>
    </cfRule>
    <cfRule type="cellIs" dxfId="2636" priority="1478" operator="greaterThan">
      <formula>0</formula>
    </cfRule>
  </conditionalFormatting>
  <conditionalFormatting sqref="VJ8">
    <cfRule type="cellIs" dxfId="2635" priority="1475" operator="lessThan">
      <formula>0</formula>
    </cfRule>
    <cfRule type="cellIs" dxfId="2634" priority="1476" operator="greaterThan">
      <formula>0</formula>
    </cfRule>
  </conditionalFormatting>
  <conditionalFormatting sqref="VJ47">
    <cfRule type="cellIs" dxfId="2633" priority="1473" operator="lessThan">
      <formula>0</formula>
    </cfRule>
    <cfRule type="cellIs" dxfId="2632" priority="1474" operator="greaterThan">
      <formula>0</formula>
    </cfRule>
  </conditionalFormatting>
  <conditionalFormatting sqref="VJ44">
    <cfRule type="cellIs" dxfId="2631" priority="1471" operator="lessThan">
      <formula>0</formula>
    </cfRule>
    <cfRule type="cellIs" dxfId="2630" priority="1472" operator="greaterThan">
      <formula>0</formula>
    </cfRule>
  </conditionalFormatting>
  <conditionalFormatting sqref="VJ23:VJ24">
    <cfRule type="cellIs" dxfId="2629" priority="1469" operator="lessThan">
      <formula>0</formula>
    </cfRule>
    <cfRule type="cellIs" dxfId="2628" priority="1470" operator="greaterThan">
      <formula>0</formula>
    </cfRule>
  </conditionalFormatting>
  <conditionalFormatting sqref="VJ33:VJ34">
    <cfRule type="cellIs" dxfId="2627" priority="1467" operator="lessThan">
      <formula>0</formula>
    </cfRule>
    <cfRule type="cellIs" dxfId="2626" priority="1468" operator="greaterThan">
      <formula>0</formula>
    </cfRule>
  </conditionalFormatting>
  <conditionalFormatting sqref="VJ101">
    <cfRule type="cellIs" dxfId="2625" priority="1461" operator="lessThan">
      <formula>0</formula>
    </cfRule>
    <cfRule type="cellIs" dxfId="2624" priority="1462" operator="greaterThan">
      <formula>0</formula>
    </cfRule>
  </conditionalFormatting>
  <conditionalFormatting sqref="VJ104">
    <cfRule type="cellIs" dxfId="2623" priority="1459" operator="lessThan">
      <formula>0</formula>
    </cfRule>
    <cfRule type="cellIs" dxfId="2622" priority="1460" operator="greaterThan">
      <formula>0</formula>
    </cfRule>
  </conditionalFormatting>
  <conditionalFormatting sqref="VJ48:VJ49">
    <cfRule type="cellIs" dxfId="2621" priority="1457" operator="lessThan">
      <formula>0</formula>
    </cfRule>
    <cfRule type="cellIs" dxfId="2620" priority="1458" operator="greaterThan">
      <formula>0</formula>
    </cfRule>
  </conditionalFormatting>
  <conditionalFormatting sqref="VL91:VL96">
    <cfRule type="cellIs" dxfId="2619" priority="1455" operator="lessThan">
      <formula>0</formula>
    </cfRule>
    <cfRule type="cellIs" dxfId="2618" priority="1456" operator="greaterThan">
      <formula>0</formula>
    </cfRule>
  </conditionalFormatting>
  <conditionalFormatting sqref="VL50:VL68 VL80:VL90">
    <cfRule type="cellIs" dxfId="2617" priority="1453" operator="lessThan">
      <formula>0</formula>
    </cfRule>
    <cfRule type="cellIs" dxfId="2616" priority="1454" operator="greaterThan">
      <formula>0</formula>
    </cfRule>
  </conditionalFormatting>
  <conditionalFormatting sqref="VL98">
    <cfRule type="cellIs" dxfId="2615" priority="1421" operator="lessThan">
      <formula>0</formula>
    </cfRule>
    <cfRule type="cellIs" dxfId="2614" priority="1422" operator="greaterThan">
      <formula>0</formula>
    </cfRule>
  </conditionalFormatting>
  <conditionalFormatting sqref="VL6 VL9:VL11">
    <cfRule type="cellIs" dxfId="2613" priority="1445" operator="lessThan">
      <formula>0</formula>
    </cfRule>
    <cfRule type="cellIs" dxfId="2612" priority="1446" operator="greaterThan">
      <formula>0</formula>
    </cfRule>
  </conditionalFormatting>
  <conditionalFormatting sqref="VL43:VL44">
    <cfRule type="cellIs" dxfId="2611" priority="1423" operator="lessThan">
      <formula>0</formula>
    </cfRule>
    <cfRule type="cellIs" dxfId="2610" priority="1424" operator="greaterThan">
      <formula>0</formula>
    </cfRule>
  </conditionalFormatting>
  <conditionalFormatting sqref="VL11 VL19 VL3 VL24:VL32 VL34:VL42 VL69:VL79">
    <cfRule type="cellIs" dxfId="2609" priority="1451" operator="lessThan">
      <formula>0</formula>
    </cfRule>
    <cfRule type="cellIs" dxfId="2608" priority="1452" operator="greaterThan">
      <formula>0</formula>
    </cfRule>
  </conditionalFormatting>
  <conditionalFormatting sqref="VL4:VL5">
    <cfRule type="cellIs" dxfId="2607" priority="1447" operator="lessThan">
      <formula>0</formula>
    </cfRule>
    <cfRule type="cellIs" dxfId="2606" priority="1448" operator="greaterThan">
      <formula>0</formula>
    </cfRule>
  </conditionalFormatting>
  <conditionalFormatting sqref="VL12:VL13">
    <cfRule type="cellIs" dxfId="2605" priority="1443" operator="lessThan">
      <formula>0</formula>
    </cfRule>
    <cfRule type="cellIs" dxfId="2604" priority="1444" operator="greaterThan">
      <formula>0</formula>
    </cfRule>
  </conditionalFormatting>
  <conditionalFormatting sqref="VL14:VL19">
    <cfRule type="cellIs" dxfId="2603" priority="1441" operator="lessThan">
      <formula>0</formula>
    </cfRule>
    <cfRule type="cellIs" dxfId="2602" priority="1442" operator="greaterThan">
      <formula>0</formula>
    </cfRule>
  </conditionalFormatting>
  <conditionalFormatting sqref="VL20:VL22">
    <cfRule type="cellIs" dxfId="2601" priority="1439" operator="lessThan">
      <formula>0</formula>
    </cfRule>
    <cfRule type="cellIs" dxfId="2600" priority="1440" operator="greaterThan">
      <formula>0</formula>
    </cfRule>
  </conditionalFormatting>
  <conditionalFormatting sqref="VL45:VL46">
    <cfRule type="cellIs" dxfId="2599" priority="1449" operator="lessThan">
      <formula>0</formula>
    </cfRule>
    <cfRule type="cellIs" dxfId="2598" priority="1450" operator="greaterThan">
      <formula>0</formula>
    </cfRule>
  </conditionalFormatting>
  <conditionalFormatting sqref="VL7">
    <cfRule type="cellIs" dxfId="2597" priority="1437" operator="lessThan">
      <formula>0</formula>
    </cfRule>
    <cfRule type="cellIs" dxfId="2596" priority="1438" operator="greaterThan">
      <formula>0</formula>
    </cfRule>
  </conditionalFormatting>
  <conditionalFormatting sqref="VL7">
    <cfRule type="cellIs" dxfId="2595" priority="1435" operator="lessThan">
      <formula>0</formula>
    </cfRule>
    <cfRule type="cellIs" dxfId="2594" priority="1436" operator="greaterThan">
      <formula>0</formula>
    </cfRule>
  </conditionalFormatting>
  <conditionalFormatting sqref="VL8">
    <cfRule type="cellIs" dxfId="2593" priority="1433" operator="lessThan">
      <formula>0</formula>
    </cfRule>
    <cfRule type="cellIs" dxfId="2592" priority="1434" operator="greaterThan">
      <formula>0</formula>
    </cfRule>
  </conditionalFormatting>
  <conditionalFormatting sqref="VL47">
    <cfRule type="cellIs" dxfId="2591" priority="1431" operator="lessThan">
      <formula>0</formula>
    </cfRule>
    <cfRule type="cellIs" dxfId="2590" priority="1432" operator="greaterThan">
      <formula>0</formula>
    </cfRule>
  </conditionalFormatting>
  <conditionalFormatting sqref="VL44">
    <cfRule type="cellIs" dxfId="2589" priority="1429" operator="lessThan">
      <formula>0</formula>
    </cfRule>
    <cfRule type="cellIs" dxfId="2588" priority="1430" operator="greaterThan">
      <formula>0</formula>
    </cfRule>
  </conditionalFormatting>
  <conditionalFormatting sqref="VL23:VL24">
    <cfRule type="cellIs" dxfId="2587" priority="1427" operator="lessThan">
      <formula>0</formula>
    </cfRule>
    <cfRule type="cellIs" dxfId="2586" priority="1428" operator="greaterThan">
      <formula>0</formula>
    </cfRule>
  </conditionalFormatting>
  <conditionalFormatting sqref="VL33:VL34">
    <cfRule type="cellIs" dxfId="2585" priority="1425" operator="lessThan">
      <formula>0</formula>
    </cfRule>
    <cfRule type="cellIs" dxfId="2584" priority="1426" operator="greaterThan">
      <formula>0</formula>
    </cfRule>
  </conditionalFormatting>
  <conditionalFormatting sqref="VL101">
    <cfRule type="cellIs" dxfId="2583" priority="1419" operator="lessThan">
      <formula>0</formula>
    </cfRule>
    <cfRule type="cellIs" dxfId="2582" priority="1420" operator="greaterThan">
      <formula>0</formula>
    </cfRule>
  </conditionalFormatting>
  <conditionalFormatting sqref="VL104">
    <cfRule type="cellIs" dxfId="2581" priority="1417" operator="lessThan">
      <formula>0</formula>
    </cfRule>
    <cfRule type="cellIs" dxfId="2580" priority="1418" operator="greaterThan">
      <formula>0</formula>
    </cfRule>
  </conditionalFormatting>
  <conditionalFormatting sqref="VL48:VL49">
    <cfRule type="cellIs" dxfId="2579" priority="1415" operator="lessThan">
      <formula>0</formula>
    </cfRule>
    <cfRule type="cellIs" dxfId="2578" priority="1416" operator="greaterThan">
      <formula>0</formula>
    </cfRule>
  </conditionalFormatting>
  <conditionalFormatting sqref="VN91:VN96">
    <cfRule type="cellIs" dxfId="2577" priority="1413" operator="lessThan">
      <formula>0</formula>
    </cfRule>
    <cfRule type="cellIs" dxfId="2576" priority="1414" operator="greaterThan">
      <formula>0</formula>
    </cfRule>
  </conditionalFormatting>
  <conditionalFormatting sqref="VN50:VN68 VN80:VN90">
    <cfRule type="cellIs" dxfId="2575" priority="1411" operator="lessThan">
      <formula>0</formula>
    </cfRule>
    <cfRule type="cellIs" dxfId="2574" priority="1412" operator="greaterThan">
      <formula>0</formula>
    </cfRule>
  </conditionalFormatting>
  <conditionalFormatting sqref="VN98">
    <cfRule type="cellIs" dxfId="2573" priority="1379" operator="lessThan">
      <formula>0</formula>
    </cfRule>
    <cfRule type="cellIs" dxfId="2572" priority="1380" operator="greaterThan">
      <formula>0</formula>
    </cfRule>
  </conditionalFormatting>
  <conditionalFormatting sqref="VN6 VN9:VN11">
    <cfRule type="cellIs" dxfId="2571" priority="1403" operator="lessThan">
      <formula>0</formula>
    </cfRule>
    <cfRule type="cellIs" dxfId="2570" priority="1404" operator="greaterThan">
      <formula>0</formula>
    </cfRule>
  </conditionalFormatting>
  <conditionalFormatting sqref="VN43:VN44">
    <cfRule type="cellIs" dxfId="2569" priority="1381" operator="lessThan">
      <formula>0</formula>
    </cfRule>
    <cfRule type="cellIs" dxfId="2568" priority="1382" operator="greaterThan">
      <formula>0</formula>
    </cfRule>
  </conditionalFormatting>
  <conditionalFormatting sqref="VN11 VN19 VN3 VN24:VN32 VN34:VN42 VN69:VN79">
    <cfRule type="cellIs" dxfId="2567" priority="1409" operator="lessThan">
      <formula>0</formula>
    </cfRule>
    <cfRule type="cellIs" dxfId="2566" priority="1410" operator="greaterThan">
      <formula>0</formula>
    </cfRule>
  </conditionalFormatting>
  <conditionalFormatting sqref="VN4:VN5">
    <cfRule type="cellIs" dxfId="2565" priority="1405" operator="lessThan">
      <formula>0</formula>
    </cfRule>
    <cfRule type="cellIs" dxfId="2564" priority="1406" operator="greaterThan">
      <formula>0</formula>
    </cfRule>
  </conditionalFormatting>
  <conditionalFormatting sqref="VN12:VN13">
    <cfRule type="cellIs" dxfId="2563" priority="1401" operator="lessThan">
      <formula>0</formula>
    </cfRule>
    <cfRule type="cellIs" dxfId="2562" priority="1402" operator="greaterThan">
      <formula>0</formula>
    </cfRule>
  </conditionalFormatting>
  <conditionalFormatting sqref="VN14:VN19">
    <cfRule type="cellIs" dxfId="2561" priority="1399" operator="lessThan">
      <formula>0</formula>
    </cfRule>
    <cfRule type="cellIs" dxfId="2560" priority="1400" operator="greaterThan">
      <formula>0</formula>
    </cfRule>
  </conditionalFormatting>
  <conditionalFormatting sqref="VN20:VN22">
    <cfRule type="cellIs" dxfId="2559" priority="1397" operator="lessThan">
      <formula>0</formula>
    </cfRule>
    <cfRule type="cellIs" dxfId="2558" priority="1398" operator="greaterThan">
      <formula>0</formula>
    </cfRule>
  </conditionalFormatting>
  <conditionalFormatting sqref="VN45:VN46">
    <cfRule type="cellIs" dxfId="2557" priority="1407" operator="lessThan">
      <formula>0</formula>
    </cfRule>
    <cfRule type="cellIs" dxfId="2556" priority="1408" operator="greaterThan">
      <formula>0</formula>
    </cfRule>
  </conditionalFormatting>
  <conditionalFormatting sqref="VN7">
    <cfRule type="cellIs" dxfId="2555" priority="1395" operator="lessThan">
      <formula>0</formula>
    </cfRule>
    <cfRule type="cellIs" dxfId="2554" priority="1396" operator="greaterThan">
      <formula>0</formula>
    </cfRule>
  </conditionalFormatting>
  <conditionalFormatting sqref="VN7">
    <cfRule type="cellIs" dxfId="2553" priority="1393" operator="lessThan">
      <formula>0</formula>
    </cfRule>
    <cfRule type="cellIs" dxfId="2552" priority="1394" operator="greaterThan">
      <formula>0</formula>
    </cfRule>
  </conditionalFormatting>
  <conditionalFormatting sqref="VN8">
    <cfRule type="cellIs" dxfId="2551" priority="1391" operator="lessThan">
      <formula>0</formula>
    </cfRule>
    <cfRule type="cellIs" dxfId="2550" priority="1392" operator="greaterThan">
      <formula>0</formula>
    </cfRule>
  </conditionalFormatting>
  <conditionalFormatting sqref="VN47">
    <cfRule type="cellIs" dxfId="2549" priority="1389" operator="lessThan">
      <formula>0</formula>
    </cfRule>
    <cfRule type="cellIs" dxfId="2548" priority="1390" operator="greaterThan">
      <formula>0</formula>
    </cfRule>
  </conditionalFormatting>
  <conditionalFormatting sqref="VN44">
    <cfRule type="cellIs" dxfId="2547" priority="1387" operator="lessThan">
      <formula>0</formula>
    </cfRule>
    <cfRule type="cellIs" dxfId="2546" priority="1388" operator="greaterThan">
      <formula>0</formula>
    </cfRule>
  </conditionalFormatting>
  <conditionalFormatting sqref="VN23:VN24">
    <cfRule type="cellIs" dxfId="2545" priority="1385" operator="lessThan">
      <formula>0</formula>
    </cfRule>
    <cfRule type="cellIs" dxfId="2544" priority="1386" operator="greaterThan">
      <formula>0</formula>
    </cfRule>
  </conditionalFormatting>
  <conditionalFormatting sqref="VN33:VN34">
    <cfRule type="cellIs" dxfId="2543" priority="1383" operator="lessThan">
      <formula>0</formula>
    </cfRule>
    <cfRule type="cellIs" dxfId="2542" priority="1384" operator="greaterThan">
      <formula>0</formula>
    </cfRule>
  </conditionalFormatting>
  <conditionalFormatting sqref="VN101">
    <cfRule type="cellIs" dxfId="2541" priority="1377" operator="lessThan">
      <formula>0</formula>
    </cfRule>
    <cfRule type="cellIs" dxfId="2540" priority="1378" operator="greaterThan">
      <formula>0</formula>
    </cfRule>
  </conditionalFormatting>
  <conditionalFormatting sqref="VN104">
    <cfRule type="cellIs" dxfId="2539" priority="1375" operator="lessThan">
      <formula>0</formula>
    </cfRule>
    <cfRule type="cellIs" dxfId="2538" priority="1376" operator="greaterThan">
      <formula>0</formula>
    </cfRule>
  </conditionalFormatting>
  <conditionalFormatting sqref="VN48:VN49">
    <cfRule type="cellIs" dxfId="2537" priority="1373" operator="lessThan">
      <formula>0</formula>
    </cfRule>
    <cfRule type="cellIs" dxfId="2536" priority="1374" operator="greaterThan">
      <formula>0</formula>
    </cfRule>
  </conditionalFormatting>
  <conditionalFormatting sqref="VP91:VP96">
    <cfRule type="cellIs" dxfId="2535" priority="1371" operator="lessThan">
      <formula>0</formula>
    </cfRule>
    <cfRule type="cellIs" dxfId="2534" priority="1372" operator="greaterThan">
      <formula>0</formula>
    </cfRule>
  </conditionalFormatting>
  <conditionalFormatting sqref="VP50:VP68 VP80:VP90">
    <cfRule type="cellIs" dxfId="2533" priority="1369" operator="lessThan">
      <formula>0</formula>
    </cfRule>
    <cfRule type="cellIs" dxfId="2532" priority="1370" operator="greaterThan">
      <formula>0</formula>
    </cfRule>
  </conditionalFormatting>
  <conditionalFormatting sqref="VP98">
    <cfRule type="cellIs" dxfId="2531" priority="1337" operator="lessThan">
      <formula>0</formula>
    </cfRule>
    <cfRule type="cellIs" dxfId="2530" priority="1338" operator="greaterThan">
      <formula>0</formula>
    </cfRule>
  </conditionalFormatting>
  <conditionalFormatting sqref="VP6 VP9:VP11">
    <cfRule type="cellIs" dxfId="2529" priority="1361" operator="lessThan">
      <formula>0</formula>
    </cfRule>
    <cfRule type="cellIs" dxfId="2528" priority="1362" operator="greaterThan">
      <formula>0</formula>
    </cfRule>
  </conditionalFormatting>
  <conditionalFormatting sqref="VP43:VP44">
    <cfRule type="cellIs" dxfId="2527" priority="1339" operator="lessThan">
      <formula>0</formula>
    </cfRule>
    <cfRule type="cellIs" dxfId="2526" priority="1340" operator="greaterThan">
      <formula>0</formula>
    </cfRule>
  </conditionalFormatting>
  <conditionalFormatting sqref="VP11 VP19 VP3 VP24:VP32 VP34:VP42 VP69:VP79">
    <cfRule type="cellIs" dxfId="2525" priority="1367" operator="lessThan">
      <formula>0</formula>
    </cfRule>
    <cfRule type="cellIs" dxfId="2524" priority="1368" operator="greaterThan">
      <formula>0</formula>
    </cfRule>
  </conditionalFormatting>
  <conditionalFormatting sqref="VP4:VP5">
    <cfRule type="cellIs" dxfId="2523" priority="1363" operator="lessThan">
      <formula>0</formula>
    </cfRule>
    <cfRule type="cellIs" dxfId="2522" priority="1364" operator="greaterThan">
      <formula>0</formula>
    </cfRule>
  </conditionalFormatting>
  <conditionalFormatting sqref="VP12:VP13">
    <cfRule type="cellIs" dxfId="2521" priority="1359" operator="lessThan">
      <formula>0</formula>
    </cfRule>
    <cfRule type="cellIs" dxfId="2520" priority="1360" operator="greaterThan">
      <formula>0</formula>
    </cfRule>
  </conditionalFormatting>
  <conditionalFormatting sqref="VP14:VP19">
    <cfRule type="cellIs" dxfId="2519" priority="1357" operator="lessThan">
      <formula>0</formula>
    </cfRule>
    <cfRule type="cellIs" dxfId="2518" priority="1358" operator="greaterThan">
      <formula>0</formula>
    </cfRule>
  </conditionalFormatting>
  <conditionalFormatting sqref="VP20:VP22">
    <cfRule type="cellIs" dxfId="2517" priority="1355" operator="lessThan">
      <formula>0</formula>
    </cfRule>
    <cfRule type="cellIs" dxfId="2516" priority="1356" operator="greaterThan">
      <formula>0</formula>
    </cfRule>
  </conditionalFormatting>
  <conditionalFormatting sqref="VP45:VP46">
    <cfRule type="cellIs" dxfId="2515" priority="1365" operator="lessThan">
      <formula>0</formula>
    </cfRule>
    <cfRule type="cellIs" dxfId="2514" priority="1366" operator="greaterThan">
      <formula>0</formula>
    </cfRule>
  </conditionalFormatting>
  <conditionalFormatting sqref="VP7">
    <cfRule type="cellIs" dxfId="2513" priority="1353" operator="lessThan">
      <formula>0</formula>
    </cfRule>
    <cfRule type="cellIs" dxfId="2512" priority="1354" operator="greaterThan">
      <formula>0</formula>
    </cfRule>
  </conditionalFormatting>
  <conditionalFormatting sqref="VP7">
    <cfRule type="cellIs" dxfId="2511" priority="1351" operator="lessThan">
      <formula>0</formula>
    </cfRule>
    <cfRule type="cellIs" dxfId="2510" priority="1352" operator="greaterThan">
      <formula>0</formula>
    </cfRule>
  </conditionalFormatting>
  <conditionalFormatting sqref="VP8">
    <cfRule type="cellIs" dxfId="2509" priority="1349" operator="lessThan">
      <formula>0</formula>
    </cfRule>
    <cfRule type="cellIs" dxfId="2508" priority="1350" operator="greaterThan">
      <formula>0</formula>
    </cfRule>
  </conditionalFormatting>
  <conditionalFormatting sqref="VP47">
    <cfRule type="cellIs" dxfId="2507" priority="1347" operator="lessThan">
      <formula>0</formula>
    </cfRule>
    <cfRule type="cellIs" dxfId="2506" priority="1348" operator="greaterThan">
      <formula>0</formula>
    </cfRule>
  </conditionalFormatting>
  <conditionalFormatting sqref="VP44">
    <cfRule type="cellIs" dxfId="2505" priority="1345" operator="lessThan">
      <formula>0</formula>
    </cfRule>
    <cfRule type="cellIs" dxfId="2504" priority="1346" operator="greaterThan">
      <formula>0</formula>
    </cfRule>
  </conditionalFormatting>
  <conditionalFormatting sqref="VP23:VP24">
    <cfRule type="cellIs" dxfId="2503" priority="1343" operator="lessThan">
      <formula>0</formula>
    </cfRule>
    <cfRule type="cellIs" dxfId="2502" priority="1344" operator="greaterThan">
      <formula>0</formula>
    </cfRule>
  </conditionalFormatting>
  <conditionalFormatting sqref="VP33:VP34">
    <cfRule type="cellIs" dxfId="2501" priority="1341" operator="lessThan">
      <formula>0</formula>
    </cfRule>
    <cfRule type="cellIs" dxfId="2500" priority="1342" operator="greaterThan">
      <formula>0</formula>
    </cfRule>
  </conditionalFormatting>
  <conditionalFormatting sqref="VP101">
    <cfRule type="cellIs" dxfId="2499" priority="1335" operator="lessThan">
      <formula>0</formula>
    </cfRule>
    <cfRule type="cellIs" dxfId="2498" priority="1336" operator="greaterThan">
      <formula>0</formula>
    </cfRule>
  </conditionalFormatting>
  <conditionalFormatting sqref="VP104">
    <cfRule type="cellIs" dxfId="2497" priority="1333" operator="lessThan">
      <formula>0</formula>
    </cfRule>
    <cfRule type="cellIs" dxfId="2496" priority="1334" operator="greaterThan">
      <formula>0</formula>
    </cfRule>
  </conditionalFormatting>
  <conditionalFormatting sqref="VP48:VP49">
    <cfRule type="cellIs" dxfId="2495" priority="1331" operator="lessThan">
      <formula>0</formula>
    </cfRule>
    <cfRule type="cellIs" dxfId="2494" priority="1332" operator="greaterThan">
      <formula>0</formula>
    </cfRule>
  </conditionalFormatting>
  <conditionalFormatting sqref="VR91:VR96">
    <cfRule type="cellIs" dxfId="2493" priority="1329" operator="lessThan">
      <formula>0</formula>
    </cfRule>
    <cfRule type="cellIs" dxfId="2492" priority="1330" operator="greaterThan">
      <formula>0</formula>
    </cfRule>
  </conditionalFormatting>
  <conditionalFormatting sqref="VR50:VR68 VR80:VR90">
    <cfRule type="cellIs" dxfId="2491" priority="1327" operator="lessThan">
      <formula>0</formula>
    </cfRule>
    <cfRule type="cellIs" dxfId="2490" priority="1328" operator="greaterThan">
      <formula>0</formula>
    </cfRule>
  </conditionalFormatting>
  <conditionalFormatting sqref="VR98">
    <cfRule type="cellIs" dxfId="2489" priority="1295" operator="lessThan">
      <formula>0</formula>
    </cfRule>
    <cfRule type="cellIs" dxfId="2488" priority="1296" operator="greaterThan">
      <formula>0</formula>
    </cfRule>
  </conditionalFormatting>
  <conditionalFormatting sqref="VR6 VR9:VR11">
    <cfRule type="cellIs" dxfId="2487" priority="1319" operator="lessThan">
      <formula>0</formula>
    </cfRule>
    <cfRule type="cellIs" dxfId="2486" priority="1320" operator="greaterThan">
      <formula>0</formula>
    </cfRule>
  </conditionalFormatting>
  <conditionalFormatting sqref="VR43:VR44">
    <cfRule type="cellIs" dxfId="2485" priority="1297" operator="lessThan">
      <formula>0</formula>
    </cfRule>
    <cfRule type="cellIs" dxfId="2484" priority="1298" operator="greaterThan">
      <formula>0</formula>
    </cfRule>
  </conditionalFormatting>
  <conditionalFormatting sqref="VR11 VR19 VR3 VR24:VR32 VR34:VR42 VR69:VR79">
    <cfRule type="cellIs" dxfId="2483" priority="1325" operator="lessThan">
      <formula>0</formula>
    </cfRule>
    <cfRule type="cellIs" dxfId="2482" priority="1326" operator="greaterThan">
      <formula>0</formula>
    </cfRule>
  </conditionalFormatting>
  <conditionalFormatting sqref="VR4:VR5">
    <cfRule type="cellIs" dxfId="2481" priority="1321" operator="lessThan">
      <formula>0</formula>
    </cfRule>
    <cfRule type="cellIs" dxfId="2480" priority="1322" operator="greaterThan">
      <formula>0</formula>
    </cfRule>
  </conditionalFormatting>
  <conditionalFormatting sqref="VR12:VR13">
    <cfRule type="cellIs" dxfId="2479" priority="1317" operator="lessThan">
      <formula>0</formula>
    </cfRule>
    <cfRule type="cellIs" dxfId="2478" priority="1318" operator="greaterThan">
      <formula>0</formula>
    </cfRule>
  </conditionalFormatting>
  <conditionalFormatting sqref="VR14:VR19">
    <cfRule type="cellIs" dxfId="2477" priority="1315" operator="lessThan">
      <formula>0</formula>
    </cfRule>
    <cfRule type="cellIs" dxfId="2476" priority="1316" operator="greaterThan">
      <formula>0</formula>
    </cfRule>
  </conditionalFormatting>
  <conditionalFormatting sqref="VR20:VR22">
    <cfRule type="cellIs" dxfId="2475" priority="1313" operator="lessThan">
      <formula>0</formula>
    </cfRule>
    <cfRule type="cellIs" dxfId="2474" priority="1314" operator="greaterThan">
      <formula>0</formula>
    </cfRule>
  </conditionalFormatting>
  <conditionalFormatting sqref="VR45:VR46">
    <cfRule type="cellIs" dxfId="2473" priority="1323" operator="lessThan">
      <formula>0</formula>
    </cfRule>
    <cfRule type="cellIs" dxfId="2472" priority="1324" operator="greaterThan">
      <formula>0</formula>
    </cfRule>
  </conditionalFormatting>
  <conditionalFormatting sqref="VR7">
    <cfRule type="cellIs" dxfId="2471" priority="1311" operator="lessThan">
      <formula>0</formula>
    </cfRule>
    <cfRule type="cellIs" dxfId="2470" priority="1312" operator="greaterThan">
      <formula>0</formula>
    </cfRule>
  </conditionalFormatting>
  <conditionalFormatting sqref="VR7">
    <cfRule type="cellIs" dxfId="2469" priority="1309" operator="lessThan">
      <formula>0</formula>
    </cfRule>
    <cfRule type="cellIs" dxfId="2468" priority="1310" operator="greaterThan">
      <formula>0</formula>
    </cfRule>
  </conditionalFormatting>
  <conditionalFormatting sqref="VR8">
    <cfRule type="cellIs" dxfId="2467" priority="1307" operator="lessThan">
      <formula>0</formula>
    </cfRule>
    <cfRule type="cellIs" dxfId="2466" priority="1308" operator="greaterThan">
      <formula>0</formula>
    </cfRule>
  </conditionalFormatting>
  <conditionalFormatting sqref="VR47">
    <cfRule type="cellIs" dxfId="2465" priority="1305" operator="lessThan">
      <formula>0</formula>
    </cfRule>
    <cfRule type="cellIs" dxfId="2464" priority="1306" operator="greaterThan">
      <formula>0</formula>
    </cfRule>
  </conditionalFormatting>
  <conditionalFormatting sqref="VR44">
    <cfRule type="cellIs" dxfId="2463" priority="1303" operator="lessThan">
      <formula>0</formula>
    </cfRule>
    <cfRule type="cellIs" dxfId="2462" priority="1304" operator="greaterThan">
      <formula>0</formula>
    </cfRule>
  </conditionalFormatting>
  <conditionalFormatting sqref="VR23:VR24">
    <cfRule type="cellIs" dxfId="2461" priority="1301" operator="lessThan">
      <formula>0</formula>
    </cfRule>
    <cfRule type="cellIs" dxfId="2460" priority="1302" operator="greaterThan">
      <formula>0</formula>
    </cfRule>
  </conditionalFormatting>
  <conditionalFormatting sqref="VR33:VR34">
    <cfRule type="cellIs" dxfId="2459" priority="1299" operator="lessThan">
      <formula>0</formula>
    </cfRule>
    <cfRule type="cellIs" dxfId="2458" priority="1300" operator="greaterThan">
      <formula>0</formula>
    </cfRule>
  </conditionalFormatting>
  <conditionalFormatting sqref="VR101">
    <cfRule type="cellIs" dxfId="2457" priority="1293" operator="lessThan">
      <formula>0</formula>
    </cfRule>
    <cfRule type="cellIs" dxfId="2456" priority="1294" operator="greaterThan">
      <formula>0</formula>
    </cfRule>
  </conditionalFormatting>
  <conditionalFormatting sqref="VR104">
    <cfRule type="cellIs" dxfId="2455" priority="1291" operator="lessThan">
      <formula>0</formula>
    </cfRule>
    <cfRule type="cellIs" dxfId="2454" priority="1292" operator="greaterThan">
      <formula>0</formula>
    </cfRule>
  </conditionalFormatting>
  <conditionalFormatting sqref="VR48:VR49">
    <cfRule type="cellIs" dxfId="2453" priority="1289" operator="lessThan">
      <formula>0</formula>
    </cfRule>
    <cfRule type="cellIs" dxfId="2452" priority="1290" operator="greaterThan">
      <formula>0</formula>
    </cfRule>
  </conditionalFormatting>
  <conditionalFormatting sqref="VT91:VT96">
    <cfRule type="cellIs" dxfId="2451" priority="1276" operator="lessThan">
      <formula>0</formula>
    </cfRule>
    <cfRule type="cellIs" dxfId="2450" priority="1277" operator="greaterThan">
      <formula>0</formula>
    </cfRule>
  </conditionalFormatting>
  <conditionalFormatting sqref="VT50:VT68 VT80:VT90">
    <cfRule type="cellIs" dxfId="2449" priority="1274" operator="lessThan">
      <formula>0</formula>
    </cfRule>
    <cfRule type="cellIs" dxfId="2448" priority="1275" operator="greaterThan">
      <formula>0</formula>
    </cfRule>
  </conditionalFormatting>
  <conditionalFormatting sqref="VT98">
    <cfRule type="cellIs" dxfId="2447" priority="1242" operator="lessThan">
      <formula>0</formula>
    </cfRule>
    <cfRule type="cellIs" dxfId="2446" priority="1243" operator="greaterThan">
      <formula>0</formula>
    </cfRule>
  </conditionalFormatting>
  <conditionalFormatting sqref="VT6 VT9:VT11">
    <cfRule type="cellIs" dxfId="2445" priority="1266" operator="lessThan">
      <formula>0</formula>
    </cfRule>
    <cfRule type="cellIs" dxfId="2444" priority="1267" operator="greaterThan">
      <formula>0</formula>
    </cfRule>
  </conditionalFormatting>
  <conditionalFormatting sqref="VT43:VT44">
    <cfRule type="cellIs" dxfId="2443" priority="1244" operator="lessThan">
      <formula>0</formula>
    </cfRule>
    <cfRule type="cellIs" dxfId="2442" priority="1245" operator="greaterThan">
      <formula>0</formula>
    </cfRule>
  </conditionalFormatting>
  <conditionalFormatting sqref="VT11 VT19 VT3 VT24:VT32 VT34:VT42 VT69:VT79">
    <cfRule type="cellIs" dxfId="2441" priority="1272" operator="lessThan">
      <formula>0</formula>
    </cfRule>
    <cfRule type="cellIs" dxfId="2440" priority="1273" operator="greaterThan">
      <formula>0</formula>
    </cfRule>
  </conditionalFormatting>
  <conditionalFormatting sqref="VT4:VT5">
    <cfRule type="cellIs" dxfId="2439" priority="1268" operator="lessThan">
      <formula>0</formula>
    </cfRule>
    <cfRule type="cellIs" dxfId="2438" priority="1269" operator="greaterThan">
      <formula>0</formula>
    </cfRule>
  </conditionalFormatting>
  <conditionalFormatting sqref="VT12:VT13">
    <cfRule type="cellIs" dxfId="2437" priority="1264" operator="lessThan">
      <formula>0</formula>
    </cfRule>
    <cfRule type="cellIs" dxfId="2436" priority="1265" operator="greaterThan">
      <formula>0</formula>
    </cfRule>
  </conditionalFormatting>
  <conditionalFormatting sqref="VT14:VT19">
    <cfRule type="cellIs" dxfId="2435" priority="1262" operator="lessThan">
      <formula>0</formula>
    </cfRule>
    <cfRule type="cellIs" dxfId="2434" priority="1263" operator="greaterThan">
      <formula>0</formula>
    </cfRule>
  </conditionalFormatting>
  <conditionalFormatting sqref="VT20:VT22">
    <cfRule type="cellIs" dxfId="2433" priority="1260" operator="lessThan">
      <formula>0</formula>
    </cfRule>
    <cfRule type="cellIs" dxfId="2432" priority="1261" operator="greaterThan">
      <formula>0</formula>
    </cfRule>
  </conditionalFormatting>
  <conditionalFormatting sqref="VT45:VT46">
    <cfRule type="cellIs" dxfId="2431" priority="1270" operator="lessThan">
      <formula>0</formula>
    </cfRule>
    <cfRule type="cellIs" dxfId="2430" priority="1271" operator="greaterThan">
      <formula>0</formula>
    </cfRule>
  </conditionalFormatting>
  <conditionalFormatting sqref="VT7">
    <cfRule type="cellIs" dxfId="2429" priority="1258" operator="lessThan">
      <formula>0</formula>
    </cfRule>
    <cfRule type="cellIs" dxfId="2428" priority="1259" operator="greaterThan">
      <formula>0</formula>
    </cfRule>
  </conditionalFormatting>
  <conditionalFormatting sqref="VT7">
    <cfRule type="cellIs" dxfId="2427" priority="1256" operator="lessThan">
      <formula>0</formula>
    </cfRule>
    <cfRule type="cellIs" dxfId="2426" priority="1257" operator="greaterThan">
      <formula>0</formula>
    </cfRule>
  </conditionalFormatting>
  <conditionalFormatting sqref="VT8">
    <cfRule type="cellIs" dxfId="2425" priority="1254" operator="lessThan">
      <formula>0</formula>
    </cfRule>
    <cfRule type="cellIs" dxfId="2424" priority="1255" operator="greaterThan">
      <formula>0</formula>
    </cfRule>
  </conditionalFormatting>
  <conditionalFormatting sqref="VT47">
    <cfRule type="cellIs" dxfId="2423" priority="1252" operator="lessThan">
      <formula>0</formula>
    </cfRule>
    <cfRule type="cellIs" dxfId="2422" priority="1253" operator="greaterThan">
      <formula>0</formula>
    </cfRule>
  </conditionalFormatting>
  <conditionalFormatting sqref="VT44">
    <cfRule type="cellIs" dxfId="2421" priority="1250" operator="lessThan">
      <formula>0</formula>
    </cfRule>
    <cfRule type="cellIs" dxfId="2420" priority="1251" operator="greaterThan">
      <formula>0</formula>
    </cfRule>
  </conditionalFormatting>
  <conditionalFormatting sqref="VT23:VT24">
    <cfRule type="cellIs" dxfId="2419" priority="1248" operator="lessThan">
      <formula>0</formula>
    </cfRule>
    <cfRule type="cellIs" dxfId="2418" priority="1249" operator="greaterThan">
      <formula>0</formula>
    </cfRule>
  </conditionalFormatting>
  <conditionalFormatting sqref="VT33:VT34">
    <cfRule type="cellIs" dxfId="2417" priority="1246" operator="lessThan">
      <formula>0</formula>
    </cfRule>
    <cfRule type="cellIs" dxfId="2416" priority="1247" operator="greaterThan">
      <formula>0</formula>
    </cfRule>
  </conditionalFormatting>
  <conditionalFormatting sqref="VT101">
    <cfRule type="cellIs" dxfId="2415" priority="1240" operator="lessThan">
      <formula>0</formula>
    </cfRule>
    <cfRule type="cellIs" dxfId="2414" priority="1241" operator="greaterThan">
      <formula>0</formula>
    </cfRule>
  </conditionalFormatting>
  <conditionalFormatting sqref="VT104">
    <cfRule type="cellIs" dxfId="2413" priority="1238" operator="lessThan">
      <formula>0</formula>
    </cfRule>
    <cfRule type="cellIs" dxfId="2412" priority="1239" operator="greaterThan">
      <formula>0</formula>
    </cfRule>
  </conditionalFormatting>
  <conditionalFormatting sqref="VT48:VT49">
    <cfRule type="cellIs" dxfId="2411" priority="1236" operator="lessThan">
      <formula>0</formula>
    </cfRule>
    <cfRule type="cellIs" dxfId="2410" priority="1237" operator="greaterThan">
      <formula>0</formula>
    </cfRule>
  </conditionalFormatting>
  <conditionalFormatting sqref="VV91:VV96">
    <cfRule type="cellIs" dxfId="2409" priority="1234" operator="lessThan">
      <formula>0</formula>
    </cfRule>
    <cfRule type="cellIs" dxfId="2408" priority="1235" operator="greaterThan">
      <formula>0</formula>
    </cfRule>
  </conditionalFormatting>
  <conditionalFormatting sqref="VV50:VV68 VV80:VV90">
    <cfRule type="cellIs" dxfId="2407" priority="1232" operator="lessThan">
      <formula>0</formula>
    </cfRule>
    <cfRule type="cellIs" dxfId="2406" priority="1233" operator="greaterThan">
      <formula>0</formula>
    </cfRule>
  </conditionalFormatting>
  <conditionalFormatting sqref="VV98">
    <cfRule type="cellIs" dxfId="2405" priority="1200" operator="lessThan">
      <formula>0</formula>
    </cfRule>
    <cfRule type="cellIs" dxfId="2404" priority="1201" operator="greaterThan">
      <formula>0</formula>
    </cfRule>
  </conditionalFormatting>
  <conditionalFormatting sqref="VV6 VV9:VV11">
    <cfRule type="cellIs" dxfId="2403" priority="1224" operator="lessThan">
      <formula>0</formula>
    </cfRule>
    <cfRule type="cellIs" dxfId="2402" priority="1225" operator="greaterThan">
      <formula>0</formula>
    </cfRule>
  </conditionalFormatting>
  <conditionalFormatting sqref="VV43:VV44">
    <cfRule type="cellIs" dxfId="2401" priority="1202" operator="lessThan">
      <formula>0</formula>
    </cfRule>
    <cfRule type="cellIs" dxfId="2400" priority="1203" operator="greaterThan">
      <formula>0</formula>
    </cfRule>
  </conditionalFormatting>
  <conditionalFormatting sqref="VV11 VV19 VV3 VV24:VV32 VV34:VV42 VV69:VV79">
    <cfRule type="cellIs" dxfId="2399" priority="1230" operator="lessThan">
      <formula>0</formula>
    </cfRule>
    <cfRule type="cellIs" dxfId="2398" priority="1231" operator="greaterThan">
      <formula>0</formula>
    </cfRule>
  </conditionalFormatting>
  <conditionalFormatting sqref="VV4:VV5">
    <cfRule type="cellIs" dxfId="2397" priority="1226" operator="lessThan">
      <formula>0</formula>
    </cfRule>
    <cfRule type="cellIs" dxfId="2396" priority="1227" operator="greaterThan">
      <formula>0</formula>
    </cfRule>
  </conditionalFormatting>
  <conditionalFormatting sqref="VV12:VV13">
    <cfRule type="cellIs" dxfId="2395" priority="1222" operator="lessThan">
      <formula>0</formula>
    </cfRule>
    <cfRule type="cellIs" dxfId="2394" priority="1223" operator="greaterThan">
      <formula>0</formula>
    </cfRule>
  </conditionalFormatting>
  <conditionalFormatting sqref="VV14:VV19">
    <cfRule type="cellIs" dxfId="2393" priority="1220" operator="lessThan">
      <formula>0</formula>
    </cfRule>
    <cfRule type="cellIs" dxfId="2392" priority="1221" operator="greaterThan">
      <formula>0</formula>
    </cfRule>
  </conditionalFormatting>
  <conditionalFormatting sqref="VV20:VV22">
    <cfRule type="cellIs" dxfId="2391" priority="1218" operator="lessThan">
      <formula>0</formula>
    </cfRule>
    <cfRule type="cellIs" dxfId="2390" priority="1219" operator="greaterThan">
      <formula>0</formula>
    </cfRule>
  </conditionalFormatting>
  <conditionalFormatting sqref="VV45:VV46">
    <cfRule type="cellIs" dxfId="2389" priority="1228" operator="lessThan">
      <formula>0</formula>
    </cfRule>
    <cfRule type="cellIs" dxfId="2388" priority="1229" operator="greaterThan">
      <formula>0</formula>
    </cfRule>
  </conditionalFormatting>
  <conditionalFormatting sqref="VV7">
    <cfRule type="cellIs" dxfId="2387" priority="1216" operator="lessThan">
      <formula>0</formula>
    </cfRule>
    <cfRule type="cellIs" dxfId="2386" priority="1217" operator="greaterThan">
      <formula>0</formula>
    </cfRule>
  </conditionalFormatting>
  <conditionalFormatting sqref="VV7">
    <cfRule type="cellIs" dxfId="2385" priority="1214" operator="lessThan">
      <formula>0</formula>
    </cfRule>
    <cfRule type="cellIs" dxfId="2384" priority="1215" operator="greaterThan">
      <formula>0</formula>
    </cfRule>
  </conditionalFormatting>
  <conditionalFormatting sqref="VV8">
    <cfRule type="cellIs" dxfId="2383" priority="1212" operator="lessThan">
      <formula>0</formula>
    </cfRule>
    <cfRule type="cellIs" dxfId="2382" priority="1213" operator="greaterThan">
      <formula>0</formula>
    </cfRule>
  </conditionalFormatting>
  <conditionalFormatting sqref="VV47">
    <cfRule type="cellIs" dxfId="2381" priority="1210" operator="lessThan">
      <formula>0</formula>
    </cfRule>
    <cfRule type="cellIs" dxfId="2380" priority="1211" operator="greaterThan">
      <formula>0</formula>
    </cfRule>
  </conditionalFormatting>
  <conditionalFormatting sqref="VV44">
    <cfRule type="cellIs" dxfId="2379" priority="1208" operator="lessThan">
      <formula>0</formula>
    </cfRule>
    <cfRule type="cellIs" dxfId="2378" priority="1209" operator="greaterThan">
      <formula>0</formula>
    </cfRule>
  </conditionalFormatting>
  <conditionalFormatting sqref="VV23:VV24">
    <cfRule type="cellIs" dxfId="2377" priority="1206" operator="lessThan">
      <formula>0</formula>
    </cfRule>
    <cfRule type="cellIs" dxfId="2376" priority="1207" operator="greaterThan">
      <formula>0</formula>
    </cfRule>
  </conditionalFormatting>
  <conditionalFormatting sqref="VV33:VV34">
    <cfRule type="cellIs" dxfId="2375" priority="1204" operator="lessThan">
      <formula>0</formula>
    </cfRule>
    <cfRule type="cellIs" dxfId="2374" priority="1205" operator="greaterThan">
      <formula>0</formula>
    </cfRule>
  </conditionalFormatting>
  <conditionalFormatting sqref="VV101">
    <cfRule type="cellIs" dxfId="2373" priority="1198" operator="lessThan">
      <formula>0</formula>
    </cfRule>
    <cfRule type="cellIs" dxfId="2372" priority="1199" operator="greaterThan">
      <formula>0</formula>
    </cfRule>
  </conditionalFormatting>
  <conditionalFormatting sqref="VV104">
    <cfRule type="cellIs" dxfId="2371" priority="1196" operator="lessThan">
      <formula>0</formula>
    </cfRule>
    <cfRule type="cellIs" dxfId="2370" priority="1197" operator="greaterThan">
      <formula>0</formula>
    </cfRule>
  </conditionalFormatting>
  <conditionalFormatting sqref="VV48:VV49">
    <cfRule type="cellIs" dxfId="2369" priority="1194" operator="lessThan">
      <formula>0</formula>
    </cfRule>
    <cfRule type="cellIs" dxfId="2368" priority="1195" operator="greaterThan">
      <formula>0</formula>
    </cfRule>
  </conditionalFormatting>
  <conditionalFormatting sqref="VX91:VX96">
    <cfRule type="cellIs" dxfId="2367" priority="1192" operator="lessThan">
      <formula>0</formula>
    </cfRule>
    <cfRule type="cellIs" dxfId="2366" priority="1193" operator="greaterThan">
      <formula>0</formula>
    </cfRule>
  </conditionalFormatting>
  <conditionalFormatting sqref="VX50:VX68 VX80:VX90">
    <cfRule type="cellIs" dxfId="2365" priority="1190" operator="lessThan">
      <formula>0</formula>
    </cfRule>
    <cfRule type="cellIs" dxfId="2364" priority="1191" operator="greaterThan">
      <formula>0</formula>
    </cfRule>
  </conditionalFormatting>
  <conditionalFormatting sqref="VX98">
    <cfRule type="cellIs" dxfId="2363" priority="1158" operator="lessThan">
      <formula>0</formula>
    </cfRule>
    <cfRule type="cellIs" dxfId="2362" priority="1159" operator="greaterThan">
      <formula>0</formula>
    </cfRule>
  </conditionalFormatting>
  <conditionalFormatting sqref="VX6 VX9:VX11">
    <cfRule type="cellIs" dxfId="2361" priority="1182" operator="lessThan">
      <formula>0</formula>
    </cfRule>
    <cfRule type="cellIs" dxfId="2360" priority="1183" operator="greaterThan">
      <formula>0</formula>
    </cfRule>
  </conditionalFormatting>
  <conditionalFormatting sqref="VX43:VX44">
    <cfRule type="cellIs" dxfId="2359" priority="1160" operator="lessThan">
      <formula>0</formula>
    </cfRule>
    <cfRule type="cellIs" dxfId="2358" priority="1161" operator="greaterThan">
      <formula>0</formula>
    </cfRule>
  </conditionalFormatting>
  <conditionalFormatting sqref="VX11 VX19 VX3 VX24:VX32 VX34:VX42 VX69:VX79">
    <cfRule type="cellIs" dxfId="2357" priority="1188" operator="lessThan">
      <formula>0</formula>
    </cfRule>
    <cfRule type="cellIs" dxfId="2356" priority="1189" operator="greaterThan">
      <formula>0</formula>
    </cfRule>
  </conditionalFormatting>
  <conditionalFormatting sqref="VX4:VX5">
    <cfRule type="cellIs" dxfId="2355" priority="1184" operator="lessThan">
      <formula>0</formula>
    </cfRule>
    <cfRule type="cellIs" dxfId="2354" priority="1185" operator="greaterThan">
      <formula>0</formula>
    </cfRule>
  </conditionalFormatting>
  <conditionalFormatting sqref="VX12:VX13">
    <cfRule type="cellIs" dxfId="2353" priority="1180" operator="lessThan">
      <formula>0</formula>
    </cfRule>
    <cfRule type="cellIs" dxfId="2352" priority="1181" operator="greaterThan">
      <formula>0</formula>
    </cfRule>
  </conditionalFormatting>
  <conditionalFormatting sqref="VX14:VX19">
    <cfRule type="cellIs" dxfId="2351" priority="1178" operator="lessThan">
      <formula>0</formula>
    </cfRule>
    <cfRule type="cellIs" dxfId="2350" priority="1179" operator="greaterThan">
      <formula>0</formula>
    </cfRule>
  </conditionalFormatting>
  <conditionalFormatting sqref="VX20:VX22">
    <cfRule type="cellIs" dxfId="2349" priority="1176" operator="lessThan">
      <formula>0</formula>
    </cfRule>
    <cfRule type="cellIs" dxfId="2348" priority="1177" operator="greaterThan">
      <formula>0</formula>
    </cfRule>
  </conditionalFormatting>
  <conditionalFormatting sqref="VX45:VX46">
    <cfRule type="cellIs" dxfId="2347" priority="1186" operator="lessThan">
      <formula>0</formula>
    </cfRule>
    <cfRule type="cellIs" dxfId="2346" priority="1187" operator="greaterThan">
      <formula>0</formula>
    </cfRule>
  </conditionalFormatting>
  <conditionalFormatting sqref="VX7">
    <cfRule type="cellIs" dxfId="2345" priority="1174" operator="lessThan">
      <formula>0</formula>
    </cfRule>
    <cfRule type="cellIs" dxfId="2344" priority="1175" operator="greaterThan">
      <formula>0</formula>
    </cfRule>
  </conditionalFormatting>
  <conditionalFormatting sqref="VX7">
    <cfRule type="cellIs" dxfId="2343" priority="1172" operator="lessThan">
      <formula>0</formula>
    </cfRule>
    <cfRule type="cellIs" dxfId="2342" priority="1173" operator="greaterThan">
      <formula>0</formula>
    </cfRule>
  </conditionalFormatting>
  <conditionalFormatting sqref="VX8">
    <cfRule type="cellIs" dxfId="2341" priority="1170" operator="lessThan">
      <formula>0</formula>
    </cfRule>
    <cfRule type="cellIs" dxfId="2340" priority="1171" operator="greaterThan">
      <formula>0</formula>
    </cfRule>
  </conditionalFormatting>
  <conditionalFormatting sqref="VX47">
    <cfRule type="cellIs" dxfId="2339" priority="1168" operator="lessThan">
      <formula>0</formula>
    </cfRule>
    <cfRule type="cellIs" dxfId="2338" priority="1169" operator="greaterThan">
      <formula>0</formula>
    </cfRule>
  </conditionalFormatting>
  <conditionalFormatting sqref="VX44">
    <cfRule type="cellIs" dxfId="2337" priority="1166" operator="lessThan">
      <formula>0</formula>
    </cfRule>
    <cfRule type="cellIs" dxfId="2336" priority="1167" operator="greaterThan">
      <formula>0</formula>
    </cfRule>
  </conditionalFormatting>
  <conditionalFormatting sqref="VX23:VX24">
    <cfRule type="cellIs" dxfId="2335" priority="1164" operator="lessThan">
      <formula>0</formula>
    </cfRule>
    <cfRule type="cellIs" dxfId="2334" priority="1165" operator="greaterThan">
      <formula>0</formula>
    </cfRule>
  </conditionalFormatting>
  <conditionalFormatting sqref="VX33:VX34">
    <cfRule type="cellIs" dxfId="2333" priority="1162" operator="lessThan">
      <formula>0</formula>
    </cfRule>
    <cfRule type="cellIs" dxfId="2332" priority="1163" operator="greaterThan">
      <formula>0</formula>
    </cfRule>
  </conditionalFormatting>
  <conditionalFormatting sqref="VX101">
    <cfRule type="cellIs" dxfId="2331" priority="1156" operator="lessThan">
      <formula>0</formula>
    </cfRule>
    <cfRule type="cellIs" dxfId="2330" priority="1157" operator="greaterThan">
      <formula>0</formula>
    </cfRule>
  </conditionalFormatting>
  <conditionalFormatting sqref="VX104">
    <cfRule type="cellIs" dxfId="2329" priority="1154" operator="lessThan">
      <formula>0</formula>
    </cfRule>
    <cfRule type="cellIs" dxfId="2328" priority="1155" operator="greaterThan">
      <formula>0</formula>
    </cfRule>
  </conditionalFormatting>
  <conditionalFormatting sqref="VX48:VX49">
    <cfRule type="cellIs" dxfId="2327" priority="1152" operator="lessThan">
      <formula>0</formula>
    </cfRule>
    <cfRule type="cellIs" dxfId="2326" priority="1153" operator="greaterThan">
      <formula>0</formula>
    </cfRule>
  </conditionalFormatting>
  <conditionalFormatting sqref="VZ91:VZ96">
    <cfRule type="cellIs" dxfId="2325" priority="1150" operator="lessThan">
      <formula>0</formula>
    </cfRule>
    <cfRule type="cellIs" dxfId="2324" priority="1151" operator="greaterThan">
      <formula>0</formula>
    </cfRule>
  </conditionalFormatting>
  <conditionalFormatting sqref="VZ50:VZ68 VZ80:VZ90">
    <cfRule type="cellIs" dxfId="2323" priority="1148" operator="lessThan">
      <formula>0</formula>
    </cfRule>
    <cfRule type="cellIs" dxfId="2322" priority="1149" operator="greaterThan">
      <formula>0</formula>
    </cfRule>
  </conditionalFormatting>
  <conditionalFormatting sqref="VZ98">
    <cfRule type="cellIs" dxfId="2321" priority="1116" operator="lessThan">
      <formula>0</formula>
    </cfRule>
    <cfRule type="cellIs" dxfId="2320" priority="1117" operator="greaterThan">
      <formula>0</formula>
    </cfRule>
  </conditionalFormatting>
  <conditionalFormatting sqref="VZ6 VZ9:VZ11">
    <cfRule type="cellIs" dxfId="2319" priority="1140" operator="lessThan">
      <formula>0</formula>
    </cfRule>
    <cfRule type="cellIs" dxfId="2318" priority="1141" operator="greaterThan">
      <formula>0</formula>
    </cfRule>
  </conditionalFormatting>
  <conditionalFormatting sqref="VZ43:VZ44">
    <cfRule type="cellIs" dxfId="2317" priority="1118" operator="lessThan">
      <formula>0</formula>
    </cfRule>
    <cfRule type="cellIs" dxfId="2316" priority="1119" operator="greaterThan">
      <formula>0</formula>
    </cfRule>
  </conditionalFormatting>
  <conditionalFormatting sqref="VZ11 VZ19 VZ3 VZ24:VZ32 VZ34:VZ42 VZ69:VZ79">
    <cfRule type="cellIs" dxfId="2315" priority="1146" operator="lessThan">
      <formula>0</formula>
    </cfRule>
    <cfRule type="cellIs" dxfId="2314" priority="1147" operator="greaterThan">
      <formula>0</formula>
    </cfRule>
  </conditionalFormatting>
  <conditionalFormatting sqref="VZ4:VZ5">
    <cfRule type="cellIs" dxfId="2313" priority="1142" operator="lessThan">
      <formula>0</formula>
    </cfRule>
    <cfRule type="cellIs" dxfId="2312" priority="1143" operator="greaterThan">
      <formula>0</formula>
    </cfRule>
  </conditionalFormatting>
  <conditionalFormatting sqref="VZ12:VZ13">
    <cfRule type="cellIs" dxfId="2311" priority="1138" operator="lessThan">
      <formula>0</formula>
    </cfRule>
    <cfRule type="cellIs" dxfId="2310" priority="1139" operator="greaterThan">
      <formula>0</formula>
    </cfRule>
  </conditionalFormatting>
  <conditionalFormatting sqref="VZ14:VZ19">
    <cfRule type="cellIs" dxfId="2309" priority="1136" operator="lessThan">
      <formula>0</formula>
    </cfRule>
    <cfRule type="cellIs" dxfId="2308" priority="1137" operator="greaterThan">
      <formula>0</formula>
    </cfRule>
  </conditionalFormatting>
  <conditionalFormatting sqref="VZ20:VZ22">
    <cfRule type="cellIs" dxfId="2307" priority="1134" operator="lessThan">
      <formula>0</formula>
    </cfRule>
    <cfRule type="cellIs" dxfId="2306" priority="1135" operator="greaterThan">
      <formula>0</formula>
    </cfRule>
  </conditionalFormatting>
  <conditionalFormatting sqref="VZ45:VZ46">
    <cfRule type="cellIs" dxfId="2305" priority="1144" operator="lessThan">
      <formula>0</formula>
    </cfRule>
    <cfRule type="cellIs" dxfId="2304" priority="1145" operator="greaterThan">
      <formula>0</formula>
    </cfRule>
  </conditionalFormatting>
  <conditionalFormatting sqref="VZ7">
    <cfRule type="cellIs" dxfId="2303" priority="1132" operator="lessThan">
      <formula>0</formula>
    </cfRule>
    <cfRule type="cellIs" dxfId="2302" priority="1133" operator="greaterThan">
      <formula>0</formula>
    </cfRule>
  </conditionalFormatting>
  <conditionalFormatting sqref="VZ7">
    <cfRule type="cellIs" dxfId="2301" priority="1130" operator="lessThan">
      <formula>0</formula>
    </cfRule>
    <cfRule type="cellIs" dxfId="2300" priority="1131" operator="greaterThan">
      <formula>0</formula>
    </cfRule>
  </conditionalFormatting>
  <conditionalFormatting sqref="VZ8">
    <cfRule type="cellIs" dxfId="2299" priority="1128" operator="lessThan">
      <formula>0</formula>
    </cfRule>
    <cfRule type="cellIs" dxfId="2298" priority="1129" operator="greaterThan">
      <formula>0</formula>
    </cfRule>
  </conditionalFormatting>
  <conditionalFormatting sqref="VZ47">
    <cfRule type="cellIs" dxfId="2297" priority="1126" operator="lessThan">
      <formula>0</formula>
    </cfRule>
    <cfRule type="cellIs" dxfId="2296" priority="1127" operator="greaterThan">
      <formula>0</formula>
    </cfRule>
  </conditionalFormatting>
  <conditionalFormatting sqref="VZ44">
    <cfRule type="cellIs" dxfId="2295" priority="1124" operator="lessThan">
      <formula>0</formula>
    </cfRule>
    <cfRule type="cellIs" dxfId="2294" priority="1125" operator="greaterThan">
      <formula>0</formula>
    </cfRule>
  </conditionalFormatting>
  <conditionalFormatting sqref="VZ23:VZ24">
    <cfRule type="cellIs" dxfId="2293" priority="1122" operator="lessThan">
      <formula>0</formula>
    </cfRule>
    <cfRule type="cellIs" dxfId="2292" priority="1123" operator="greaterThan">
      <formula>0</formula>
    </cfRule>
  </conditionalFormatting>
  <conditionalFormatting sqref="VZ33:VZ34">
    <cfRule type="cellIs" dxfId="2291" priority="1120" operator="lessThan">
      <formula>0</formula>
    </cfRule>
    <cfRule type="cellIs" dxfId="2290" priority="1121" operator="greaterThan">
      <formula>0</formula>
    </cfRule>
  </conditionalFormatting>
  <conditionalFormatting sqref="VZ101">
    <cfRule type="cellIs" dxfId="2289" priority="1114" operator="lessThan">
      <formula>0</formula>
    </cfRule>
    <cfRule type="cellIs" dxfId="2288" priority="1115" operator="greaterThan">
      <formula>0</formula>
    </cfRule>
  </conditionalFormatting>
  <conditionalFormatting sqref="VZ104">
    <cfRule type="cellIs" dxfId="2287" priority="1112" operator="lessThan">
      <formula>0</formula>
    </cfRule>
    <cfRule type="cellIs" dxfId="2286" priority="1113" operator="greaterThan">
      <formula>0</formula>
    </cfRule>
  </conditionalFormatting>
  <conditionalFormatting sqref="VZ48:VZ49">
    <cfRule type="cellIs" dxfId="2285" priority="1110" operator="lessThan">
      <formula>0</formula>
    </cfRule>
    <cfRule type="cellIs" dxfId="2284" priority="1111" operator="greaterThan">
      <formula>0</formula>
    </cfRule>
  </conditionalFormatting>
  <conditionalFormatting sqref="WB91:WB96">
    <cfRule type="cellIs" dxfId="2283" priority="1097" operator="lessThan">
      <formula>0</formula>
    </cfRule>
    <cfRule type="cellIs" dxfId="2282" priority="1098" operator="greaterThan">
      <formula>0</formula>
    </cfRule>
  </conditionalFormatting>
  <conditionalFormatting sqref="WB50:WB68 WB80:WB90">
    <cfRule type="cellIs" dxfId="2281" priority="1095" operator="lessThan">
      <formula>0</formula>
    </cfRule>
    <cfRule type="cellIs" dxfId="2280" priority="1096" operator="greaterThan">
      <formula>0</formula>
    </cfRule>
  </conditionalFormatting>
  <conditionalFormatting sqref="WB98">
    <cfRule type="cellIs" dxfId="2279" priority="1063" operator="lessThan">
      <formula>0</formula>
    </cfRule>
    <cfRule type="cellIs" dxfId="2278" priority="1064" operator="greaterThan">
      <formula>0</formula>
    </cfRule>
  </conditionalFormatting>
  <conditionalFormatting sqref="WB6 WB9:WB11">
    <cfRule type="cellIs" dxfId="2277" priority="1087" operator="lessThan">
      <formula>0</formula>
    </cfRule>
    <cfRule type="cellIs" dxfId="2276" priority="1088" operator="greaterThan">
      <formula>0</formula>
    </cfRule>
  </conditionalFormatting>
  <conditionalFormatting sqref="WB43:WB44">
    <cfRule type="cellIs" dxfId="2275" priority="1065" operator="lessThan">
      <formula>0</formula>
    </cfRule>
    <cfRule type="cellIs" dxfId="2274" priority="1066" operator="greaterThan">
      <formula>0</formula>
    </cfRule>
  </conditionalFormatting>
  <conditionalFormatting sqref="WB11 WB19 WB3 WB24:WB32 WB34:WB42 WB69:WB79">
    <cfRule type="cellIs" dxfId="2273" priority="1093" operator="lessThan">
      <formula>0</formula>
    </cfRule>
    <cfRule type="cellIs" dxfId="2272" priority="1094" operator="greaterThan">
      <formula>0</formula>
    </cfRule>
  </conditionalFormatting>
  <conditionalFormatting sqref="WB4:WB5">
    <cfRule type="cellIs" dxfId="2271" priority="1089" operator="lessThan">
      <formula>0</formula>
    </cfRule>
    <cfRule type="cellIs" dxfId="2270" priority="1090" operator="greaterThan">
      <formula>0</formula>
    </cfRule>
  </conditionalFormatting>
  <conditionalFormatting sqref="WB12:WB13">
    <cfRule type="cellIs" dxfId="2269" priority="1085" operator="lessThan">
      <formula>0</formula>
    </cfRule>
    <cfRule type="cellIs" dxfId="2268" priority="1086" operator="greaterThan">
      <formula>0</formula>
    </cfRule>
  </conditionalFormatting>
  <conditionalFormatting sqref="WB14:WB19">
    <cfRule type="cellIs" dxfId="2267" priority="1083" operator="lessThan">
      <formula>0</formula>
    </cfRule>
    <cfRule type="cellIs" dxfId="2266" priority="1084" operator="greaterThan">
      <formula>0</formula>
    </cfRule>
  </conditionalFormatting>
  <conditionalFormatting sqref="WB20:WB22">
    <cfRule type="cellIs" dxfId="2265" priority="1081" operator="lessThan">
      <formula>0</formula>
    </cfRule>
    <cfRule type="cellIs" dxfId="2264" priority="1082" operator="greaterThan">
      <formula>0</formula>
    </cfRule>
  </conditionalFormatting>
  <conditionalFormatting sqref="WB45:WB46">
    <cfRule type="cellIs" dxfId="2263" priority="1091" operator="lessThan">
      <formula>0</formula>
    </cfRule>
    <cfRule type="cellIs" dxfId="2262" priority="1092" operator="greaterThan">
      <formula>0</formula>
    </cfRule>
  </conditionalFormatting>
  <conditionalFormatting sqref="WB7">
    <cfRule type="cellIs" dxfId="2261" priority="1079" operator="lessThan">
      <formula>0</formula>
    </cfRule>
    <cfRule type="cellIs" dxfId="2260" priority="1080" operator="greaterThan">
      <formula>0</formula>
    </cfRule>
  </conditionalFormatting>
  <conditionalFormatting sqref="WB7">
    <cfRule type="cellIs" dxfId="2259" priority="1077" operator="lessThan">
      <formula>0</formula>
    </cfRule>
    <cfRule type="cellIs" dxfId="2258" priority="1078" operator="greaterThan">
      <formula>0</formula>
    </cfRule>
  </conditionalFormatting>
  <conditionalFormatting sqref="WB8">
    <cfRule type="cellIs" dxfId="2257" priority="1075" operator="lessThan">
      <formula>0</formula>
    </cfRule>
    <cfRule type="cellIs" dxfId="2256" priority="1076" operator="greaterThan">
      <formula>0</formula>
    </cfRule>
  </conditionalFormatting>
  <conditionalFormatting sqref="WB47">
    <cfRule type="cellIs" dxfId="2255" priority="1073" operator="lessThan">
      <formula>0</formula>
    </cfRule>
    <cfRule type="cellIs" dxfId="2254" priority="1074" operator="greaterThan">
      <formula>0</formula>
    </cfRule>
  </conditionalFormatting>
  <conditionalFormatting sqref="WB44">
    <cfRule type="cellIs" dxfId="2253" priority="1071" operator="lessThan">
      <formula>0</formula>
    </cfRule>
    <cfRule type="cellIs" dxfId="2252" priority="1072" operator="greaterThan">
      <formula>0</formula>
    </cfRule>
  </conditionalFormatting>
  <conditionalFormatting sqref="WB23:WB24">
    <cfRule type="cellIs" dxfId="2251" priority="1069" operator="lessThan">
      <formula>0</formula>
    </cfRule>
    <cfRule type="cellIs" dxfId="2250" priority="1070" operator="greaterThan">
      <formula>0</formula>
    </cfRule>
  </conditionalFormatting>
  <conditionalFormatting sqref="WB33:WB34">
    <cfRule type="cellIs" dxfId="2249" priority="1067" operator="lessThan">
      <formula>0</formula>
    </cfRule>
    <cfRule type="cellIs" dxfId="2248" priority="1068" operator="greaterThan">
      <formula>0</formula>
    </cfRule>
  </conditionalFormatting>
  <conditionalFormatting sqref="WB101">
    <cfRule type="cellIs" dxfId="2247" priority="1061" operator="lessThan">
      <formula>0</formula>
    </cfRule>
    <cfRule type="cellIs" dxfId="2246" priority="1062" operator="greaterThan">
      <formula>0</formula>
    </cfRule>
  </conditionalFormatting>
  <conditionalFormatting sqref="WB104">
    <cfRule type="cellIs" dxfId="2245" priority="1059" operator="lessThan">
      <formula>0</formula>
    </cfRule>
    <cfRule type="cellIs" dxfId="2244" priority="1060" operator="greaterThan">
      <formula>0</formula>
    </cfRule>
  </conditionalFormatting>
  <conditionalFormatting sqref="WB48:WB49">
    <cfRule type="cellIs" dxfId="2243" priority="1057" operator="lessThan">
      <formula>0</formula>
    </cfRule>
    <cfRule type="cellIs" dxfId="2242" priority="1058" operator="greaterThan">
      <formula>0</formula>
    </cfRule>
  </conditionalFormatting>
  <conditionalFormatting sqref="WD91:WD96">
    <cfRule type="cellIs" dxfId="2241" priority="1055" operator="lessThan">
      <formula>0</formula>
    </cfRule>
    <cfRule type="cellIs" dxfId="2240" priority="1056" operator="greaterThan">
      <formula>0</formula>
    </cfRule>
  </conditionalFormatting>
  <conditionalFormatting sqref="WD50:WD68 WD80:WD90">
    <cfRule type="cellIs" dxfId="2239" priority="1053" operator="lessThan">
      <formula>0</formula>
    </cfRule>
    <cfRule type="cellIs" dxfId="2238" priority="1054" operator="greaterThan">
      <formula>0</formula>
    </cfRule>
  </conditionalFormatting>
  <conditionalFormatting sqref="WD98">
    <cfRule type="cellIs" dxfId="2237" priority="1021" operator="lessThan">
      <formula>0</formula>
    </cfRule>
    <cfRule type="cellIs" dxfId="2236" priority="1022" operator="greaterThan">
      <formula>0</formula>
    </cfRule>
  </conditionalFormatting>
  <conditionalFormatting sqref="WD6 WD9:WD11">
    <cfRule type="cellIs" dxfId="2235" priority="1045" operator="lessThan">
      <formula>0</formula>
    </cfRule>
    <cfRule type="cellIs" dxfId="2234" priority="1046" operator="greaterThan">
      <formula>0</formula>
    </cfRule>
  </conditionalFormatting>
  <conditionalFormatting sqref="WD43:WD44">
    <cfRule type="cellIs" dxfId="2233" priority="1023" operator="lessThan">
      <formula>0</formula>
    </cfRule>
    <cfRule type="cellIs" dxfId="2232" priority="1024" operator="greaterThan">
      <formula>0</formula>
    </cfRule>
  </conditionalFormatting>
  <conditionalFormatting sqref="WD11 WD19 WD3 WD24:WD32 WD34:WD42 WD69:WD79">
    <cfRule type="cellIs" dxfId="2231" priority="1051" operator="lessThan">
      <formula>0</formula>
    </cfRule>
    <cfRule type="cellIs" dxfId="2230" priority="1052" operator="greaterThan">
      <formula>0</formula>
    </cfRule>
  </conditionalFormatting>
  <conditionalFormatting sqref="WD4:WD5">
    <cfRule type="cellIs" dxfId="2229" priority="1047" operator="lessThan">
      <formula>0</formula>
    </cfRule>
    <cfRule type="cellIs" dxfId="2228" priority="1048" operator="greaterThan">
      <formula>0</formula>
    </cfRule>
  </conditionalFormatting>
  <conditionalFormatting sqref="WD12:WD13">
    <cfRule type="cellIs" dxfId="2227" priority="1043" operator="lessThan">
      <formula>0</formula>
    </cfRule>
    <cfRule type="cellIs" dxfId="2226" priority="1044" operator="greaterThan">
      <formula>0</formula>
    </cfRule>
  </conditionalFormatting>
  <conditionalFormatting sqref="WD14:WD19">
    <cfRule type="cellIs" dxfId="2225" priority="1041" operator="lessThan">
      <formula>0</formula>
    </cfRule>
    <cfRule type="cellIs" dxfId="2224" priority="1042" operator="greaterThan">
      <formula>0</formula>
    </cfRule>
  </conditionalFormatting>
  <conditionalFormatting sqref="WD20:WD22">
    <cfRule type="cellIs" dxfId="2223" priority="1039" operator="lessThan">
      <formula>0</formula>
    </cfRule>
    <cfRule type="cellIs" dxfId="2222" priority="1040" operator="greaterThan">
      <formula>0</formula>
    </cfRule>
  </conditionalFormatting>
  <conditionalFormatting sqref="WD45:WD46">
    <cfRule type="cellIs" dxfId="2221" priority="1049" operator="lessThan">
      <formula>0</formula>
    </cfRule>
    <cfRule type="cellIs" dxfId="2220" priority="1050" operator="greaterThan">
      <formula>0</formula>
    </cfRule>
  </conditionalFormatting>
  <conditionalFormatting sqref="WD7">
    <cfRule type="cellIs" dxfId="2219" priority="1037" operator="lessThan">
      <formula>0</formula>
    </cfRule>
    <cfRule type="cellIs" dxfId="2218" priority="1038" operator="greaterThan">
      <formula>0</formula>
    </cfRule>
  </conditionalFormatting>
  <conditionalFormatting sqref="WD7">
    <cfRule type="cellIs" dxfId="2217" priority="1035" operator="lessThan">
      <formula>0</formula>
    </cfRule>
    <cfRule type="cellIs" dxfId="2216" priority="1036" operator="greaterThan">
      <formula>0</formula>
    </cfRule>
  </conditionalFormatting>
  <conditionalFormatting sqref="WD8">
    <cfRule type="cellIs" dxfId="2215" priority="1033" operator="lessThan">
      <formula>0</formula>
    </cfRule>
    <cfRule type="cellIs" dxfId="2214" priority="1034" operator="greaterThan">
      <formula>0</formula>
    </cfRule>
  </conditionalFormatting>
  <conditionalFormatting sqref="WD47">
    <cfRule type="cellIs" dxfId="2213" priority="1031" operator="lessThan">
      <formula>0</formula>
    </cfRule>
    <cfRule type="cellIs" dxfId="2212" priority="1032" operator="greaterThan">
      <formula>0</formula>
    </cfRule>
  </conditionalFormatting>
  <conditionalFormatting sqref="WD44">
    <cfRule type="cellIs" dxfId="2211" priority="1029" operator="lessThan">
      <formula>0</formula>
    </cfRule>
    <cfRule type="cellIs" dxfId="2210" priority="1030" operator="greaterThan">
      <formula>0</formula>
    </cfRule>
  </conditionalFormatting>
  <conditionalFormatting sqref="WD23:WD24">
    <cfRule type="cellIs" dxfId="2209" priority="1027" operator="lessThan">
      <formula>0</formula>
    </cfRule>
    <cfRule type="cellIs" dxfId="2208" priority="1028" operator="greaterThan">
      <formula>0</formula>
    </cfRule>
  </conditionalFormatting>
  <conditionalFormatting sqref="WD33:WD34">
    <cfRule type="cellIs" dxfId="2207" priority="1025" operator="lessThan">
      <formula>0</formula>
    </cfRule>
    <cfRule type="cellIs" dxfId="2206" priority="1026" operator="greaterThan">
      <formula>0</formula>
    </cfRule>
  </conditionalFormatting>
  <conditionalFormatting sqref="WD101">
    <cfRule type="cellIs" dxfId="2205" priority="1019" operator="lessThan">
      <formula>0</formula>
    </cfRule>
    <cfRule type="cellIs" dxfId="2204" priority="1020" operator="greaterThan">
      <formula>0</formula>
    </cfRule>
  </conditionalFormatting>
  <conditionalFormatting sqref="WD104">
    <cfRule type="cellIs" dxfId="2203" priority="1017" operator="lessThan">
      <formula>0</formula>
    </cfRule>
    <cfRule type="cellIs" dxfId="2202" priority="1018" operator="greaterThan">
      <formula>0</formula>
    </cfRule>
  </conditionalFormatting>
  <conditionalFormatting sqref="WD48:WD49">
    <cfRule type="cellIs" dxfId="2201" priority="1015" operator="lessThan">
      <formula>0</formula>
    </cfRule>
    <cfRule type="cellIs" dxfId="2200" priority="1016" operator="greaterThan">
      <formula>0</formula>
    </cfRule>
  </conditionalFormatting>
  <conditionalFormatting sqref="WF91:WF96">
    <cfRule type="cellIs" dxfId="2199" priority="997" operator="lessThan">
      <formula>0</formula>
    </cfRule>
    <cfRule type="cellIs" dxfId="2198" priority="998" operator="greaterThan">
      <formula>0</formula>
    </cfRule>
  </conditionalFormatting>
  <conditionalFormatting sqref="WF50:WF68 WF80:WF90">
    <cfRule type="cellIs" dxfId="2197" priority="995" operator="lessThan">
      <formula>0</formula>
    </cfRule>
    <cfRule type="cellIs" dxfId="2196" priority="996" operator="greaterThan">
      <formula>0</formula>
    </cfRule>
  </conditionalFormatting>
  <conditionalFormatting sqref="WF98">
    <cfRule type="cellIs" dxfId="2195" priority="963" operator="lessThan">
      <formula>0</formula>
    </cfRule>
    <cfRule type="cellIs" dxfId="2194" priority="964" operator="greaterThan">
      <formula>0</formula>
    </cfRule>
  </conditionalFormatting>
  <conditionalFormatting sqref="WF6 WF9:WF11">
    <cfRule type="cellIs" dxfId="2193" priority="987" operator="lessThan">
      <formula>0</formula>
    </cfRule>
    <cfRule type="cellIs" dxfId="2192" priority="988" operator="greaterThan">
      <formula>0</formula>
    </cfRule>
  </conditionalFormatting>
  <conditionalFormatting sqref="WF43:WF44">
    <cfRule type="cellIs" dxfId="2191" priority="965" operator="lessThan">
      <formula>0</formula>
    </cfRule>
    <cfRule type="cellIs" dxfId="2190" priority="966" operator="greaterThan">
      <formula>0</formula>
    </cfRule>
  </conditionalFormatting>
  <conditionalFormatting sqref="WF11 WF19 WF3 WF24:WF32 WF34:WF42 WF69:WF79">
    <cfRule type="cellIs" dxfId="2189" priority="993" operator="lessThan">
      <formula>0</formula>
    </cfRule>
    <cfRule type="cellIs" dxfId="2188" priority="994" operator="greaterThan">
      <formula>0</formula>
    </cfRule>
  </conditionalFormatting>
  <conditionalFormatting sqref="WF4:WF5">
    <cfRule type="cellIs" dxfId="2187" priority="989" operator="lessThan">
      <formula>0</formula>
    </cfRule>
    <cfRule type="cellIs" dxfId="2186" priority="990" operator="greaterThan">
      <formula>0</formula>
    </cfRule>
  </conditionalFormatting>
  <conditionalFormatting sqref="WF12:WF13">
    <cfRule type="cellIs" dxfId="2185" priority="985" operator="lessThan">
      <formula>0</formula>
    </cfRule>
    <cfRule type="cellIs" dxfId="2184" priority="986" operator="greaterThan">
      <formula>0</formula>
    </cfRule>
  </conditionalFormatting>
  <conditionalFormatting sqref="WF14:WF19">
    <cfRule type="cellIs" dxfId="2183" priority="983" operator="lessThan">
      <formula>0</formula>
    </cfRule>
    <cfRule type="cellIs" dxfId="2182" priority="984" operator="greaterThan">
      <formula>0</formula>
    </cfRule>
  </conditionalFormatting>
  <conditionalFormatting sqref="WF20:WF22">
    <cfRule type="cellIs" dxfId="2181" priority="981" operator="lessThan">
      <formula>0</formula>
    </cfRule>
    <cfRule type="cellIs" dxfId="2180" priority="982" operator="greaterThan">
      <formula>0</formula>
    </cfRule>
  </conditionalFormatting>
  <conditionalFormatting sqref="WF45:WF46">
    <cfRule type="cellIs" dxfId="2179" priority="991" operator="lessThan">
      <formula>0</formula>
    </cfRule>
    <cfRule type="cellIs" dxfId="2178" priority="992" operator="greaterThan">
      <formula>0</formula>
    </cfRule>
  </conditionalFormatting>
  <conditionalFormatting sqref="WF7">
    <cfRule type="cellIs" dxfId="2177" priority="979" operator="lessThan">
      <formula>0</formula>
    </cfRule>
    <cfRule type="cellIs" dxfId="2176" priority="980" operator="greaterThan">
      <formula>0</formula>
    </cfRule>
  </conditionalFormatting>
  <conditionalFormatting sqref="WF7">
    <cfRule type="cellIs" dxfId="2175" priority="977" operator="lessThan">
      <formula>0</formula>
    </cfRule>
    <cfRule type="cellIs" dxfId="2174" priority="978" operator="greaterThan">
      <formula>0</formula>
    </cfRule>
  </conditionalFormatting>
  <conditionalFormatting sqref="WF8">
    <cfRule type="cellIs" dxfId="2173" priority="975" operator="lessThan">
      <formula>0</formula>
    </cfRule>
    <cfRule type="cellIs" dxfId="2172" priority="976" operator="greaterThan">
      <formula>0</formula>
    </cfRule>
  </conditionalFormatting>
  <conditionalFormatting sqref="WF47">
    <cfRule type="cellIs" dxfId="2171" priority="973" operator="lessThan">
      <formula>0</formula>
    </cfRule>
    <cfRule type="cellIs" dxfId="2170" priority="974" operator="greaterThan">
      <formula>0</formula>
    </cfRule>
  </conditionalFormatting>
  <conditionalFormatting sqref="WF44">
    <cfRule type="cellIs" dxfId="2169" priority="971" operator="lessThan">
      <formula>0</formula>
    </cfRule>
    <cfRule type="cellIs" dxfId="2168" priority="972" operator="greaterThan">
      <formula>0</formula>
    </cfRule>
  </conditionalFormatting>
  <conditionalFormatting sqref="WF23:WF24">
    <cfRule type="cellIs" dxfId="2167" priority="969" operator="lessThan">
      <formula>0</formula>
    </cfRule>
    <cfRule type="cellIs" dxfId="2166" priority="970" operator="greaterThan">
      <formula>0</formula>
    </cfRule>
  </conditionalFormatting>
  <conditionalFormatting sqref="WF33:WF34">
    <cfRule type="cellIs" dxfId="2165" priority="967" operator="lessThan">
      <formula>0</formula>
    </cfRule>
    <cfRule type="cellIs" dxfId="2164" priority="968" operator="greaterThan">
      <formula>0</formula>
    </cfRule>
  </conditionalFormatting>
  <conditionalFormatting sqref="WF101">
    <cfRule type="cellIs" dxfId="2163" priority="961" operator="lessThan">
      <formula>0</formula>
    </cfRule>
    <cfRule type="cellIs" dxfId="2162" priority="962" operator="greaterThan">
      <formula>0</formula>
    </cfRule>
  </conditionalFormatting>
  <conditionalFormatting sqref="WF104">
    <cfRule type="cellIs" dxfId="2161" priority="959" operator="lessThan">
      <formula>0</formula>
    </cfRule>
    <cfRule type="cellIs" dxfId="2160" priority="960" operator="greaterThan">
      <formula>0</formula>
    </cfRule>
  </conditionalFormatting>
  <conditionalFormatting sqref="WF48:WF49">
    <cfRule type="cellIs" dxfId="2159" priority="957" operator="lessThan">
      <formula>0</formula>
    </cfRule>
    <cfRule type="cellIs" dxfId="2158" priority="958" operator="greaterThan">
      <formula>0</formula>
    </cfRule>
  </conditionalFormatting>
  <conditionalFormatting sqref="WH91:WH96">
    <cfRule type="cellIs" dxfId="2157" priority="955" operator="lessThan">
      <formula>0</formula>
    </cfRule>
    <cfRule type="cellIs" dxfId="2156" priority="956" operator="greaterThan">
      <formula>0</formula>
    </cfRule>
  </conditionalFormatting>
  <conditionalFormatting sqref="WH50:WH68 WH80:WH90">
    <cfRule type="cellIs" dxfId="2155" priority="953" operator="lessThan">
      <formula>0</formula>
    </cfRule>
    <cfRule type="cellIs" dxfId="2154" priority="954" operator="greaterThan">
      <formula>0</formula>
    </cfRule>
  </conditionalFormatting>
  <conditionalFormatting sqref="WH98">
    <cfRule type="cellIs" dxfId="2153" priority="921" operator="lessThan">
      <formula>0</formula>
    </cfRule>
    <cfRule type="cellIs" dxfId="2152" priority="922" operator="greaterThan">
      <formula>0</formula>
    </cfRule>
  </conditionalFormatting>
  <conditionalFormatting sqref="WH6 WH9:WH11">
    <cfRule type="cellIs" dxfId="2151" priority="945" operator="lessThan">
      <formula>0</formula>
    </cfRule>
    <cfRule type="cellIs" dxfId="2150" priority="946" operator="greaterThan">
      <formula>0</formula>
    </cfRule>
  </conditionalFormatting>
  <conditionalFormatting sqref="WH43:WH44">
    <cfRule type="cellIs" dxfId="2149" priority="923" operator="lessThan">
      <formula>0</formula>
    </cfRule>
    <cfRule type="cellIs" dxfId="2148" priority="924" operator="greaterThan">
      <formula>0</formula>
    </cfRule>
  </conditionalFormatting>
  <conditionalFormatting sqref="WH11 WH19 WH3 WH24:WH32 WH34:WH42 WH69:WH79">
    <cfRule type="cellIs" dxfId="2147" priority="951" operator="lessThan">
      <formula>0</formula>
    </cfRule>
    <cfRule type="cellIs" dxfId="2146" priority="952" operator="greaterThan">
      <formula>0</formula>
    </cfRule>
  </conditionalFormatting>
  <conditionalFormatting sqref="WH4:WH5">
    <cfRule type="cellIs" dxfId="2145" priority="947" operator="lessThan">
      <formula>0</formula>
    </cfRule>
    <cfRule type="cellIs" dxfId="2144" priority="948" operator="greaterThan">
      <formula>0</formula>
    </cfRule>
  </conditionalFormatting>
  <conditionalFormatting sqref="WH12:WH13">
    <cfRule type="cellIs" dxfId="2143" priority="943" operator="lessThan">
      <formula>0</formula>
    </cfRule>
    <cfRule type="cellIs" dxfId="2142" priority="944" operator="greaterThan">
      <formula>0</formula>
    </cfRule>
  </conditionalFormatting>
  <conditionalFormatting sqref="WH14:WH19">
    <cfRule type="cellIs" dxfId="2141" priority="941" operator="lessThan">
      <formula>0</formula>
    </cfRule>
    <cfRule type="cellIs" dxfId="2140" priority="942" operator="greaterThan">
      <formula>0</formula>
    </cfRule>
  </conditionalFormatting>
  <conditionalFormatting sqref="WH20:WH22">
    <cfRule type="cellIs" dxfId="2139" priority="939" operator="lessThan">
      <formula>0</formula>
    </cfRule>
    <cfRule type="cellIs" dxfId="2138" priority="940" operator="greaterThan">
      <formula>0</formula>
    </cfRule>
  </conditionalFormatting>
  <conditionalFormatting sqref="WH45:WH46">
    <cfRule type="cellIs" dxfId="2137" priority="949" operator="lessThan">
      <formula>0</formula>
    </cfRule>
    <cfRule type="cellIs" dxfId="2136" priority="950" operator="greaterThan">
      <formula>0</formula>
    </cfRule>
  </conditionalFormatting>
  <conditionalFormatting sqref="WH7">
    <cfRule type="cellIs" dxfId="2135" priority="937" operator="lessThan">
      <formula>0</formula>
    </cfRule>
    <cfRule type="cellIs" dxfId="2134" priority="938" operator="greaterThan">
      <formula>0</formula>
    </cfRule>
  </conditionalFormatting>
  <conditionalFormatting sqref="WH7">
    <cfRule type="cellIs" dxfId="2133" priority="935" operator="lessThan">
      <formula>0</formula>
    </cfRule>
    <cfRule type="cellIs" dxfId="2132" priority="936" operator="greaterThan">
      <formula>0</formula>
    </cfRule>
  </conditionalFormatting>
  <conditionalFormatting sqref="WH8">
    <cfRule type="cellIs" dxfId="2131" priority="933" operator="lessThan">
      <formula>0</formula>
    </cfRule>
    <cfRule type="cellIs" dxfId="2130" priority="934" operator="greaterThan">
      <formula>0</formula>
    </cfRule>
  </conditionalFormatting>
  <conditionalFormatting sqref="WH47">
    <cfRule type="cellIs" dxfId="2129" priority="931" operator="lessThan">
      <formula>0</formula>
    </cfRule>
    <cfRule type="cellIs" dxfId="2128" priority="932" operator="greaterThan">
      <formula>0</formula>
    </cfRule>
  </conditionalFormatting>
  <conditionalFormatting sqref="WH44">
    <cfRule type="cellIs" dxfId="2127" priority="929" operator="lessThan">
      <formula>0</formula>
    </cfRule>
    <cfRule type="cellIs" dxfId="2126" priority="930" operator="greaterThan">
      <formula>0</formula>
    </cfRule>
  </conditionalFormatting>
  <conditionalFormatting sqref="WH23:WH24">
    <cfRule type="cellIs" dxfId="2125" priority="927" operator="lessThan">
      <formula>0</formula>
    </cfRule>
    <cfRule type="cellIs" dxfId="2124" priority="928" operator="greaterThan">
      <formula>0</formula>
    </cfRule>
  </conditionalFormatting>
  <conditionalFormatting sqref="WH33:WH34">
    <cfRule type="cellIs" dxfId="2123" priority="925" operator="lessThan">
      <formula>0</formula>
    </cfRule>
    <cfRule type="cellIs" dxfId="2122" priority="926" operator="greaterThan">
      <formula>0</formula>
    </cfRule>
  </conditionalFormatting>
  <conditionalFormatting sqref="WH101">
    <cfRule type="cellIs" dxfId="2121" priority="919" operator="lessThan">
      <formula>0</formula>
    </cfRule>
    <cfRule type="cellIs" dxfId="2120" priority="920" operator="greaterThan">
      <formula>0</formula>
    </cfRule>
  </conditionalFormatting>
  <conditionalFormatting sqref="WH104">
    <cfRule type="cellIs" dxfId="2119" priority="917" operator="lessThan">
      <formula>0</formula>
    </cfRule>
    <cfRule type="cellIs" dxfId="2118" priority="918" operator="greaterThan">
      <formula>0</formula>
    </cfRule>
  </conditionalFormatting>
  <conditionalFormatting sqref="WH48:WH49">
    <cfRule type="cellIs" dxfId="2117" priority="915" operator="lessThan">
      <formula>0</formula>
    </cfRule>
    <cfRule type="cellIs" dxfId="2116" priority="916" operator="greaterThan">
      <formula>0</formula>
    </cfRule>
  </conditionalFormatting>
  <conditionalFormatting sqref="WJ91:WJ96">
    <cfRule type="cellIs" dxfId="2115" priority="913" operator="lessThan">
      <formula>0</formula>
    </cfRule>
    <cfRule type="cellIs" dxfId="2114" priority="914" operator="greaterThan">
      <formula>0</formula>
    </cfRule>
  </conditionalFormatting>
  <conditionalFormatting sqref="WJ50:WJ68 WJ80:WJ90">
    <cfRule type="cellIs" dxfId="2113" priority="911" operator="lessThan">
      <formula>0</formula>
    </cfRule>
    <cfRule type="cellIs" dxfId="2112" priority="912" operator="greaterThan">
      <formula>0</formula>
    </cfRule>
  </conditionalFormatting>
  <conditionalFormatting sqref="WJ98">
    <cfRule type="cellIs" dxfId="2111" priority="879" operator="lessThan">
      <formula>0</formula>
    </cfRule>
    <cfRule type="cellIs" dxfId="2110" priority="880" operator="greaterThan">
      <formula>0</formula>
    </cfRule>
  </conditionalFormatting>
  <conditionalFormatting sqref="WJ6 WJ9:WJ11">
    <cfRule type="cellIs" dxfId="2109" priority="903" operator="lessThan">
      <formula>0</formula>
    </cfRule>
    <cfRule type="cellIs" dxfId="2108" priority="904" operator="greaterThan">
      <formula>0</formula>
    </cfRule>
  </conditionalFormatting>
  <conditionalFormatting sqref="WJ43:WJ44">
    <cfRule type="cellIs" dxfId="2107" priority="881" operator="lessThan">
      <formula>0</formula>
    </cfRule>
    <cfRule type="cellIs" dxfId="2106" priority="882" operator="greaterThan">
      <formula>0</formula>
    </cfRule>
  </conditionalFormatting>
  <conditionalFormatting sqref="WJ11 WJ19 WJ3 WJ24:WJ32 WJ34:WJ42 WJ69:WJ79">
    <cfRule type="cellIs" dxfId="2105" priority="909" operator="lessThan">
      <formula>0</formula>
    </cfRule>
    <cfRule type="cellIs" dxfId="2104" priority="910" operator="greaterThan">
      <formula>0</formula>
    </cfRule>
  </conditionalFormatting>
  <conditionalFormatting sqref="WJ4:WJ5">
    <cfRule type="cellIs" dxfId="2103" priority="905" operator="lessThan">
      <formula>0</formula>
    </cfRule>
    <cfRule type="cellIs" dxfId="2102" priority="906" operator="greaterThan">
      <formula>0</formula>
    </cfRule>
  </conditionalFormatting>
  <conditionalFormatting sqref="WJ12:WJ13">
    <cfRule type="cellIs" dxfId="2101" priority="901" operator="lessThan">
      <formula>0</formula>
    </cfRule>
    <cfRule type="cellIs" dxfId="2100" priority="902" operator="greaterThan">
      <formula>0</formula>
    </cfRule>
  </conditionalFormatting>
  <conditionalFormatting sqref="WJ14:WJ19">
    <cfRule type="cellIs" dxfId="2099" priority="899" operator="lessThan">
      <formula>0</formula>
    </cfRule>
    <cfRule type="cellIs" dxfId="2098" priority="900" operator="greaterThan">
      <formula>0</formula>
    </cfRule>
  </conditionalFormatting>
  <conditionalFormatting sqref="WJ20:WJ22">
    <cfRule type="cellIs" dxfId="2097" priority="897" operator="lessThan">
      <formula>0</formula>
    </cfRule>
    <cfRule type="cellIs" dxfId="2096" priority="898" operator="greaterThan">
      <formula>0</formula>
    </cfRule>
  </conditionalFormatting>
  <conditionalFormatting sqref="WJ45:WJ46">
    <cfRule type="cellIs" dxfId="2095" priority="907" operator="lessThan">
      <formula>0</formula>
    </cfRule>
    <cfRule type="cellIs" dxfId="2094" priority="908" operator="greaterThan">
      <formula>0</formula>
    </cfRule>
  </conditionalFormatting>
  <conditionalFormatting sqref="WJ7">
    <cfRule type="cellIs" dxfId="2093" priority="895" operator="lessThan">
      <formula>0</formula>
    </cfRule>
    <cfRule type="cellIs" dxfId="2092" priority="896" operator="greaterThan">
      <formula>0</formula>
    </cfRule>
  </conditionalFormatting>
  <conditionalFormatting sqref="WJ7">
    <cfRule type="cellIs" dxfId="2091" priority="893" operator="lessThan">
      <formula>0</formula>
    </cfRule>
    <cfRule type="cellIs" dxfId="2090" priority="894" operator="greaterThan">
      <formula>0</formula>
    </cfRule>
  </conditionalFormatting>
  <conditionalFormatting sqref="WJ8">
    <cfRule type="cellIs" dxfId="2089" priority="891" operator="lessThan">
      <formula>0</formula>
    </cfRule>
    <cfRule type="cellIs" dxfId="2088" priority="892" operator="greaterThan">
      <formula>0</formula>
    </cfRule>
  </conditionalFormatting>
  <conditionalFormatting sqref="WJ47">
    <cfRule type="cellIs" dxfId="2087" priority="889" operator="lessThan">
      <formula>0</formula>
    </cfRule>
    <cfRule type="cellIs" dxfId="2086" priority="890" operator="greaterThan">
      <formula>0</formula>
    </cfRule>
  </conditionalFormatting>
  <conditionalFormatting sqref="WJ44">
    <cfRule type="cellIs" dxfId="2085" priority="887" operator="lessThan">
      <formula>0</formula>
    </cfRule>
    <cfRule type="cellIs" dxfId="2084" priority="888" operator="greaterThan">
      <formula>0</formula>
    </cfRule>
  </conditionalFormatting>
  <conditionalFormatting sqref="WJ23:WJ24">
    <cfRule type="cellIs" dxfId="2083" priority="885" operator="lessThan">
      <formula>0</formula>
    </cfRule>
    <cfRule type="cellIs" dxfId="2082" priority="886" operator="greaterThan">
      <formula>0</formula>
    </cfRule>
  </conditionalFormatting>
  <conditionalFormatting sqref="WJ33:WJ34">
    <cfRule type="cellIs" dxfId="2081" priority="883" operator="lessThan">
      <formula>0</formula>
    </cfRule>
    <cfRule type="cellIs" dxfId="2080" priority="884" operator="greaterThan">
      <formula>0</formula>
    </cfRule>
  </conditionalFormatting>
  <conditionalFormatting sqref="WJ101">
    <cfRule type="cellIs" dxfId="2079" priority="877" operator="lessThan">
      <formula>0</formula>
    </cfRule>
    <cfRule type="cellIs" dxfId="2078" priority="878" operator="greaterThan">
      <formula>0</formula>
    </cfRule>
  </conditionalFormatting>
  <conditionalFormatting sqref="WJ104">
    <cfRule type="cellIs" dxfId="2077" priority="875" operator="lessThan">
      <formula>0</formula>
    </cfRule>
    <cfRule type="cellIs" dxfId="2076" priority="876" operator="greaterThan">
      <formula>0</formula>
    </cfRule>
  </conditionalFormatting>
  <conditionalFormatting sqref="WJ48:WJ49">
    <cfRule type="cellIs" dxfId="2075" priority="873" operator="lessThan">
      <formula>0</formula>
    </cfRule>
    <cfRule type="cellIs" dxfId="2074" priority="874" operator="greaterThan">
      <formula>0</formula>
    </cfRule>
  </conditionalFormatting>
  <conditionalFormatting sqref="WL91:WL96">
    <cfRule type="cellIs" dxfId="2073" priority="871" operator="lessThan">
      <formula>0</formula>
    </cfRule>
    <cfRule type="cellIs" dxfId="2072" priority="872" operator="greaterThan">
      <formula>0</formula>
    </cfRule>
  </conditionalFormatting>
  <conditionalFormatting sqref="WL50:WL68 WL80:WL90">
    <cfRule type="cellIs" dxfId="2071" priority="869" operator="lessThan">
      <formula>0</formula>
    </cfRule>
    <cfRule type="cellIs" dxfId="2070" priority="870" operator="greaterThan">
      <formula>0</formula>
    </cfRule>
  </conditionalFormatting>
  <conditionalFormatting sqref="WL98">
    <cfRule type="cellIs" dxfId="2069" priority="837" operator="lessThan">
      <formula>0</formula>
    </cfRule>
    <cfRule type="cellIs" dxfId="2068" priority="838" operator="greaterThan">
      <formula>0</formula>
    </cfRule>
  </conditionalFormatting>
  <conditionalFormatting sqref="WL6 WL9:WL11">
    <cfRule type="cellIs" dxfId="2067" priority="861" operator="lessThan">
      <formula>0</formula>
    </cfRule>
    <cfRule type="cellIs" dxfId="2066" priority="862" operator="greaterThan">
      <formula>0</formula>
    </cfRule>
  </conditionalFormatting>
  <conditionalFormatting sqref="WL43:WL44">
    <cfRule type="cellIs" dxfId="2065" priority="839" operator="lessThan">
      <formula>0</formula>
    </cfRule>
    <cfRule type="cellIs" dxfId="2064" priority="840" operator="greaterThan">
      <formula>0</formula>
    </cfRule>
  </conditionalFormatting>
  <conditionalFormatting sqref="WL11 WL19 WL3 WL24:WL32 WL34:WL42 WL69:WL79">
    <cfRule type="cellIs" dxfId="2063" priority="867" operator="lessThan">
      <formula>0</formula>
    </cfRule>
    <cfRule type="cellIs" dxfId="2062" priority="868" operator="greaterThan">
      <formula>0</formula>
    </cfRule>
  </conditionalFormatting>
  <conditionalFormatting sqref="WL4:WL5">
    <cfRule type="cellIs" dxfId="2061" priority="863" operator="lessThan">
      <formula>0</formula>
    </cfRule>
    <cfRule type="cellIs" dxfId="2060" priority="864" operator="greaterThan">
      <formula>0</formula>
    </cfRule>
  </conditionalFormatting>
  <conditionalFormatting sqref="WL12:WL13">
    <cfRule type="cellIs" dxfId="2059" priority="859" operator="lessThan">
      <formula>0</formula>
    </cfRule>
    <cfRule type="cellIs" dxfId="2058" priority="860" operator="greaterThan">
      <formula>0</formula>
    </cfRule>
  </conditionalFormatting>
  <conditionalFormatting sqref="WL14:WL19">
    <cfRule type="cellIs" dxfId="2057" priority="857" operator="lessThan">
      <formula>0</formula>
    </cfRule>
    <cfRule type="cellIs" dxfId="2056" priority="858" operator="greaterThan">
      <formula>0</formula>
    </cfRule>
  </conditionalFormatting>
  <conditionalFormatting sqref="WL20:WL22">
    <cfRule type="cellIs" dxfId="2055" priority="855" operator="lessThan">
      <formula>0</formula>
    </cfRule>
    <cfRule type="cellIs" dxfId="2054" priority="856" operator="greaterThan">
      <formula>0</formula>
    </cfRule>
  </conditionalFormatting>
  <conditionalFormatting sqref="WL45:WL46">
    <cfRule type="cellIs" dxfId="2053" priority="865" operator="lessThan">
      <formula>0</formula>
    </cfRule>
    <cfRule type="cellIs" dxfId="2052" priority="866" operator="greaterThan">
      <formula>0</formula>
    </cfRule>
  </conditionalFormatting>
  <conditionalFormatting sqref="WL7">
    <cfRule type="cellIs" dxfId="2051" priority="853" operator="lessThan">
      <formula>0</formula>
    </cfRule>
    <cfRule type="cellIs" dxfId="2050" priority="854" operator="greaterThan">
      <formula>0</formula>
    </cfRule>
  </conditionalFormatting>
  <conditionalFormatting sqref="WL7">
    <cfRule type="cellIs" dxfId="2049" priority="851" operator="lessThan">
      <formula>0</formula>
    </cfRule>
    <cfRule type="cellIs" dxfId="2048" priority="852" operator="greaterThan">
      <formula>0</formula>
    </cfRule>
  </conditionalFormatting>
  <conditionalFormatting sqref="WL8">
    <cfRule type="cellIs" dxfId="2047" priority="849" operator="lessThan">
      <formula>0</formula>
    </cfRule>
    <cfRule type="cellIs" dxfId="2046" priority="850" operator="greaterThan">
      <formula>0</formula>
    </cfRule>
  </conditionalFormatting>
  <conditionalFormatting sqref="WL47">
    <cfRule type="cellIs" dxfId="2045" priority="847" operator="lessThan">
      <formula>0</formula>
    </cfRule>
    <cfRule type="cellIs" dxfId="2044" priority="848" operator="greaterThan">
      <formula>0</formula>
    </cfRule>
  </conditionalFormatting>
  <conditionalFormatting sqref="WL44">
    <cfRule type="cellIs" dxfId="2043" priority="845" operator="lessThan">
      <formula>0</formula>
    </cfRule>
    <cfRule type="cellIs" dxfId="2042" priority="846" operator="greaterThan">
      <formula>0</formula>
    </cfRule>
  </conditionalFormatting>
  <conditionalFormatting sqref="WL23:WL24">
    <cfRule type="cellIs" dxfId="2041" priority="843" operator="lessThan">
      <formula>0</formula>
    </cfRule>
    <cfRule type="cellIs" dxfId="2040" priority="844" operator="greaterThan">
      <formula>0</formula>
    </cfRule>
  </conditionalFormatting>
  <conditionalFormatting sqref="WL33:WL34">
    <cfRule type="cellIs" dxfId="2039" priority="841" operator="lessThan">
      <formula>0</formula>
    </cfRule>
    <cfRule type="cellIs" dxfId="2038" priority="842" operator="greaterThan">
      <formula>0</formula>
    </cfRule>
  </conditionalFormatting>
  <conditionalFormatting sqref="WL101">
    <cfRule type="cellIs" dxfId="2037" priority="835" operator="lessThan">
      <formula>0</formula>
    </cfRule>
    <cfRule type="cellIs" dxfId="2036" priority="836" operator="greaterThan">
      <formula>0</formula>
    </cfRule>
  </conditionalFormatting>
  <conditionalFormatting sqref="WL104">
    <cfRule type="cellIs" dxfId="2035" priority="833" operator="lessThan">
      <formula>0</formula>
    </cfRule>
    <cfRule type="cellIs" dxfId="2034" priority="834" operator="greaterThan">
      <formula>0</formula>
    </cfRule>
  </conditionalFormatting>
  <conditionalFormatting sqref="WL48:WL49">
    <cfRule type="cellIs" dxfId="2033" priority="831" operator="lessThan">
      <formula>0</formula>
    </cfRule>
    <cfRule type="cellIs" dxfId="2032" priority="832" operator="greaterThan">
      <formula>0</formula>
    </cfRule>
  </conditionalFormatting>
  <conditionalFormatting sqref="WN91:WN96">
    <cfRule type="cellIs" dxfId="2031" priority="829" operator="lessThan">
      <formula>0</formula>
    </cfRule>
    <cfRule type="cellIs" dxfId="2030" priority="830" operator="greaterThan">
      <formula>0</formula>
    </cfRule>
  </conditionalFormatting>
  <conditionalFormatting sqref="WN50:WN68 WN80:WN90">
    <cfRule type="cellIs" dxfId="2029" priority="827" operator="lessThan">
      <formula>0</formula>
    </cfRule>
    <cfRule type="cellIs" dxfId="2028" priority="828" operator="greaterThan">
      <formula>0</formula>
    </cfRule>
  </conditionalFormatting>
  <conditionalFormatting sqref="WN98">
    <cfRule type="cellIs" dxfId="2027" priority="795" operator="lessThan">
      <formula>0</formula>
    </cfRule>
    <cfRule type="cellIs" dxfId="2026" priority="796" operator="greaterThan">
      <formula>0</formula>
    </cfRule>
  </conditionalFormatting>
  <conditionalFormatting sqref="WN6 WN9:WN11">
    <cfRule type="cellIs" dxfId="2025" priority="819" operator="lessThan">
      <formula>0</formula>
    </cfRule>
    <cfRule type="cellIs" dxfId="2024" priority="820" operator="greaterThan">
      <formula>0</formula>
    </cfRule>
  </conditionalFormatting>
  <conditionalFormatting sqref="WN43:WN44">
    <cfRule type="cellIs" dxfId="2023" priority="797" operator="lessThan">
      <formula>0</formula>
    </cfRule>
    <cfRule type="cellIs" dxfId="2022" priority="798" operator="greaterThan">
      <formula>0</formula>
    </cfRule>
  </conditionalFormatting>
  <conditionalFormatting sqref="WN11 WN19 WN3 WN24:WN32 WN34:WN42 WN69:WN79">
    <cfRule type="cellIs" dxfId="2021" priority="825" operator="lessThan">
      <formula>0</formula>
    </cfRule>
    <cfRule type="cellIs" dxfId="2020" priority="826" operator="greaterThan">
      <formula>0</formula>
    </cfRule>
  </conditionalFormatting>
  <conditionalFormatting sqref="WN4:WN5">
    <cfRule type="cellIs" dxfId="2019" priority="821" operator="lessThan">
      <formula>0</formula>
    </cfRule>
    <cfRule type="cellIs" dxfId="2018" priority="822" operator="greaterThan">
      <formula>0</formula>
    </cfRule>
  </conditionalFormatting>
  <conditionalFormatting sqref="WN12:WN13">
    <cfRule type="cellIs" dxfId="2017" priority="817" operator="lessThan">
      <formula>0</formula>
    </cfRule>
    <cfRule type="cellIs" dxfId="2016" priority="818" operator="greaterThan">
      <formula>0</formula>
    </cfRule>
  </conditionalFormatting>
  <conditionalFormatting sqref="WN14:WN19">
    <cfRule type="cellIs" dxfId="2015" priority="815" operator="lessThan">
      <formula>0</formula>
    </cfRule>
    <cfRule type="cellIs" dxfId="2014" priority="816" operator="greaterThan">
      <formula>0</formula>
    </cfRule>
  </conditionalFormatting>
  <conditionalFormatting sqref="WN20:WN22">
    <cfRule type="cellIs" dxfId="2013" priority="813" operator="lessThan">
      <formula>0</formula>
    </cfRule>
    <cfRule type="cellIs" dxfId="2012" priority="814" operator="greaterThan">
      <formula>0</formula>
    </cfRule>
  </conditionalFormatting>
  <conditionalFormatting sqref="WN45:WN46">
    <cfRule type="cellIs" dxfId="2011" priority="823" operator="lessThan">
      <formula>0</formula>
    </cfRule>
    <cfRule type="cellIs" dxfId="2010" priority="824" operator="greaterThan">
      <formula>0</formula>
    </cfRule>
  </conditionalFormatting>
  <conditionalFormatting sqref="WN7">
    <cfRule type="cellIs" dxfId="2009" priority="811" operator="lessThan">
      <formula>0</formula>
    </cfRule>
    <cfRule type="cellIs" dxfId="2008" priority="812" operator="greaterThan">
      <formula>0</formula>
    </cfRule>
  </conditionalFormatting>
  <conditionalFormatting sqref="WN7">
    <cfRule type="cellIs" dxfId="2007" priority="809" operator="lessThan">
      <formula>0</formula>
    </cfRule>
    <cfRule type="cellIs" dxfId="2006" priority="810" operator="greaterThan">
      <formula>0</formula>
    </cfRule>
  </conditionalFormatting>
  <conditionalFormatting sqref="WN8">
    <cfRule type="cellIs" dxfId="2005" priority="807" operator="lessThan">
      <formula>0</formula>
    </cfRule>
    <cfRule type="cellIs" dxfId="2004" priority="808" operator="greaterThan">
      <formula>0</formula>
    </cfRule>
  </conditionalFormatting>
  <conditionalFormatting sqref="WN47">
    <cfRule type="cellIs" dxfId="2003" priority="805" operator="lessThan">
      <formula>0</formula>
    </cfRule>
    <cfRule type="cellIs" dxfId="2002" priority="806" operator="greaterThan">
      <formula>0</formula>
    </cfRule>
  </conditionalFormatting>
  <conditionalFormatting sqref="WN44">
    <cfRule type="cellIs" dxfId="2001" priority="803" operator="lessThan">
      <formula>0</formula>
    </cfRule>
    <cfRule type="cellIs" dxfId="2000" priority="804" operator="greaterThan">
      <formula>0</formula>
    </cfRule>
  </conditionalFormatting>
  <conditionalFormatting sqref="WN23:WN24">
    <cfRule type="cellIs" dxfId="1999" priority="801" operator="lessThan">
      <formula>0</formula>
    </cfRule>
    <cfRule type="cellIs" dxfId="1998" priority="802" operator="greaterThan">
      <formula>0</formula>
    </cfRule>
  </conditionalFormatting>
  <conditionalFormatting sqref="WN33:WN34">
    <cfRule type="cellIs" dxfId="1997" priority="799" operator="lessThan">
      <formula>0</formula>
    </cfRule>
    <cfRule type="cellIs" dxfId="1996" priority="800" operator="greaterThan">
      <formula>0</formula>
    </cfRule>
  </conditionalFormatting>
  <conditionalFormatting sqref="WN101">
    <cfRule type="cellIs" dxfId="1995" priority="793" operator="lessThan">
      <formula>0</formula>
    </cfRule>
    <cfRule type="cellIs" dxfId="1994" priority="794" operator="greaterThan">
      <formula>0</formula>
    </cfRule>
  </conditionalFormatting>
  <conditionalFormatting sqref="WN104">
    <cfRule type="cellIs" dxfId="1993" priority="791" operator="lessThan">
      <formula>0</formula>
    </cfRule>
    <cfRule type="cellIs" dxfId="1992" priority="792" operator="greaterThan">
      <formula>0</formula>
    </cfRule>
  </conditionalFormatting>
  <conditionalFormatting sqref="WN48:WN49">
    <cfRule type="cellIs" dxfId="1991" priority="789" operator="lessThan">
      <formula>0</formula>
    </cfRule>
    <cfRule type="cellIs" dxfId="1990" priority="790" operator="greaterThan">
      <formula>0</formula>
    </cfRule>
  </conditionalFormatting>
  <conditionalFormatting sqref="WP91:WP96">
    <cfRule type="cellIs" dxfId="1989" priority="776" operator="lessThan">
      <formula>0</formula>
    </cfRule>
    <cfRule type="cellIs" dxfId="1988" priority="777" operator="greaterThan">
      <formula>0</formula>
    </cfRule>
  </conditionalFormatting>
  <conditionalFormatting sqref="WP50:WP68 WP80:WP90">
    <cfRule type="cellIs" dxfId="1987" priority="774" operator="lessThan">
      <formula>0</formula>
    </cfRule>
    <cfRule type="cellIs" dxfId="1986" priority="775" operator="greaterThan">
      <formula>0</formula>
    </cfRule>
  </conditionalFormatting>
  <conditionalFormatting sqref="WP98">
    <cfRule type="cellIs" dxfId="1985" priority="742" operator="lessThan">
      <formula>0</formula>
    </cfRule>
    <cfRule type="cellIs" dxfId="1984" priority="743" operator="greaterThan">
      <formula>0</formula>
    </cfRule>
  </conditionalFormatting>
  <conditionalFormatting sqref="WP6 WP9:WP11">
    <cfRule type="cellIs" dxfId="1983" priority="766" operator="lessThan">
      <formula>0</formula>
    </cfRule>
    <cfRule type="cellIs" dxfId="1982" priority="767" operator="greaterThan">
      <formula>0</formula>
    </cfRule>
  </conditionalFormatting>
  <conditionalFormatting sqref="WP43:WP44">
    <cfRule type="cellIs" dxfId="1981" priority="744" operator="lessThan">
      <formula>0</formula>
    </cfRule>
    <cfRule type="cellIs" dxfId="1980" priority="745" operator="greaterThan">
      <formula>0</formula>
    </cfRule>
  </conditionalFormatting>
  <conditionalFormatting sqref="WP11 WP19 WP3 WP24:WP32 WP34:WP42 WP69:WP79">
    <cfRule type="cellIs" dxfId="1979" priority="772" operator="lessThan">
      <formula>0</formula>
    </cfRule>
    <cfRule type="cellIs" dxfId="1978" priority="773" operator="greaterThan">
      <formula>0</formula>
    </cfRule>
  </conditionalFormatting>
  <conditionalFormatting sqref="WP4:WP5">
    <cfRule type="cellIs" dxfId="1977" priority="768" operator="lessThan">
      <formula>0</formula>
    </cfRule>
    <cfRule type="cellIs" dxfId="1976" priority="769" operator="greaterThan">
      <formula>0</formula>
    </cfRule>
  </conditionalFormatting>
  <conditionalFormatting sqref="WP12:WP13">
    <cfRule type="cellIs" dxfId="1975" priority="764" operator="lessThan">
      <formula>0</formula>
    </cfRule>
    <cfRule type="cellIs" dxfId="1974" priority="765" operator="greaterThan">
      <formula>0</formula>
    </cfRule>
  </conditionalFormatting>
  <conditionalFormatting sqref="WP14:WP19">
    <cfRule type="cellIs" dxfId="1973" priority="762" operator="lessThan">
      <formula>0</formula>
    </cfRule>
    <cfRule type="cellIs" dxfId="1972" priority="763" operator="greaterThan">
      <formula>0</formula>
    </cfRule>
  </conditionalFormatting>
  <conditionalFormatting sqref="WP20:WP22">
    <cfRule type="cellIs" dxfId="1971" priority="760" operator="lessThan">
      <formula>0</formula>
    </cfRule>
    <cfRule type="cellIs" dxfId="1970" priority="761" operator="greaterThan">
      <formula>0</formula>
    </cfRule>
  </conditionalFormatting>
  <conditionalFormatting sqref="WP45:WP46">
    <cfRule type="cellIs" dxfId="1969" priority="770" operator="lessThan">
      <formula>0</formula>
    </cfRule>
    <cfRule type="cellIs" dxfId="1968" priority="771" operator="greaterThan">
      <formula>0</formula>
    </cfRule>
  </conditionalFormatting>
  <conditionalFormatting sqref="WP7">
    <cfRule type="cellIs" dxfId="1967" priority="758" operator="lessThan">
      <formula>0</formula>
    </cfRule>
    <cfRule type="cellIs" dxfId="1966" priority="759" operator="greaterThan">
      <formula>0</formula>
    </cfRule>
  </conditionalFormatting>
  <conditionalFormatting sqref="WP7">
    <cfRule type="cellIs" dxfId="1965" priority="756" operator="lessThan">
      <formula>0</formula>
    </cfRule>
    <cfRule type="cellIs" dxfId="1964" priority="757" operator="greaterThan">
      <formula>0</formula>
    </cfRule>
  </conditionalFormatting>
  <conditionalFormatting sqref="WP8">
    <cfRule type="cellIs" dxfId="1963" priority="754" operator="lessThan">
      <formula>0</formula>
    </cfRule>
    <cfRule type="cellIs" dxfId="1962" priority="755" operator="greaterThan">
      <formula>0</formula>
    </cfRule>
  </conditionalFormatting>
  <conditionalFormatting sqref="WP47">
    <cfRule type="cellIs" dxfId="1961" priority="752" operator="lessThan">
      <formula>0</formula>
    </cfRule>
    <cfRule type="cellIs" dxfId="1960" priority="753" operator="greaterThan">
      <formula>0</formula>
    </cfRule>
  </conditionalFormatting>
  <conditionalFormatting sqref="WP44">
    <cfRule type="cellIs" dxfId="1959" priority="750" operator="lessThan">
      <formula>0</formula>
    </cfRule>
    <cfRule type="cellIs" dxfId="1958" priority="751" operator="greaterThan">
      <formula>0</formula>
    </cfRule>
  </conditionalFormatting>
  <conditionalFormatting sqref="WP23:WP24">
    <cfRule type="cellIs" dxfId="1957" priority="748" operator="lessThan">
      <formula>0</formula>
    </cfRule>
    <cfRule type="cellIs" dxfId="1956" priority="749" operator="greaterThan">
      <formula>0</formula>
    </cfRule>
  </conditionalFormatting>
  <conditionalFormatting sqref="WP33:WP34">
    <cfRule type="cellIs" dxfId="1955" priority="746" operator="lessThan">
      <formula>0</formula>
    </cfRule>
    <cfRule type="cellIs" dxfId="1954" priority="747" operator="greaterThan">
      <formula>0</formula>
    </cfRule>
  </conditionalFormatting>
  <conditionalFormatting sqref="WP101">
    <cfRule type="cellIs" dxfId="1953" priority="740" operator="lessThan">
      <formula>0</formula>
    </cfRule>
    <cfRule type="cellIs" dxfId="1952" priority="741" operator="greaterThan">
      <formula>0</formula>
    </cfRule>
  </conditionalFormatting>
  <conditionalFormatting sqref="WP104">
    <cfRule type="cellIs" dxfId="1951" priority="738" operator="lessThan">
      <formula>0</formula>
    </cfRule>
    <cfRule type="cellIs" dxfId="1950" priority="739" operator="greaterThan">
      <formula>0</formula>
    </cfRule>
  </conditionalFormatting>
  <conditionalFormatting sqref="WP48:WP49">
    <cfRule type="cellIs" dxfId="1949" priority="736" operator="lessThan">
      <formula>0</formula>
    </cfRule>
    <cfRule type="cellIs" dxfId="1948" priority="737" operator="greaterThan">
      <formula>0</formula>
    </cfRule>
  </conditionalFormatting>
  <conditionalFormatting sqref="WR101">
    <cfRule type="cellIs" dxfId="1947" priority="687" operator="lessThan">
      <formula>0</formula>
    </cfRule>
    <cfRule type="cellIs" dxfId="1946" priority="688" operator="greaterThan">
      <formula>0</formula>
    </cfRule>
  </conditionalFormatting>
  <conditionalFormatting sqref="WR91:WR96">
    <cfRule type="cellIs" dxfId="1945" priority="723" operator="lessThan">
      <formula>0</formula>
    </cfRule>
    <cfRule type="cellIs" dxfId="1944" priority="724" operator="greaterThan">
      <formula>0</formula>
    </cfRule>
  </conditionalFormatting>
  <conditionalFormatting sqref="WR50:WR68 WR80:WR90">
    <cfRule type="cellIs" dxfId="1943" priority="721" operator="lessThan">
      <formula>0</formula>
    </cfRule>
    <cfRule type="cellIs" dxfId="1942" priority="722" operator="greaterThan">
      <formula>0</formula>
    </cfRule>
  </conditionalFormatting>
  <conditionalFormatting sqref="WR98">
    <cfRule type="cellIs" dxfId="1941" priority="689" operator="lessThan">
      <formula>0</formula>
    </cfRule>
    <cfRule type="cellIs" dxfId="1940" priority="690" operator="greaterThan">
      <formula>0</formula>
    </cfRule>
  </conditionalFormatting>
  <conditionalFormatting sqref="WR6 WR9:WR11">
    <cfRule type="cellIs" dxfId="1939" priority="713" operator="lessThan">
      <formula>0</formula>
    </cfRule>
    <cfRule type="cellIs" dxfId="1938" priority="714" operator="greaterThan">
      <formula>0</formula>
    </cfRule>
  </conditionalFormatting>
  <conditionalFormatting sqref="WR43:WR44">
    <cfRule type="cellIs" dxfId="1937" priority="691" operator="lessThan">
      <formula>0</formula>
    </cfRule>
    <cfRule type="cellIs" dxfId="1936" priority="692" operator="greaterThan">
      <formula>0</formula>
    </cfRule>
  </conditionalFormatting>
  <conditionalFormatting sqref="WR11 WR19 WR3 WR24:WR32 WR34:WR42 WR69:WR79">
    <cfRule type="cellIs" dxfId="1935" priority="719" operator="lessThan">
      <formula>0</formula>
    </cfRule>
    <cfRule type="cellIs" dxfId="1934" priority="720" operator="greaterThan">
      <formula>0</formula>
    </cfRule>
  </conditionalFormatting>
  <conditionalFormatting sqref="WR4:WR5">
    <cfRule type="cellIs" dxfId="1933" priority="715" operator="lessThan">
      <formula>0</formula>
    </cfRule>
    <cfRule type="cellIs" dxfId="1932" priority="716" operator="greaterThan">
      <formula>0</formula>
    </cfRule>
  </conditionalFormatting>
  <conditionalFormatting sqref="WR12:WR13">
    <cfRule type="cellIs" dxfId="1931" priority="711" operator="lessThan">
      <formula>0</formula>
    </cfRule>
    <cfRule type="cellIs" dxfId="1930" priority="712" operator="greaterThan">
      <formula>0</formula>
    </cfRule>
  </conditionalFormatting>
  <conditionalFormatting sqref="WR14:WR19">
    <cfRule type="cellIs" dxfId="1929" priority="709" operator="lessThan">
      <formula>0</formula>
    </cfRule>
    <cfRule type="cellIs" dxfId="1928" priority="710" operator="greaterThan">
      <formula>0</formula>
    </cfRule>
  </conditionalFormatting>
  <conditionalFormatting sqref="WR20:WR22">
    <cfRule type="cellIs" dxfId="1927" priority="707" operator="lessThan">
      <formula>0</formula>
    </cfRule>
    <cfRule type="cellIs" dxfId="1926" priority="708" operator="greaterThan">
      <formula>0</formula>
    </cfRule>
  </conditionalFormatting>
  <conditionalFormatting sqref="WR45:WR46">
    <cfRule type="cellIs" dxfId="1925" priority="717" operator="lessThan">
      <formula>0</formula>
    </cfRule>
    <cfRule type="cellIs" dxfId="1924" priority="718" operator="greaterThan">
      <formula>0</formula>
    </cfRule>
  </conditionalFormatting>
  <conditionalFormatting sqref="WR7">
    <cfRule type="cellIs" dxfId="1923" priority="705" operator="lessThan">
      <formula>0</formula>
    </cfRule>
    <cfRule type="cellIs" dxfId="1922" priority="706" operator="greaterThan">
      <formula>0</formula>
    </cfRule>
  </conditionalFormatting>
  <conditionalFormatting sqref="WR7">
    <cfRule type="cellIs" dxfId="1921" priority="703" operator="lessThan">
      <formula>0</formula>
    </cfRule>
    <cfRule type="cellIs" dxfId="1920" priority="704" operator="greaterThan">
      <formula>0</formula>
    </cfRule>
  </conditionalFormatting>
  <conditionalFormatting sqref="WR8">
    <cfRule type="cellIs" dxfId="1919" priority="701" operator="lessThan">
      <formula>0</formula>
    </cfRule>
    <cfRule type="cellIs" dxfId="1918" priority="702" operator="greaterThan">
      <formula>0</formula>
    </cfRule>
  </conditionalFormatting>
  <conditionalFormatting sqref="WR47">
    <cfRule type="cellIs" dxfId="1917" priority="699" operator="lessThan">
      <formula>0</formula>
    </cfRule>
    <cfRule type="cellIs" dxfId="1916" priority="700" operator="greaterThan">
      <formula>0</formula>
    </cfRule>
  </conditionalFormatting>
  <conditionalFormatting sqref="WR44">
    <cfRule type="cellIs" dxfId="1915" priority="697" operator="lessThan">
      <formula>0</formula>
    </cfRule>
    <cfRule type="cellIs" dxfId="1914" priority="698" operator="greaterThan">
      <formula>0</formula>
    </cfRule>
  </conditionalFormatting>
  <conditionalFormatting sqref="WR23:WR24">
    <cfRule type="cellIs" dxfId="1913" priority="695" operator="lessThan">
      <formula>0</formula>
    </cfRule>
    <cfRule type="cellIs" dxfId="1912" priority="696" operator="greaterThan">
      <formula>0</formula>
    </cfRule>
  </conditionalFormatting>
  <conditionalFormatting sqref="WR33:WR34">
    <cfRule type="cellIs" dxfId="1911" priority="693" operator="lessThan">
      <formula>0</formula>
    </cfRule>
    <cfRule type="cellIs" dxfId="1910" priority="694" operator="greaterThan">
      <formula>0</formula>
    </cfRule>
  </conditionalFormatting>
  <conditionalFormatting sqref="WR104">
    <cfRule type="cellIs" dxfId="1909" priority="685" operator="lessThan">
      <formula>0</formula>
    </cfRule>
    <cfRule type="cellIs" dxfId="1908" priority="686" operator="greaterThan">
      <formula>0</formula>
    </cfRule>
  </conditionalFormatting>
  <conditionalFormatting sqref="WR48:WR49">
    <cfRule type="cellIs" dxfId="1907" priority="683" operator="lessThan">
      <formula>0</formula>
    </cfRule>
    <cfRule type="cellIs" dxfId="1906" priority="684" operator="greaterThan">
      <formula>0</formula>
    </cfRule>
  </conditionalFormatting>
  <conditionalFormatting sqref="WT101">
    <cfRule type="cellIs" dxfId="1905" priority="598" operator="lessThan">
      <formula>0</formula>
    </cfRule>
    <cfRule type="cellIs" dxfId="1904" priority="599" operator="greaterThan">
      <formula>0</formula>
    </cfRule>
  </conditionalFormatting>
  <conditionalFormatting sqref="WT91:WT96">
    <cfRule type="cellIs" dxfId="1903" priority="634" operator="lessThan">
      <formula>0</formula>
    </cfRule>
    <cfRule type="cellIs" dxfId="1902" priority="635" operator="greaterThan">
      <formula>0</formula>
    </cfRule>
  </conditionalFormatting>
  <conditionalFormatting sqref="WT50:WT68 WT80:WT90">
    <cfRule type="cellIs" dxfId="1901" priority="632" operator="lessThan">
      <formula>0</formula>
    </cfRule>
    <cfRule type="cellIs" dxfId="1900" priority="633" operator="greaterThan">
      <formula>0</formula>
    </cfRule>
  </conditionalFormatting>
  <conditionalFormatting sqref="WT98">
    <cfRule type="cellIs" dxfId="1899" priority="600" operator="lessThan">
      <formula>0</formula>
    </cfRule>
    <cfRule type="cellIs" dxfId="1898" priority="601" operator="greaterThan">
      <formula>0</formula>
    </cfRule>
  </conditionalFormatting>
  <conditionalFormatting sqref="WT6 WT9:WT11">
    <cfRule type="cellIs" dxfId="1897" priority="624" operator="lessThan">
      <formula>0</formula>
    </cfRule>
    <cfRule type="cellIs" dxfId="1896" priority="625" operator="greaterThan">
      <formula>0</formula>
    </cfRule>
  </conditionalFormatting>
  <conditionalFormatting sqref="WT43:WT44">
    <cfRule type="cellIs" dxfId="1895" priority="602" operator="lessThan">
      <formula>0</formula>
    </cfRule>
    <cfRule type="cellIs" dxfId="1894" priority="603" operator="greaterThan">
      <formula>0</formula>
    </cfRule>
  </conditionalFormatting>
  <conditionalFormatting sqref="WT11 WT19 WT3 WT24:WT32 WT34:WT42 WT69:WT79">
    <cfRule type="cellIs" dxfId="1893" priority="630" operator="lessThan">
      <formula>0</formula>
    </cfRule>
    <cfRule type="cellIs" dxfId="1892" priority="631" operator="greaterThan">
      <formula>0</formula>
    </cfRule>
  </conditionalFormatting>
  <conditionalFormatting sqref="WT4:WT5">
    <cfRule type="cellIs" dxfId="1891" priority="626" operator="lessThan">
      <formula>0</formula>
    </cfRule>
    <cfRule type="cellIs" dxfId="1890" priority="627" operator="greaterThan">
      <formula>0</formula>
    </cfRule>
  </conditionalFormatting>
  <conditionalFormatting sqref="WT12:WT13">
    <cfRule type="cellIs" dxfId="1889" priority="622" operator="lessThan">
      <formula>0</formula>
    </cfRule>
    <cfRule type="cellIs" dxfId="1888" priority="623" operator="greaterThan">
      <formula>0</formula>
    </cfRule>
  </conditionalFormatting>
  <conditionalFormatting sqref="WT14:WT19">
    <cfRule type="cellIs" dxfId="1887" priority="620" operator="lessThan">
      <formula>0</formula>
    </cfRule>
    <cfRule type="cellIs" dxfId="1886" priority="621" operator="greaterThan">
      <formula>0</formula>
    </cfRule>
  </conditionalFormatting>
  <conditionalFormatting sqref="WT20:WT22">
    <cfRule type="cellIs" dxfId="1885" priority="618" operator="lessThan">
      <formula>0</formula>
    </cfRule>
    <cfRule type="cellIs" dxfId="1884" priority="619" operator="greaterThan">
      <formula>0</formula>
    </cfRule>
  </conditionalFormatting>
  <conditionalFormatting sqref="WT45:WT46">
    <cfRule type="cellIs" dxfId="1883" priority="628" operator="lessThan">
      <formula>0</formula>
    </cfRule>
    <cfRule type="cellIs" dxfId="1882" priority="629" operator="greaterThan">
      <formula>0</formula>
    </cfRule>
  </conditionalFormatting>
  <conditionalFormatting sqref="WT7">
    <cfRule type="cellIs" dxfId="1881" priority="616" operator="lessThan">
      <formula>0</formula>
    </cfRule>
    <cfRule type="cellIs" dxfId="1880" priority="617" operator="greaterThan">
      <formula>0</formula>
    </cfRule>
  </conditionalFormatting>
  <conditionalFormatting sqref="WT7">
    <cfRule type="cellIs" dxfId="1879" priority="614" operator="lessThan">
      <formula>0</formula>
    </cfRule>
    <cfRule type="cellIs" dxfId="1878" priority="615" operator="greaterThan">
      <formula>0</formula>
    </cfRule>
  </conditionalFormatting>
  <conditionalFormatting sqref="WT8">
    <cfRule type="cellIs" dxfId="1877" priority="612" operator="lessThan">
      <formula>0</formula>
    </cfRule>
    <cfRule type="cellIs" dxfId="1876" priority="613" operator="greaterThan">
      <formula>0</formula>
    </cfRule>
  </conditionalFormatting>
  <conditionalFormatting sqref="WT47">
    <cfRule type="cellIs" dxfId="1875" priority="610" operator="lessThan">
      <formula>0</formula>
    </cfRule>
    <cfRule type="cellIs" dxfId="1874" priority="611" operator="greaterThan">
      <formula>0</formula>
    </cfRule>
  </conditionalFormatting>
  <conditionalFormatting sqref="WT44">
    <cfRule type="cellIs" dxfId="1873" priority="608" operator="lessThan">
      <formula>0</formula>
    </cfRule>
    <cfRule type="cellIs" dxfId="1872" priority="609" operator="greaterThan">
      <formula>0</formula>
    </cfRule>
  </conditionalFormatting>
  <conditionalFormatting sqref="WT23:WT24">
    <cfRule type="cellIs" dxfId="1871" priority="606" operator="lessThan">
      <formula>0</formula>
    </cfRule>
    <cfRule type="cellIs" dxfId="1870" priority="607" operator="greaterThan">
      <formula>0</formula>
    </cfRule>
  </conditionalFormatting>
  <conditionalFormatting sqref="WT33:WT34">
    <cfRule type="cellIs" dxfId="1869" priority="604" operator="lessThan">
      <formula>0</formula>
    </cfRule>
    <cfRule type="cellIs" dxfId="1868" priority="605" operator="greaterThan">
      <formula>0</formula>
    </cfRule>
  </conditionalFormatting>
  <conditionalFormatting sqref="WT104">
    <cfRule type="cellIs" dxfId="1867" priority="596" operator="lessThan">
      <formula>0</formula>
    </cfRule>
    <cfRule type="cellIs" dxfId="1866" priority="597" operator="greaterThan">
      <formula>0</formula>
    </cfRule>
  </conditionalFormatting>
  <conditionalFormatting sqref="WT48:WT49">
    <cfRule type="cellIs" dxfId="1865" priority="594" operator="lessThan">
      <formula>0</formula>
    </cfRule>
    <cfRule type="cellIs" dxfId="1864" priority="595" operator="greaterThan">
      <formula>0</formula>
    </cfRule>
  </conditionalFormatting>
  <conditionalFormatting sqref="WV101">
    <cfRule type="cellIs" dxfId="1863" priority="556" operator="lessThan">
      <formula>0</formula>
    </cfRule>
    <cfRule type="cellIs" dxfId="1862" priority="557" operator="greaterThan">
      <formula>0</formula>
    </cfRule>
  </conditionalFormatting>
  <conditionalFormatting sqref="WV91:WV96">
    <cfRule type="cellIs" dxfId="1861" priority="592" operator="lessThan">
      <formula>0</formula>
    </cfRule>
    <cfRule type="cellIs" dxfId="1860" priority="593" operator="greaterThan">
      <formula>0</formula>
    </cfRule>
  </conditionalFormatting>
  <conditionalFormatting sqref="WV50:WV68 WV80:WV90">
    <cfRule type="cellIs" dxfId="1859" priority="590" operator="lessThan">
      <formula>0</formula>
    </cfRule>
    <cfRule type="cellIs" dxfId="1858" priority="591" operator="greaterThan">
      <formula>0</formula>
    </cfRule>
  </conditionalFormatting>
  <conditionalFormatting sqref="WV98">
    <cfRule type="cellIs" dxfId="1857" priority="558" operator="lessThan">
      <formula>0</formula>
    </cfRule>
    <cfRule type="cellIs" dxfId="1856" priority="559" operator="greaterThan">
      <formula>0</formula>
    </cfRule>
  </conditionalFormatting>
  <conditionalFormatting sqref="WV6 WV9:WV11">
    <cfRule type="cellIs" dxfId="1855" priority="582" operator="lessThan">
      <formula>0</formula>
    </cfRule>
    <cfRule type="cellIs" dxfId="1854" priority="583" operator="greaterThan">
      <formula>0</formula>
    </cfRule>
  </conditionalFormatting>
  <conditionalFormatting sqref="WV43:WV44">
    <cfRule type="cellIs" dxfId="1853" priority="560" operator="lessThan">
      <formula>0</formula>
    </cfRule>
    <cfRule type="cellIs" dxfId="1852" priority="561" operator="greaterThan">
      <formula>0</formula>
    </cfRule>
  </conditionalFormatting>
  <conditionalFormatting sqref="WV11 WV19 WV3 WV24:WV32 WV34:WV42 WV69:WV79">
    <cfRule type="cellIs" dxfId="1851" priority="588" operator="lessThan">
      <formula>0</formula>
    </cfRule>
    <cfRule type="cellIs" dxfId="1850" priority="589" operator="greaterThan">
      <formula>0</formula>
    </cfRule>
  </conditionalFormatting>
  <conditionalFormatting sqref="WV4:WV5">
    <cfRule type="cellIs" dxfId="1849" priority="584" operator="lessThan">
      <formula>0</formula>
    </cfRule>
    <cfRule type="cellIs" dxfId="1848" priority="585" operator="greaterThan">
      <formula>0</formula>
    </cfRule>
  </conditionalFormatting>
  <conditionalFormatting sqref="WV12:WV13">
    <cfRule type="cellIs" dxfId="1847" priority="580" operator="lessThan">
      <formula>0</formula>
    </cfRule>
    <cfRule type="cellIs" dxfId="1846" priority="581" operator="greaterThan">
      <formula>0</formula>
    </cfRule>
  </conditionalFormatting>
  <conditionalFormatting sqref="WV14:WV19">
    <cfRule type="cellIs" dxfId="1845" priority="578" operator="lessThan">
      <formula>0</formula>
    </cfRule>
    <cfRule type="cellIs" dxfId="1844" priority="579" operator="greaterThan">
      <formula>0</formula>
    </cfRule>
  </conditionalFormatting>
  <conditionalFormatting sqref="WV20:WV22">
    <cfRule type="cellIs" dxfId="1843" priority="576" operator="lessThan">
      <formula>0</formula>
    </cfRule>
    <cfRule type="cellIs" dxfId="1842" priority="577" operator="greaterThan">
      <formula>0</formula>
    </cfRule>
  </conditionalFormatting>
  <conditionalFormatting sqref="WV45:WV46">
    <cfRule type="cellIs" dxfId="1841" priority="586" operator="lessThan">
      <formula>0</formula>
    </cfRule>
    <cfRule type="cellIs" dxfId="1840" priority="587" operator="greaterThan">
      <formula>0</formula>
    </cfRule>
  </conditionalFormatting>
  <conditionalFormatting sqref="WV7">
    <cfRule type="cellIs" dxfId="1839" priority="574" operator="lessThan">
      <formula>0</formula>
    </cfRule>
    <cfRule type="cellIs" dxfId="1838" priority="575" operator="greaterThan">
      <formula>0</formula>
    </cfRule>
  </conditionalFormatting>
  <conditionalFormatting sqref="WV7">
    <cfRule type="cellIs" dxfId="1837" priority="572" operator="lessThan">
      <formula>0</formula>
    </cfRule>
    <cfRule type="cellIs" dxfId="1836" priority="573" operator="greaterThan">
      <formula>0</formula>
    </cfRule>
  </conditionalFormatting>
  <conditionalFormatting sqref="WV8">
    <cfRule type="cellIs" dxfId="1835" priority="570" operator="lessThan">
      <formula>0</formula>
    </cfRule>
    <cfRule type="cellIs" dxfId="1834" priority="571" operator="greaterThan">
      <formula>0</formula>
    </cfRule>
  </conditionalFormatting>
  <conditionalFormatting sqref="WV47">
    <cfRule type="cellIs" dxfId="1833" priority="568" operator="lessThan">
      <formula>0</formula>
    </cfRule>
    <cfRule type="cellIs" dxfId="1832" priority="569" operator="greaterThan">
      <formula>0</formula>
    </cfRule>
  </conditionalFormatting>
  <conditionalFormatting sqref="WV44">
    <cfRule type="cellIs" dxfId="1831" priority="566" operator="lessThan">
      <formula>0</formula>
    </cfRule>
    <cfRule type="cellIs" dxfId="1830" priority="567" operator="greaterThan">
      <formula>0</formula>
    </cfRule>
  </conditionalFormatting>
  <conditionalFormatting sqref="WV23:WV24">
    <cfRule type="cellIs" dxfId="1829" priority="564" operator="lessThan">
      <formula>0</formula>
    </cfRule>
    <cfRule type="cellIs" dxfId="1828" priority="565" operator="greaterThan">
      <formula>0</formula>
    </cfRule>
  </conditionalFormatting>
  <conditionalFormatting sqref="WV33:WV34">
    <cfRule type="cellIs" dxfId="1827" priority="562" operator="lessThan">
      <formula>0</formula>
    </cfRule>
    <cfRule type="cellIs" dxfId="1826" priority="563" operator="greaterThan">
      <formula>0</formula>
    </cfRule>
  </conditionalFormatting>
  <conditionalFormatting sqref="WV104">
    <cfRule type="cellIs" dxfId="1825" priority="554" operator="lessThan">
      <formula>0</formula>
    </cfRule>
    <cfRule type="cellIs" dxfId="1824" priority="555" operator="greaterThan">
      <formula>0</formula>
    </cfRule>
  </conditionalFormatting>
  <conditionalFormatting sqref="WV48:WV49">
    <cfRule type="cellIs" dxfId="1823" priority="552" operator="lessThan">
      <formula>0</formula>
    </cfRule>
    <cfRule type="cellIs" dxfId="1822" priority="553" operator="greaterThan">
      <formula>0</formula>
    </cfRule>
  </conditionalFormatting>
  <conditionalFormatting sqref="WX101">
    <cfRule type="cellIs" dxfId="1821" priority="514" operator="lessThan">
      <formula>0</formula>
    </cfRule>
    <cfRule type="cellIs" dxfId="1820" priority="515" operator="greaterThan">
      <formula>0</formula>
    </cfRule>
  </conditionalFormatting>
  <conditionalFormatting sqref="WX91:WX96">
    <cfRule type="cellIs" dxfId="1819" priority="550" operator="lessThan">
      <formula>0</formula>
    </cfRule>
    <cfRule type="cellIs" dxfId="1818" priority="551" operator="greaterThan">
      <formula>0</formula>
    </cfRule>
  </conditionalFormatting>
  <conditionalFormatting sqref="WX50:WX68 WX80:WX90">
    <cfRule type="cellIs" dxfId="1817" priority="548" operator="lessThan">
      <formula>0</formula>
    </cfRule>
    <cfRule type="cellIs" dxfId="1816" priority="549" operator="greaterThan">
      <formula>0</formula>
    </cfRule>
  </conditionalFormatting>
  <conditionalFormatting sqref="WX98">
    <cfRule type="cellIs" dxfId="1815" priority="516" operator="lessThan">
      <formula>0</formula>
    </cfRule>
    <cfRule type="cellIs" dxfId="1814" priority="517" operator="greaterThan">
      <formula>0</formula>
    </cfRule>
  </conditionalFormatting>
  <conditionalFormatting sqref="WX6 WX9:WX11">
    <cfRule type="cellIs" dxfId="1813" priority="540" operator="lessThan">
      <formula>0</formula>
    </cfRule>
    <cfRule type="cellIs" dxfId="1812" priority="541" operator="greaterThan">
      <formula>0</formula>
    </cfRule>
  </conditionalFormatting>
  <conditionalFormatting sqref="WX43:WX44">
    <cfRule type="cellIs" dxfId="1811" priority="518" operator="lessThan">
      <formula>0</formula>
    </cfRule>
    <cfRule type="cellIs" dxfId="1810" priority="519" operator="greaterThan">
      <formula>0</formula>
    </cfRule>
  </conditionalFormatting>
  <conditionalFormatting sqref="WX11 WX19 WX3 WX24:WX32 WX34:WX42 WX69:WX79">
    <cfRule type="cellIs" dxfId="1809" priority="546" operator="lessThan">
      <formula>0</formula>
    </cfRule>
    <cfRule type="cellIs" dxfId="1808" priority="547" operator="greaterThan">
      <formula>0</formula>
    </cfRule>
  </conditionalFormatting>
  <conditionalFormatting sqref="WX4:WX5">
    <cfRule type="cellIs" dxfId="1807" priority="542" operator="lessThan">
      <formula>0</formula>
    </cfRule>
    <cfRule type="cellIs" dxfId="1806" priority="543" operator="greaterThan">
      <formula>0</formula>
    </cfRule>
  </conditionalFormatting>
  <conditionalFormatting sqref="WX12:WX13">
    <cfRule type="cellIs" dxfId="1805" priority="538" operator="lessThan">
      <formula>0</formula>
    </cfRule>
    <cfRule type="cellIs" dxfId="1804" priority="539" operator="greaterThan">
      <formula>0</formula>
    </cfRule>
  </conditionalFormatting>
  <conditionalFormatting sqref="WX14:WX19">
    <cfRule type="cellIs" dxfId="1803" priority="536" operator="lessThan">
      <formula>0</formula>
    </cfRule>
    <cfRule type="cellIs" dxfId="1802" priority="537" operator="greaterThan">
      <formula>0</formula>
    </cfRule>
  </conditionalFormatting>
  <conditionalFormatting sqref="WX20:WX22">
    <cfRule type="cellIs" dxfId="1801" priority="534" operator="lessThan">
      <formula>0</formula>
    </cfRule>
    <cfRule type="cellIs" dxfId="1800" priority="535" operator="greaterThan">
      <formula>0</formula>
    </cfRule>
  </conditionalFormatting>
  <conditionalFormatting sqref="WX45:WX46">
    <cfRule type="cellIs" dxfId="1799" priority="544" operator="lessThan">
      <formula>0</formula>
    </cfRule>
    <cfRule type="cellIs" dxfId="1798" priority="545" operator="greaterThan">
      <formula>0</formula>
    </cfRule>
  </conditionalFormatting>
  <conditionalFormatting sqref="WX7">
    <cfRule type="cellIs" dxfId="1797" priority="532" operator="lessThan">
      <formula>0</formula>
    </cfRule>
    <cfRule type="cellIs" dxfId="1796" priority="533" operator="greaterThan">
      <formula>0</formula>
    </cfRule>
  </conditionalFormatting>
  <conditionalFormatting sqref="WX7">
    <cfRule type="cellIs" dxfId="1795" priority="530" operator="lessThan">
      <formula>0</formula>
    </cfRule>
    <cfRule type="cellIs" dxfId="1794" priority="531" operator="greaterThan">
      <formula>0</formula>
    </cfRule>
  </conditionalFormatting>
  <conditionalFormatting sqref="WX8">
    <cfRule type="cellIs" dxfId="1793" priority="528" operator="lessThan">
      <formula>0</formula>
    </cfRule>
    <cfRule type="cellIs" dxfId="1792" priority="529" operator="greaterThan">
      <formula>0</formula>
    </cfRule>
  </conditionalFormatting>
  <conditionalFormatting sqref="WX47">
    <cfRule type="cellIs" dxfId="1791" priority="526" operator="lessThan">
      <formula>0</formula>
    </cfRule>
    <cfRule type="cellIs" dxfId="1790" priority="527" operator="greaterThan">
      <formula>0</formula>
    </cfRule>
  </conditionalFormatting>
  <conditionalFormatting sqref="WX44">
    <cfRule type="cellIs" dxfId="1789" priority="524" operator="lessThan">
      <formula>0</formula>
    </cfRule>
    <cfRule type="cellIs" dxfId="1788" priority="525" operator="greaterThan">
      <formula>0</formula>
    </cfRule>
  </conditionalFormatting>
  <conditionalFormatting sqref="WX23:WX24">
    <cfRule type="cellIs" dxfId="1787" priority="522" operator="lessThan">
      <formula>0</formula>
    </cfRule>
    <cfRule type="cellIs" dxfId="1786" priority="523" operator="greaterThan">
      <formula>0</formula>
    </cfRule>
  </conditionalFormatting>
  <conditionalFormatting sqref="WX33:WX34">
    <cfRule type="cellIs" dxfId="1785" priority="520" operator="lessThan">
      <formula>0</formula>
    </cfRule>
    <cfRule type="cellIs" dxfId="1784" priority="521" operator="greaterThan">
      <formula>0</formula>
    </cfRule>
  </conditionalFormatting>
  <conditionalFormatting sqref="WX104">
    <cfRule type="cellIs" dxfId="1783" priority="512" operator="lessThan">
      <formula>0</formula>
    </cfRule>
    <cfRule type="cellIs" dxfId="1782" priority="513" operator="greaterThan">
      <formula>0</formula>
    </cfRule>
  </conditionalFormatting>
  <conditionalFormatting sqref="WX48:WX49">
    <cfRule type="cellIs" dxfId="1781" priority="510" operator="lessThan">
      <formula>0</formula>
    </cfRule>
    <cfRule type="cellIs" dxfId="1780" priority="511" operator="greaterThan">
      <formula>0</formula>
    </cfRule>
  </conditionalFormatting>
  <conditionalFormatting sqref="WZ101">
    <cfRule type="cellIs" dxfId="1779" priority="472" operator="lessThan">
      <formula>0</formula>
    </cfRule>
    <cfRule type="cellIs" dxfId="1778" priority="473" operator="greaterThan">
      <formula>0</formula>
    </cfRule>
  </conditionalFormatting>
  <conditionalFormatting sqref="WZ91:WZ96">
    <cfRule type="cellIs" dxfId="1777" priority="508" operator="lessThan">
      <formula>0</formula>
    </cfRule>
    <cfRule type="cellIs" dxfId="1776" priority="509" operator="greaterThan">
      <formula>0</formula>
    </cfRule>
  </conditionalFormatting>
  <conditionalFormatting sqref="WZ50:WZ68 WZ80:WZ90">
    <cfRule type="cellIs" dxfId="1775" priority="506" operator="lessThan">
      <formula>0</formula>
    </cfRule>
    <cfRule type="cellIs" dxfId="1774" priority="507" operator="greaterThan">
      <formula>0</formula>
    </cfRule>
  </conditionalFormatting>
  <conditionalFormatting sqref="WZ98">
    <cfRule type="cellIs" dxfId="1773" priority="474" operator="lessThan">
      <formula>0</formula>
    </cfRule>
    <cfRule type="cellIs" dxfId="1772" priority="475" operator="greaterThan">
      <formula>0</formula>
    </cfRule>
  </conditionalFormatting>
  <conditionalFormatting sqref="WZ6 WZ9:WZ11">
    <cfRule type="cellIs" dxfId="1771" priority="498" operator="lessThan">
      <formula>0</formula>
    </cfRule>
    <cfRule type="cellIs" dxfId="1770" priority="499" operator="greaterThan">
      <formula>0</formula>
    </cfRule>
  </conditionalFormatting>
  <conditionalFormatting sqref="WZ43:WZ44">
    <cfRule type="cellIs" dxfId="1769" priority="476" operator="lessThan">
      <formula>0</formula>
    </cfRule>
    <cfRule type="cellIs" dxfId="1768" priority="477" operator="greaterThan">
      <formula>0</formula>
    </cfRule>
  </conditionalFormatting>
  <conditionalFormatting sqref="WZ11 WZ19 WZ3 WZ24:WZ32 WZ34:WZ42 WZ69:WZ79">
    <cfRule type="cellIs" dxfId="1767" priority="504" operator="lessThan">
      <formula>0</formula>
    </cfRule>
    <cfRule type="cellIs" dxfId="1766" priority="505" operator="greaterThan">
      <formula>0</formula>
    </cfRule>
  </conditionalFormatting>
  <conditionalFormatting sqref="WZ4:WZ5">
    <cfRule type="cellIs" dxfId="1765" priority="500" operator="lessThan">
      <formula>0</formula>
    </cfRule>
    <cfRule type="cellIs" dxfId="1764" priority="501" operator="greaterThan">
      <formula>0</formula>
    </cfRule>
  </conditionalFormatting>
  <conditionalFormatting sqref="WZ12:WZ13">
    <cfRule type="cellIs" dxfId="1763" priority="496" operator="lessThan">
      <formula>0</formula>
    </cfRule>
    <cfRule type="cellIs" dxfId="1762" priority="497" operator="greaterThan">
      <formula>0</formula>
    </cfRule>
  </conditionalFormatting>
  <conditionalFormatting sqref="WZ14:WZ19">
    <cfRule type="cellIs" dxfId="1761" priority="494" operator="lessThan">
      <formula>0</formula>
    </cfRule>
    <cfRule type="cellIs" dxfId="1760" priority="495" operator="greaterThan">
      <formula>0</formula>
    </cfRule>
  </conditionalFormatting>
  <conditionalFormatting sqref="WZ20:WZ22">
    <cfRule type="cellIs" dxfId="1759" priority="492" operator="lessThan">
      <formula>0</formula>
    </cfRule>
    <cfRule type="cellIs" dxfId="1758" priority="493" operator="greaterThan">
      <formula>0</formula>
    </cfRule>
  </conditionalFormatting>
  <conditionalFormatting sqref="WZ45:WZ46">
    <cfRule type="cellIs" dxfId="1757" priority="502" operator="lessThan">
      <formula>0</formula>
    </cfRule>
    <cfRule type="cellIs" dxfId="1756" priority="503" operator="greaterThan">
      <formula>0</formula>
    </cfRule>
  </conditionalFormatting>
  <conditionalFormatting sqref="WZ7">
    <cfRule type="cellIs" dxfId="1755" priority="490" operator="lessThan">
      <formula>0</formula>
    </cfRule>
    <cfRule type="cellIs" dxfId="1754" priority="491" operator="greaterThan">
      <formula>0</formula>
    </cfRule>
  </conditionalFormatting>
  <conditionalFormatting sqref="WZ7">
    <cfRule type="cellIs" dxfId="1753" priority="488" operator="lessThan">
      <formula>0</formula>
    </cfRule>
    <cfRule type="cellIs" dxfId="1752" priority="489" operator="greaterThan">
      <formula>0</formula>
    </cfRule>
  </conditionalFormatting>
  <conditionalFormatting sqref="WZ8">
    <cfRule type="cellIs" dxfId="1751" priority="486" operator="lessThan">
      <formula>0</formula>
    </cfRule>
    <cfRule type="cellIs" dxfId="1750" priority="487" operator="greaterThan">
      <formula>0</formula>
    </cfRule>
  </conditionalFormatting>
  <conditionalFormatting sqref="WZ47">
    <cfRule type="cellIs" dxfId="1749" priority="484" operator="lessThan">
      <formula>0</formula>
    </cfRule>
    <cfRule type="cellIs" dxfId="1748" priority="485" operator="greaterThan">
      <formula>0</formula>
    </cfRule>
  </conditionalFormatting>
  <conditionalFormatting sqref="WZ44">
    <cfRule type="cellIs" dxfId="1747" priority="482" operator="lessThan">
      <formula>0</formula>
    </cfRule>
    <cfRule type="cellIs" dxfId="1746" priority="483" operator="greaterThan">
      <formula>0</formula>
    </cfRule>
  </conditionalFormatting>
  <conditionalFormatting sqref="WZ23:WZ24">
    <cfRule type="cellIs" dxfId="1745" priority="480" operator="lessThan">
      <formula>0</formula>
    </cfRule>
    <cfRule type="cellIs" dxfId="1744" priority="481" operator="greaterThan">
      <formula>0</formula>
    </cfRule>
  </conditionalFormatting>
  <conditionalFormatting sqref="WZ33:WZ34">
    <cfRule type="cellIs" dxfId="1743" priority="478" operator="lessThan">
      <formula>0</formula>
    </cfRule>
    <cfRule type="cellIs" dxfId="1742" priority="479" operator="greaterThan">
      <formula>0</formula>
    </cfRule>
  </conditionalFormatting>
  <conditionalFormatting sqref="WZ104">
    <cfRule type="cellIs" dxfId="1741" priority="470" operator="lessThan">
      <formula>0</formula>
    </cfRule>
    <cfRule type="cellIs" dxfId="1740" priority="471" operator="greaterThan">
      <formula>0</formula>
    </cfRule>
  </conditionalFormatting>
  <conditionalFormatting sqref="WZ48:WZ49">
    <cfRule type="cellIs" dxfId="1739" priority="468" operator="lessThan">
      <formula>0</formula>
    </cfRule>
    <cfRule type="cellIs" dxfId="1738" priority="469" operator="greaterThan">
      <formula>0</formula>
    </cfRule>
  </conditionalFormatting>
  <conditionalFormatting sqref="XB101">
    <cfRule type="cellIs" dxfId="1737" priority="430" operator="lessThan">
      <formula>0</formula>
    </cfRule>
    <cfRule type="cellIs" dxfId="1736" priority="431" operator="greaterThan">
      <formula>0</formula>
    </cfRule>
  </conditionalFormatting>
  <conditionalFormatting sqref="XB91:XB96">
    <cfRule type="cellIs" dxfId="1735" priority="466" operator="lessThan">
      <formula>0</formula>
    </cfRule>
    <cfRule type="cellIs" dxfId="1734" priority="467" operator="greaterThan">
      <formula>0</formula>
    </cfRule>
  </conditionalFormatting>
  <conditionalFormatting sqref="XB50:XB68 XB80:XB90">
    <cfRule type="cellIs" dxfId="1733" priority="464" operator="lessThan">
      <formula>0</formula>
    </cfRule>
    <cfRule type="cellIs" dxfId="1732" priority="465" operator="greaterThan">
      <formula>0</formula>
    </cfRule>
  </conditionalFormatting>
  <conditionalFormatting sqref="XB98">
    <cfRule type="cellIs" dxfId="1731" priority="432" operator="lessThan">
      <formula>0</formula>
    </cfRule>
    <cfRule type="cellIs" dxfId="1730" priority="433" operator="greaterThan">
      <formula>0</formula>
    </cfRule>
  </conditionalFormatting>
  <conditionalFormatting sqref="XB6 XB9:XB11">
    <cfRule type="cellIs" dxfId="1729" priority="456" operator="lessThan">
      <formula>0</formula>
    </cfRule>
    <cfRule type="cellIs" dxfId="1728" priority="457" operator="greaterThan">
      <formula>0</formula>
    </cfRule>
  </conditionalFormatting>
  <conditionalFormatting sqref="XB43:XB44">
    <cfRule type="cellIs" dxfId="1727" priority="434" operator="lessThan">
      <formula>0</formula>
    </cfRule>
    <cfRule type="cellIs" dxfId="1726" priority="435" operator="greaterThan">
      <formula>0</formula>
    </cfRule>
  </conditionalFormatting>
  <conditionalFormatting sqref="XB11 XB19 XB3 XB24:XB32 XB34:XB42 XB69:XB79">
    <cfRule type="cellIs" dxfId="1725" priority="462" operator="lessThan">
      <formula>0</formula>
    </cfRule>
    <cfRule type="cellIs" dxfId="1724" priority="463" operator="greaterThan">
      <formula>0</formula>
    </cfRule>
  </conditionalFormatting>
  <conditionalFormatting sqref="XB4:XB5">
    <cfRule type="cellIs" dxfId="1723" priority="458" operator="lessThan">
      <formula>0</formula>
    </cfRule>
    <cfRule type="cellIs" dxfId="1722" priority="459" operator="greaterThan">
      <formula>0</formula>
    </cfRule>
  </conditionalFormatting>
  <conditionalFormatting sqref="XB12:XB13">
    <cfRule type="cellIs" dxfId="1721" priority="454" operator="lessThan">
      <formula>0</formula>
    </cfRule>
    <cfRule type="cellIs" dxfId="1720" priority="455" operator="greaterThan">
      <formula>0</formula>
    </cfRule>
  </conditionalFormatting>
  <conditionalFormatting sqref="XB14:XB19">
    <cfRule type="cellIs" dxfId="1719" priority="452" operator="lessThan">
      <formula>0</formula>
    </cfRule>
    <cfRule type="cellIs" dxfId="1718" priority="453" operator="greaterThan">
      <formula>0</formula>
    </cfRule>
  </conditionalFormatting>
  <conditionalFormatting sqref="XB20:XB22">
    <cfRule type="cellIs" dxfId="1717" priority="450" operator="lessThan">
      <formula>0</formula>
    </cfRule>
    <cfRule type="cellIs" dxfId="1716" priority="451" operator="greaterThan">
      <formula>0</formula>
    </cfRule>
  </conditionalFormatting>
  <conditionalFormatting sqref="XB45:XB46">
    <cfRule type="cellIs" dxfId="1715" priority="460" operator="lessThan">
      <formula>0</formula>
    </cfRule>
    <cfRule type="cellIs" dxfId="1714" priority="461" operator="greaterThan">
      <formula>0</formula>
    </cfRule>
  </conditionalFormatting>
  <conditionalFormatting sqref="XB7">
    <cfRule type="cellIs" dxfId="1713" priority="448" operator="lessThan">
      <formula>0</formula>
    </cfRule>
    <cfRule type="cellIs" dxfId="1712" priority="449" operator="greaterThan">
      <formula>0</formula>
    </cfRule>
  </conditionalFormatting>
  <conditionalFormatting sqref="XB7">
    <cfRule type="cellIs" dxfId="1711" priority="446" operator="lessThan">
      <formula>0</formula>
    </cfRule>
    <cfRule type="cellIs" dxfId="1710" priority="447" operator="greaterThan">
      <formula>0</formula>
    </cfRule>
  </conditionalFormatting>
  <conditionalFormatting sqref="XB8">
    <cfRule type="cellIs" dxfId="1709" priority="444" operator="lessThan">
      <formula>0</formula>
    </cfRule>
    <cfRule type="cellIs" dxfId="1708" priority="445" operator="greaterThan">
      <formula>0</formula>
    </cfRule>
  </conditionalFormatting>
  <conditionalFormatting sqref="XB47">
    <cfRule type="cellIs" dxfId="1707" priority="442" operator="lessThan">
      <formula>0</formula>
    </cfRule>
    <cfRule type="cellIs" dxfId="1706" priority="443" operator="greaterThan">
      <formula>0</formula>
    </cfRule>
  </conditionalFormatting>
  <conditionalFormatting sqref="XB44">
    <cfRule type="cellIs" dxfId="1705" priority="440" operator="lessThan">
      <formula>0</formula>
    </cfRule>
    <cfRule type="cellIs" dxfId="1704" priority="441" operator="greaterThan">
      <formula>0</formula>
    </cfRule>
  </conditionalFormatting>
  <conditionalFormatting sqref="XB23:XB24">
    <cfRule type="cellIs" dxfId="1703" priority="438" operator="lessThan">
      <formula>0</formula>
    </cfRule>
    <cfRule type="cellIs" dxfId="1702" priority="439" operator="greaterThan">
      <formula>0</formula>
    </cfRule>
  </conditionalFormatting>
  <conditionalFormatting sqref="XB33:XB34">
    <cfRule type="cellIs" dxfId="1701" priority="436" operator="lessThan">
      <formula>0</formula>
    </cfRule>
    <cfRule type="cellIs" dxfId="1700" priority="437" operator="greaterThan">
      <formula>0</formula>
    </cfRule>
  </conditionalFormatting>
  <conditionalFormatting sqref="XB104">
    <cfRule type="cellIs" dxfId="1699" priority="428" operator="lessThan">
      <formula>0</formula>
    </cfRule>
    <cfRule type="cellIs" dxfId="1698" priority="429" operator="greaterThan">
      <formula>0</formula>
    </cfRule>
  </conditionalFormatting>
  <conditionalFormatting sqref="XB48:XB49">
    <cfRule type="cellIs" dxfId="1697" priority="426" operator="lessThan">
      <formula>0</formula>
    </cfRule>
    <cfRule type="cellIs" dxfId="1696" priority="427" operator="greaterThan">
      <formula>0</formula>
    </cfRule>
  </conditionalFormatting>
  <conditionalFormatting sqref="XD101">
    <cfRule type="cellIs" dxfId="1695" priority="388" operator="lessThan">
      <formula>0</formula>
    </cfRule>
    <cfRule type="cellIs" dxfId="1694" priority="389" operator="greaterThan">
      <formula>0</formula>
    </cfRule>
  </conditionalFormatting>
  <conditionalFormatting sqref="XD91:XD96">
    <cfRule type="cellIs" dxfId="1693" priority="424" operator="lessThan">
      <formula>0</formula>
    </cfRule>
    <cfRule type="cellIs" dxfId="1692" priority="425" operator="greaterThan">
      <formula>0</formula>
    </cfRule>
  </conditionalFormatting>
  <conditionalFormatting sqref="XD50:XD68 XD80:XD90">
    <cfRule type="cellIs" dxfId="1691" priority="422" operator="lessThan">
      <formula>0</formula>
    </cfRule>
    <cfRule type="cellIs" dxfId="1690" priority="423" operator="greaterThan">
      <formula>0</formula>
    </cfRule>
  </conditionalFormatting>
  <conditionalFormatting sqref="XD98">
    <cfRule type="cellIs" dxfId="1689" priority="390" operator="lessThan">
      <formula>0</formula>
    </cfRule>
    <cfRule type="cellIs" dxfId="1688" priority="391" operator="greaterThan">
      <formula>0</formula>
    </cfRule>
  </conditionalFormatting>
  <conditionalFormatting sqref="XD6 XD9:XD11">
    <cfRule type="cellIs" dxfId="1687" priority="414" operator="lessThan">
      <formula>0</formula>
    </cfRule>
    <cfRule type="cellIs" dxfId="1686" priority="415" operator="greaterThan">
      <formula>0</formula>
    </cfRule>
  </conditionalFormatting>
  <conditionalFormatting sqref="XD43:XD44">
    <cfRule type="cellIs" dxfId="1685" priority="392" operator="lessThan">
      <formula>0</formula>
    </cfRule>
    <cfRule type="cellIs" dxfId="1684" priority="393" operator="greaterThan">
      <formula>0</formula>
    </cfRule>
  </conditionalFormatting>
  <conditionalFormatting sqref="XD11 XD19 XD3 XD24:XD32 XD34:XD42 XD69:XD79">
    <cfRule type="cellIs" dxfId="1683" priority="420" operator="lessThan">
      <formula>0</formula>
    </cfRule>
    <cfRule type="cellIs" dxfId="1682" priority="421" operator="greaterThan">
      <formula>0</formula>
    </cfRule>
  </conditionalFormatting>
  <conditionalFormatting sqref="XD4:XD5">
    <cfRule type="cellIs" dxfId="1681" priority="416" operator="lessThan">
      <formula>0</formula>
    </cfRule>
    <cfRule type="cellIs" dxfId="1680" priority="417" operator="greaterThan">
      <formula>0</formula>
    </cfRule>
  </conditionalFormatting>
  <conditionalFormatting sqref="XD12:XD13">
    <cfRule type="cellIs" dxfId="1679" priority="412" operator="lessThan">
      <formula>0</formula>
    </cfRule>
    <cfRule type="cellIs" dxfId="1678" priority="413" operator="greaterThan">
      <formula>0</formula>
    </cfRule>
  </conditionalFormatting>
  <conditionalFormatting sqref="XD14:XD19">
    <cfRule type="cellIs" dxfId="1677" priority="410" operator="lessThan">
      <formula>0</formula>
    </cfRule>
    <cfRule type="cellIs" dxfId="1676" priority="411" operator="greaterThan">
      <formula>0</formula>
    </cfRule>
  </conditionalFormatting>
  <conditionalFormatting sqref="XD20:XD22">
    <cfRule type="cellIs" dxfId="1675" priority="408" operator="lessThan">
      <formula>0</formula>
    </cfRule>
    <cfRule type="cellIs" dxfId="1674" priority="409" operator="greaterThan">
      <formula>0</formula>
    </cfRule>
  </conditionalFormatting>
  <conditionalFormatting sqref="XD45:XD46">
    <cfRule type="cellIs" dxfId="1673" priority="418" operator="lessThan">
      <formula>0</formula>
    </cfRule>
    <cfRule type="cellIs" dxfId="1672" priority="419" operator="greaterThan">
      <formula>0</formula>
    </cfRule>
  </conditionalFormatting>
  <conditionalFormatting sqref="XD7">
    <cfRule type="cellIs" dxfId="1671" priority="406" operator="lessThan">
      <formula>0</formula>
    </cfRule>
    <cfRule type="cellIs" dxfId="1670" priority="407" operator="greaterThan">
      <formula>0</formula>
    </cfRule>
  </conditionalFormatting>
  <conditionalFormatting sqref="XD7">
    <cfRule type="cellIs" dxfId="1669" priority="404" operator="lessThan">
      <formula>0</formula>
    </cfRule>
    <cfRule type="cellIs" dxfId="1668" priority="405" operator="greaterThan">
      <formula>0</formula>
    </cfRule>
  </conditionalFormatting>
  <conditionalFormatting sqref="XD8">
    <cfRule type="cellIs" dxfId="1667" priority="402" operator="lessThan">
      <formula>0</formula>
    </cfRule>
    <cfRule type="cellIs" dxfId="1666" priority="403" operator="greaterThan">
      <formula>0</formula>
    </cfRule>
  </conditionalFormatting>
  <conditionalFormatting sqref="XD47">
    <cfRule type="cellIs" dxfId="1665" priority="400" operator="lessThan">
      <formula>0</formula>
    </cfRule>
    <cfRule type="cellIs" dxfId="1664" priority="401" operator="greaterThan">
      <formula>0</formula>
    </cfRule>
  </conditionalFormatting>
  <conditionalFormatting sqref="XD44">
    <cfRule type="cellIs" dxfId="1663" priority="398" operator="lessThan">
      <formula>0</formula>
    </cfRule>
    <cfRule type="cellIs" dxfId="1662" priority="399" operator="greaterThan">
      <formula>0</formula>
    </cfRule>
  </conditionalFormatting>
  <conditionalFormatting sqref="XD23:XD24">
    <cfRule type="cellIs" dxfId="1661" priority="396" operator="lessThan">
      <formula>0</formula>
    </cfRule>
    <cfRule type="cellIs" dxfId="1660" priority="397" operator="greaterThan">
      <formula>0</formula>
    </cfRule>
  </conditionalFormatting>
  <conditionalFormatting sqref="XD33:XD34">
    <cfRule type="cellIs" dxfId="1659" priority="394" operator="lessThan">
      <formula>0</formula>
    </cfRule>
    <cfRule type="cellIs" dxfId="1658" priority="395" operator="greaterThan">
      <formula>0</formula>
    </cfRule>
  </conditionalFormatting>
  <conditionalFormatting sqref="XD104">
    <cfRule type="cellIs" dxfId="1657" priority="386" operator="lessThan">
      <formula>0</formula>
    </cfRule>
    <cfRule type="cellIs" dxfId="1656" priority="387" operator="greaterThan">
      <formula>0</formula>
    </cfRule>
  </conditionalFormatting>
  <conditionalFormatting sqref="XD48:XD49">
    <cfRule type="cellIs" dxfId="1655" priority="384" operator="lessThan">
      <formula>0</formula>
    </cfRule>
    <cfRule type="cellIs" dxfId="1654" priority="385" operator="greaterThan">
      <formula>0</formula>
    </cfRule>
  </conditionalFormatting>
  <conditionalFormatting sqref="XF101">
    <cfRule type="cellIs" dxfId="1653" priority="346" operator="lessThan">
      <formula>0</formula>
    </cfRule>
    <cfRule type="cellIs" dxfId="1652" priority="347" operator="greaterThan">
      <formula>0</formula>
    </cfRule>
  </conditionalFormatting>
  <conditionalFormatting sqref="XF91:XF96">
    <cfRule type="cellIs" dxfId="1651" priority="382" operator="lessThan">
      <formula>0</formula>
    </cfRule>
    <cfRule type="cellIs" dxfId="1650" priority="383" operator="greaterThan">
      <formula>0</formula>
    </cfRule>
  </conditionalFormatting>
  <conditionalFormatting sqref="XF50:XF68 XF80:XF90">
    <cfRule type="cellIs" dxfId="1649" priority="380" operator="lessThan">
      <formula>0</formula>
    </cfRule>
    <cfRule type="cellIs" dxfId="1648" priority="381" operator="greaterThan">
      <formula>0</formula>
    </cfRule>
  </conditionalFormatting>
  <conditionalFormatting sqref="XF98">
    <cfRule type="cellIs" dxfId="1647" priority="348" operator="lessThan">
      <formula>0</formula>
    </cfRule>
    <cfRule type="cellIs" dxfId="1646" priority="349" operator="greaterThan">
      <formula>0</formula>
    </cfRule>
  </conditionalFormatting>
  <conditionalFormatting sqref="XF6 XF9:XF11">
    <cfRule type="cellIs" dxfId="1645" priority="372" operator="lessThan">
      <formula>0</formula>
    </cfRule>
    <cfRule type="cellIs" dxfId="1644" priority="373" operator="greaterThan">
      <formula>0</formula>
    </cfRule>
  </conditionalFormatting>
  <conditionalFormatting sqref="XF43:XF44">
    <cfRule type="cellIs" dxfId="1643" priority="350" operator="lessThan">
      <formula>0</formula>
    </cfRule>
    <cfRule type="cellIs" dxfId="1642" priority="351" operator="greaterThan">
      <formula>0</formula>
    </cfRule>
  </conditionalFormatting>
  <conditionalFormatting sqref="XF11 XF19 XF3 XF24:XF32 XF34:XF42 XF69:XF79">
    <cfRule type="cellIs" dxfId="1641" priority="378" operator="lessThan">
      <formula>0</formula>
    </cfRule>
    <cfRule type="cellIs" dxfId="1640" priority="379" operator="greaterThan">
      <formula>0</formula>
    </cfRule>
  </conditionalFormatting>
  <conditionalFormatting sqref="XF4:XF5">
    <cfRule type="cellIs" dxfId="1639" priority="374" operator="lessThan">
      <formula>0</formula>
    </cfRule>
    <cfRule type="cellIs" dxfId="1638" priority="375" operator="greaterThan">
      <formula>0</formula>
    </cfRule>
  </conditionalFormatting>
  <conditionalFormatting sqref="XF12:XF13">
    <cfRule type="cellIs" dxfId="1637" priority="370" operator="lessThan">
      <formula>0</formula>
    </cfRule>
    <cfRule type="cellIs" dxfId="1636" priority="371" operator="greaterThan">
      <formula>0</formula>
    </cfRule>
  </conditionalFormatting>
  <conditionalFormatting sqref="XF14:XF19">
    <cfRule type="cellIs" dxfId="1635" priority="368" operator="lessThan">
      <formula>0</formula>
    </cfRule>
    <cfRule type="cellIs" dxfId="1634" priority="369" operator="greaterThan">
      <formula>0</formula>
    </cfRule>
  </conditionalFormatting>
  <conditionalFormatting sqref="XF20:XF22">
    <cfRule type="cellIs" dxfId="1633" priority="366" operator="lessThan">
      <formula>0</formula>
    </cfRule>
    <cfRule type="cellIs" dxfId="1632" priority="367" operator="greaterThan">
      <formula>0</formula>
    </cfRule>
  </conditionalFormatting>
  <conditionalFormatting sqref="XF45:XF46">
    <cfRule type="cellIs" dxfId="1631" priority="376" operator="lessThan">
      <formula>0</formula>
    </cfRule>
    <cfRule type="cellIs" dxfId="1630" priority="377" operator="greaterThan">
      <formula>0</formula>
    </cfRule>
  </conditionalFormatting>
  <conditionalFormatting sqref="XF7">
    <cfRule type="cellIs" dxfId="1629" priority="364" operator="lessThan">
      <formula>0</formula>
    </cfRule>
    <cfRule type="cellIs" dxfId="1628" priority="365" operator="greaterThan">
      <formula>0</formula>
    </cfRule>
  </conditionalFormatting>
  <conditionalFormatting sqref="XF7">
    <cfRule type="cellIs" dxfId="1627" priority="362" operator="lessThan">
      <formula>0</formula>
    </cfRule>
    <cfRule type="cellIs" dxfId="1626" priority="363" operator="greaterThan">
      <formula>0</formula>
    </cfRule>
  </conditionalFormatting>
  <conditionalFormatting sqref="XF8">
    <cfRule type="cellIs" dxfId="1625" priority="360" operator="lessThan">
      <formula>0</formula>
    </cfRule>
    <cfRule type="cellIs" dxfId="1624" priority="361" operator="greaterThan">
      <formula>0</formula>
    </cfRule>
  </conditionalFormatting>
  <conditionalFormatting sqref="XF47">
    <cfRule type="cellIs" dxfId="1623" priority="358" operator="lessThan">
      <formula>0</formula>
    </cfRule>
    <cfRule type="cellIs" dxfId="1622" priority="359" operator="greaterThan">
      <formula>0</formula>
    </cfRule>
  </conditionalFormatting>
  <conditionalFormatting sqref="XF44">
    <cfRule type="cellIs" dxfId="1621" priority="356" operator="lessThan">
      <formula>0</formula>
    </cfRule>
    <cfRule type="cellIs" dxfId="1620" priority="357" operator="greaterThan">
      <formula>0</formula>
    </cfRule>
  </conditionalFormatting>
  <conditionalFormatting sqref="XF23:XF24">
    <cfRule type="cellIs" dxfId="1619" priority="354" operator="lessThan">
      <formula>0</formula>
    </cfRule>
    <cfRule type="cellIs" dxfId="1618" priority="355" operator="greaterThan">
      <formula>0</formula>
    </cfRule>
  </conditionalFormatting>
  <conditionalFormatting sqref="XF33:XF34">
    <cfRule type="cellIs" dxfId="1617" priority="352" operator="lessThan">
      <formula>0</formula>
    </cfRule>
    <cfRule type="cellIs" dxfId="1616" priority="353" operator="greaterThan">
      <formula>0</formula>
    </cfRule>
  </conditionalFormatting>
  <conditionalFormatting sqref="XF104">
    <cfRule type="cellIs" dxfId="1615" priority="344" operator="lessThan">
      <formula>0</formula>
    </cfRule>
    <cfRule type="cellIs" dxfId="1614" priority="345" operator="greaterThan">
      <formula>0</formula>
    </cfRule>
  </conditionalFormatting>
  <conditionalFormatting sqref="XF48:XF49">
    <cfRule type="cellIs" dxfId="1613" priority="342" operator="lessThan">
      <formula>0</formula>
    </cfRule>
    <cfRule type="cellIs" dxfId="1612" priority="343" operator="greaterThan">
      <formula>0</formula>
    </cfRule>
  </conditionalFormatting>
  <conditionalFormatting sqref="XH101">
    <cfRule type="cellIs" dxfId="1611" priority="304" operator="lessThan">
      <formula>0</formula>
    </cfRule>
    <cfRule type="cellIs" dxfId="1610" priority="305" operator="greaterThan">
      <formula>0</formula>
    </cfRule>
  </conditionalFormatting>
  <conditionalFormatting sqref="XH91:XH96">
    <cfRule type="cellIs" dxfId="1609" priority="340" operator="lessThan">
      <formula>0</formula>
    </cfRule>
    <cfRule type="cellIs" dxfId="1608" priority="341" operator="greaterThan">
      <formula>0</formula>
    </cfRule>
  </conditionalFormatting>
  <conditionalFormatting sqref="XH50:XH68 XH80:XH90">
    <cfRule type="cellIs" dxfId="1607" priority="338" operator="lessThan">
      <formula>0</formula>
    </cfRule>
    <cfRule type="cellIs" dxfId="1606" priority="339" operator="greaterThan">
      <formula>0</formula>
    </cfRule>
  </conditionalFormatting>
  <conditionalFormatting sqref="XH98">
    <cfRule type="cellIs" dxfId="1605" priority="306" operator="lessThan">
      <formula>0</formula>
    </cfRule>
    <cfRule type="cellIs" dxfId="1604" priority="307" operator="greaterThan">
      <formula>0</formula>
    </cfRule>
  </conditionalFormatting>
  <conditionalFormatting sqref="XH6 XH9:XH11">
    <cfRule type="cellIs" dxfId="1603" priority="330" operator="lessThan">
      <formula>0</formula>
    </cfRule>
    <cfRule type="cellIs" dxfId="1602" priority="331" operator="greaterThan">
      <formula>0</formula>
    </cfRule>
  </conditionalFormatting>
  <conditionalFormatting sqref="XH43:XH44">
    <cfRule type="cellIs" dxfId="1601" priority="308" operator="lessThan">
      <formula>0</formula>
    </cfRule>
    <cfRule type="cellIs" dxfId="1600" priority="309" operator="greaterThan">
      <formula>0</formula>
    </cfRule>
  </conditionalFormatting>
  <conditionalFormatting sqref="XH11 XH19 XH3 XH24:XH32 XH34:XH42 XH69:XH79">
    <cfRule type="cellIs" dxfId="1599" priority="336" operator="lessThan">
      <formula>0</formula>
    </cfRule>
    <cfRule type="cellIs" dxfId="1598" priority="337" operator="greaterThan">
      <formula>0</formula>
    </cfRule>
  </conditionalFormatting>
  <conditionalFormatting sqref="XH4:XH5">
    <cfRule type="cellIs" dxfId="1597" priority="332" operator="lessThan">
      <formula>0</formula>
    </cfRule>
    <cfRule type="cellIs" dxfId="1596" priority="333" operator="greaterThan">
      <formula>0</formula>
    </cfRule>
  </conditionalFormatting>
  <conditionalFormatting sqref="XH12:XH13">
    <cfRule type="cellIs" dxfId="1595" priority="328" operator="lessThan">
      <formula>0</formula>
    </cfRule>
    <cfRule type="cellIs" dxfId="1594" priority="329" operator="greaterThan">
      <formula>0</formula>
    </cfRule>
  </conditionalFormatting>
  <conditionalFormatting sqref="XH14:XH19">
    <cfRule type="cellIs" dxfId="1593" priority="326" operator="lessThan">
      <formula>0</formula>
    </cfRule>
    <cfRule type="cellIs" dxfId="1592" priority="327" operator="greaterThan">
      <formula>0</formula>
    </cfRule>
  </conditionalFormatting>
  <conditionalFormatting sqref="XH20:XH22">
    <cfRule type="cellIs" dxfId="1591" priority="324" operator="lessThan">
      <formula>0</formula>
    </cfRule>
    <cfRule type="cellIs" dxfId="1590" priority="325" operator="greaterThan">
      <formula>0</formula>
    </cfRule>
  </conditionalFormatting>
  <conditionalFormatting sqref="XH45:XH46">
    <cfRule type="cellIs" dxfId="1589" priority="334" operator="lessThan">
      <formula>0</formula>
    </cfRule>
    <cfRule type="cellIs" dxfId="1588" priority="335" operator="greaterThan">
      <formula>0</formula>
    </cfRule>
  </conditionalFormatting>
  <conditionalFormatting sqref="XH7">
    <cfRule type="cellIs" dxfId="1587" priority="322" operator="lessThan">
      <formula>0</formula>
    </cfRule>
    <cfRule type="cellIs" dxfId="1586" priority="323" operator="greaterThan">
      <formula>0</formula>
    </cfRule>
  </conditionalFormatting>
  <conditionalFormatting sqref="XH7">
    <cfRule type="cellIs" dxfId="1585" priority="320" operator="lessThan">
      <formula>0</formula>
    </cfRule>
    <cfRule type="cellIs" dxfId="1584" priority="321" operator="greaterThan">
      <formula>0</formula>
    </cfRule>
  </conditionalFormatting>
  <conditionalFormatting sqref="XH8">
    <cfRule type="cellIs" dxfId="1583" priority="318" operator="lessThan">
      <formula>0</formula>
    </cfRule>
    <cfRule type="cellIs" dxfId="1582" priority="319" operator="greaterThan">
      <formula>0</formula>
    </cfRule>
  </conditionalFormatting>
  <conditionalFormatting sqref="XH47">
    <cfRule type="cellIs" dxfId="1581" priority="316" operator="lessThan">
      <formula>0</formula>
    </cfRule>
    <cfRule type="cellIs" dxfId="1580" priority="317" operator="greaterThan">
      <formula>0</formula>
    </cfRule>
  </conditionalFormatting>
  <conditionalFormatting sqref="XH44">
    <cfRule type="cellIs" dxfId="1579" priority="314" operator="lessThan">
      <formula>0</formula>
    </cfRule>
    <cfRule type="cellIs" dxfId="1578" priority="315" operator="greaterThan">
      <formula>0</formula>
    </cfRule>
  </conditionalFormatting>
  <conditionalFormatting sqref="XH23:XH24">
    <cfRule type="cellIs" dxfId="1577" priority="312" operator="lessThan">
      <formula>0</formula>
    </cfRule>
    <cfRule type="cellIs" dxfId="1576" priority="313" operator="greaterThan">
      <formula>0</formula>
    </cfRule>
  </conditionalFormatting>
  <conditionalFormatting sqref="XH33:XH34">
    <cfRule type="cellIs" dxfId="1575" priority="310" operator="lessThan">
      <formula>0</formula>
    </cfRule>
    <cfRule type="cellIs" dxfId="1574" priority="311" operator="greaterThan">
      <formula>0</formula>
    </cfRule>
  </conditionalFormatting>
  <conditionalFormatting sqref="XH104">
    <cfRule type="cellIs" dxfId="1573" priority="302" operator="lessThan">
      <formula>0</formula>
    </cfRule>
    <cfRule type="cellIs" dxfId="1572" priority="303" operator="greaterThan">
      <formula>0</formula>
    </cfRule>
  </conditionalFormatting>
  <conditionalFormatting sqref="XH48:XH49">
    <cfRule type="cellIs" dxfId="1571" priority="300" operator="lessThan">
      <formula>0</formula>
    </cfRule>
    <cfRule type="cellIs" dxfId="1570" priority="301" operator="greaterThan">
      <formula>0</formula>
    </cfRule>
  </conditionalFormatting>
  <conditionalFormatting sqref="XJ101">
    <cfRule type="cellIs" dxfId="1569" priority="257" operator="lessThan">
      <formula>0</formula>
    </cfRule>
    <cfRule type="cellIs" dxfId="1568" priority="258" operator="greaterThan">
      <formula>0</formula>
    </cfRule>
  </conditionalFormatting>
  <conditionalFormatting sqref="XJ91:XJ96">
    <cfRule type="cellIs" dxfId="1567" priority="293" operator="lessThan">
      <formula>0</formula>
    </cfRule>
    <cfRule type="cellIs" dxfId="1566" priority="294" operator="greaterThan">
      <formula>0</formula>
    </cfRule>
  </conditionalFormatting>
  <conditionalFormatting sqref="XJ50:XJ68 XJ80:XJ90">
    <cfRule type="cellIs" dxfId="1565" priority="291" operator="lessThan">
      <formula>0</formula>
    </cfRule>
    <cfRule type="cellIs" dxfId="1564" priority="292" operator="greaterThan">
      <formula>0</formula>
    </cfRule>
  </conditionalFormatting>
  <conditionalFormatting sqref="XJ98">
    <cfRule type="cellIs" dxfId="1563" priority="259" operator="lessThan">
      <formula>0</formula>
    </cfRule>
    <cfRule type="cellIs" dxfId="1562" priority="260" operator="greaterThan">
      <formula>0</formula>
    </cfRule>
  </conditionalFormatting>
  <conditionalFormatting sqref="XJ6 XJ9:XJ11">
    <cfRule type="cellIs" dxfId="1561" priority="283" operator="lessThan">
      <formula>0</formula>
    </cfRule>
    <cfRule type="cellIs" dxfId="1560" priority="284" operator="greaterThan">
      <formula>0</formula>
    </cfRule>
  </conditionalFormatting>
  <conditionalFormatting sqref="XJ43:XJ44">
    <cfRule type="cellIs" dxfId="1559" priority="261" operator="lessThan">
      <formula>0</formula>
    </cfRule>
    <cfRule type="cellIs" dxfId="1558" priority="262" operator="greaterThan">
      <formula>0</formula>
    </cfRule>
  </conditionalFormatting>
  <conditionalFormatting sqref="XJ11 XJ19 XJ3 XJ24:XJ32 XJ34:XJ42 XJ69:XJ79">
    <cfRule type="cellIs" dxfId="1557" priority="289" operator="lessThan">
      <formula>0</formula>
    </cfRule>
    <cfRule type="cellIs" dxfId="1556" priority="290" operator="greaterThan">
      <formula>0</formula>
    </cfRule>
  </conditionalFormatting>
  <conditionalFormatting sqref="XJ4:XJ5">
    <cfRule type="cellIs" dxfId="1555" priority="285" operator="lessThan">
      <formula>0</formula>
    </cfRule>
    <cfRule type="cellIs" dxfId="1554" priority="286" operator="greaterThan">
      <formula>0</formula>
    </cfRule>
  </conditionalFormatting>
  <conditionalFormatting sqref="XJ12:XJ13">
    <cfRule type="cellIs" dxfId="1553" priority="281" operator="lessThan">
      <formula>0</formula>
    </cfRule>
    <cfRule type="cellIs" dxfId="1552" priority="282" operator="greaterThan">
      <formula>0</formula>
    </cfRule>
  </conditionalFormatting>
  <conditionalFormatting sqref="XJ14:XJ19">
    <cfRule type="cellIs" dxfId="1551" priority="279" operator="lessThan">
      <formula>0</formula>
    </cfRule>
    <cfRule type="cellIs" dxfId="1550" priority="280" operator="greaterThan">
      <formula>0</formula>
    </cfRule>
  </conditionalFormatting>
  <conditionalFormatting sqref="XJ20:XJ22">
    <cfRule type="cellIs" dxfId="1549" priority="277" operator="lessThan">
      <formula>0</formula>
    </cfRule>
    <cfRule type="cellIs" dxfId="1548" priority="278" operator="greaterThan">
      <formula>0</formula>
    </cfRule>
  </conditionalFormatting>
  <conditionalFormatting sqref="XJ45:XJ46">
    <cfRule type="cellIs" dxfId="1547" priority="287" operator="lessThan">
      <formula>0</formula>
    </cfRule>
    <cfRule type="cellIs" dxfId="1546" priority="288" operator="greaterThan">
      <formula>0</formula>
    </cfRule>
  </conditionalFormatting>
  <conditionalFormatting sqref="XJ7">
    <cfRule type="cellIs" dxfId="1545" priority="275" operator="lessThan">
      <formula>0</formula>
    </cfRule>
    <cfRule type="cellIs" dxfId="1544" priority="276" operator="greaterThan">
      <formula>0</formula>
    </cfRule>
  </conditionalFormatting>
  <conditionalFormatting sqref="XJ7">
    <cfRule type="cellIs" dxfId="1543" priority="273" operator="lessThan">
      <formula>0</formula>
    </cfRule>
    <cfRule type="cellIs" dxfId="1542" priority="274" operator="greaterThan">
      <formula>0</formula>
    </cfRule>
  </conditionalFormatting>
  <conditionalFormatting sqref="XJ8">
    <cfRule type="cellIs" dxfId="1541" priority="271" operator="lessThan">
      <formula>0</formula>
    </cfRule>
    <cfRule type="cellIs" dxfId="1540" priority="272" operator="greaterThan">
      <formula>0</formula>
    </cfRule>
  </conditionalFormatting>
  <conditionalFormatting sqref="XJ47">
    <cfRule type="cellIs" dxfId="1539" priority="269" operator="lessThan">
      <formula>0</formula>
    </cfRule>
    <cfRule type="cellIs" dxfId="1538" priority="270" operator="greaterThan">
      <formula>0</formula>
    </cfRule>
  </conditionalFormatting>
  <conditionalFormatting sqref="XJ44">
    <cfRule type="cellIs" dxfId="1537" priority="267" operator="lessThan">
      <formula>0</formula>
    </cfRule>
    <cfRule type="cellIs" dxfId="1536" priority="268" operator="greaterThan">
      <formula>0</formula>
    </cfRule>
  </conditionalFormatting>
  <conditionalFormatting sqref="XJ23:XJ24">
    <cfRule type="cellIs" dxfId="1535" priority="265" operator="lessThan">
      <formula>0</formula>
    </cfRule>
    <cfRule type="cellIs" dxfId="1534" priority="266" operator="greaterThan">
      <formula>0</formula>
    </cfRule>
  </conditionalFormatting>
  <conditionalFormatting sqref="XJ33:XJ34">
    <cfRule type="cellIs" dxfId="1533" priority="263" operator="lessThan">
      <formula>0</formula>
    </cfRule>
    <cfRule type="cellIs" dxfId="1532" priority="264" operator="greaterThan">
      <formula>0</formula>
    </cfRule>
  </conditionalFormatting>
  <conditionalFormatting sqref="XJ104">
    <cfRule type="cellIs" dxfId="1531" priority="255" operator="lessThan">
      <formula>0</formula>
    </cfRule>
    <cfRule type="cellIs" dxfId="1530" priority="256" operator="greaterThan">
      <formula>0</formula>
    </cfRule>
  </conditionalFormatting>
  <conditionalFormatting sqref="XJ48:XJ49">
    <cfRule type="cellIs" dxfId="1529" priority="253" operator="lessThan">
      <formula>0</formula>
    </cfRule>
    <cfRule type="cellIs" dxfId="1528" priority="254" operator="greaterThan">
      <formula>0</formula>
    </cfRule>
  </conditionalFormatting>
  <conditionalFormatting sqref="XL101">
    <cfRule type="cellIs" dxfId="1527" priority="215" operator="lessThan">
      <formula>0</formula>
    </cfRule>
    <cfRule type="cellIs" dxfId="1526" priority="216" operator="greaterThan">
      <formula>0</formula>
    </cfRule>
  </conditionalFormatting>
  <conditionalFormatting sqref="XL91:XL96">
    <cfRule type="cellIs" dxfId="1525" priority="251" operator="lessThan">
      <formula>0</formula>
    </cfRule>
    <cfRule type="cellIs" dxfId="1524" priority="252" operator="greaterThan">
      <formula>0</formula>
    </cfRule>
  </conditionalFormatting>
  <conditionalFormatting sqref="XL50:XL68 XL80:XL90">
    <cfRule type="cellIs" dxfId="1523" priority="249" operator="lessThan">
      <formula>0</formula>
    </cfRule>
    <cfRule type="cellIs" dxfId="1522" priority="250" operator="greaterThan">
      <formula>0</formula>
    </cfRule>
  </conditionalFormatting>
  <conditionalFormatting sqref="XL98">
    <cfRule type="cellIs" dxfId="1521" priority="217" operator="lessThan">
      <formula>0</formula>
    </cfRule>
    <cfRule type="cellIs" dxfId="1520" priority="218" operator="greaterThan">
      <formula>0</formula>
    </cfRule>
  </conditionalFormatting>
  <conditionalFormatting sqref="XL6 XL9:XL11">
    <cfRule type="cellIs" dxfId="1519" priority="241" operator="lessThan">
      <formula>0</formula>
    </cfRule>
    <cfRule type="cellIs" dxfId="1518" priority="242" operator="greaterThan">
      <formula>0</formula>
    </cfRule>
  </conditionalFormatting>
  <conditionalFormatting sqref="XL43:XL44">
    <cfRule type="cellIs" dxfId="1517" priority="219" operator="lessThan">
      <formula>0</formula>
    </cfRule>
    <cfRule type="cellIs" dxfId="1516" priority="220" operator="greaterThan">
      <formula>0</formula>
    </cfRule>
  </conditionalFormatting>
  <conditionalFormatting sqref="XL11 XL19 XL3 XL24:XL32 XL34:XL42 XL69:XL79">
    <cfRule type="cellIs" dxfId="1515" priority="247" operator="lessThan">
      <formula>0</formula>
    </cfRule>
    <cfRule type="cellIs" dxfId="1514" priority="248" operator="greaterThan">
      <formula>0</formula>
    </cfRule>
  </conditionalFormatting>
  <conditionalFormatting sqref="XL4:XL5">
    <cfRule type="cellIs" dxfId="1513" priority="243" operator="lessThan">
      <formula>0</formula>
    </cfRule>
    <cfRule type="cellIs" dxfId="1512" priority="244" operator="greaterThan">
      <formula>0</formula>
    </cfRule>
  </conditionalFormatting>
  <conditionalFormatting sqref="XL12:XL13">
    <cfRule type="cellIs" dxfId="1511" priority="239" operator="lessThan">
      <formula>0</formula>
    </cfRule>
    <cfRule type="cellIs" dxfId="1510" priority="240" operator="greaterThan">
      <formula>0</formula>
    </cfRule>
  </conditionalFormatting>
  <conditionalFormatting sqref="XL14:XL19">
    <cfRule type="cellIs" dxfId="1509" priority="237" operator="lessThan">
      <formula>0</formula>
    </cfRule>
    <cfRule type="cellIs" dxfId="1508" priority="238" operator="greaterThan">
      <formula>0</formula>
    </cfRule>
  </conditionalFormatting>
  <conditionalFormatting sqref="XL20:XL22">
    <cfRule type="cellIs" dxfId="1507" priority="235" operator="lessThan">
      <formula>0</formula>
    </cfRule>
    <cfRule type="cellIs" dxfId="1506" priority="236" operator="greaterThan">
      <formula>0</formula>
    </cfRule>
  </conditionalFormatting>
  <conditionalFormatting sqref="XL45:XL46">
    <cfRule type="cellIs" dxfId="1505" priority="245" operator="lessThan">
      <formula>0</formula>
    </cfRule>
    <cfRule type="cellIs" dxfId="1504" priority="246" operator="greaterThan">
      <formula>0</formula>
    </cfRule>
  </conditionalFormatting>
  <conditionalFormatting sqref="XL7">
    <cfRule type="cellIs" dxfId="1503" priority="233" operator="lessThan">
      <formula>0</formula>
    </cfRule>
    <cfRule type="cellIs" dxfId="1502" priority="234" operator="greaterThan">
      <formula>0</formula>
    </cfRule>
  </conditionalFormatting>
  <conditionalFormatting sqref="XL7">
    <cfRule type="cellIs" dxfId="1501" priority="231" operator="lessThan">
      <formula>0</formula>
    </cfRule>
    <cfRule type="cellIs" dxfId="1500" priority="232" operator="greaterThan">
      <formula>0</formula>
    </cfRule>
  </conditionalFormatting>
  <conditionalFormatting sqref="XL8">
    <cfRule type="cellIs" dxfId="1499" priority="229" operator="lessThan">
      <formula>0</formula>
    </cfRule>
    <cfRule type="cellIs" dxfId="1498" priority="230" operator="greaterThan">
      <formula>0</formula>
    </cfRule>
  </conditionalFormatting>
  <conditionalFormatting sqref="XL47">
    <cfRule type="cellIs" dxfId="1497" priority="227" operator="lessThan">
      <formula>0</formula>
    </cfRule>
    <cfRule type="cellIs" dxfId="1496" priority="228" operator="greaterThan">
      <formula>0</formula>
    </cfRule>
  </conditionalFormatting>
  <conditionalFormatting sqref="XL44">
    <cfRule type="cellIs" dxfId="1495" priority="225" operator="lessThan">
      <formula>0</formula>
    </cfRule>
    <cfRule type="cellIs" dxfId="1494" priority="226" operator="greaterThan">
      <formula>0</formula>
    </cfRule>
  </conditionalFormatting>
  <conditionalFormatting sqref="XL23:XL24">
    <cfRule type="cellIs" dxfId="1493" priority="223" operator="lessThan">
      <formula>0</formula>
    </cfRule>
    <cfRule type="cellIs" dxfId="1492" priority="224" operator="greaterThan">
      <formula>0</formula>
    </cfRule>
  </conditionalFormatting>
  <conditionalFormatting sqref="XL33:XL34">
    <cfRule type="cellIs" dxfId="1491" priority="221" operator="lessThan">
      <formula>0</formula>
    </cfRule>
    <cfRule type="cellIs" dxfId="1490" priority="222" operator="greaterThan">
      <formula>0</formula>
    </cfRule>
  </conditionalFormatting>
  <conditionalFormatting sqref="XL104">
    <cfRule type="cellIs" dxfId="1489" priority="213" operator="lessThan">
      <formula>0</formula>
    </cfRule>
    <cfRule type="cellIs" dxfId="1488" priority="214" operator="greaterThan">
      <formula>0</formula>
    </cfRule>
  </conditionalFormatting>
  <conditionalFormatting sqref="XL48:XL49">
    <cfRule type="cellIs" dxfId="1487" priority="211" operator="lessThan">
      <formula>0</formula>
    </cfRule>
    <cfRule type="cellIs" dxfId="1486" priority="212" operator="greaterThan">
      <formula>0</formula>
    </cfRule>
  </conditionalFormatting>
  <conditionalFormatting sqref="XN101">
    <cfRule type="cellIs" dxfId="1485" priority="173" operator="lessThan">
      <formula>0</formula>
    </cfRule>
    <cfRule type="cellIs" dxfId="1484" priority="174" operator="greaterThan">
      <formula>0</formula>
    </cfRule>
  </conditionalFormatting>
  <conditionalFormatting sqref="XN91:XN96">
    <cfRule type="cellIs" dxfId="1483" priority="209" operator="lessThan">
      <formula>0</formula>
    </cfRule>
    <cfRule type="cellIs" dxfId="1482" priority="210" operator="greaterThan">
      <formula>0</formula>
    </cfRule>
  </conditionalFormatting>
  <conditionalFormatting sqref="XN50:XN68 XN80:XN90">
    <cfRule type="cellIs" dxfId="1481" priority="207" operator="lessThan">
      <formula>0</formula>
    </cfRule>
    <cfRule type="cellIs" dxfId="1480" priority="208" operator="greaterThan">
      <formula>0</formula>
    </cfRule>
  </conditionalFormatting>
  <conditionalFormatting sqref="XN98">
    <cfRule type="cellIs" dxfId="1479" priority="175" operator="lessThan">
      <formula>0</formula>
    </cfRule>
    <cfRule type="cellIs" dxfId="1478" priority="176" operator="greaterThan">
      <formula>0</formula>
    </cfRule>
  </conditionalFormatting>
  <conditionalFormatting sqref="XN6 XN9:XN11">
    <cfRule type="cellIs" dxfId="1477" priority="199" operator="lessThan">
      <formula>0</formula>
    </cfRule>
    <cfRule type="cellIs" dxfId="1476" priority="200" operator="greaterThan">
      <formula>0</formula>
    </cfRule>
  </conditionalFormatting>
  <conditionalFormatting sqref="XN43:XN44">
    <cfRule type="cellIs" dxfId="1475" priority="177" operator="lessThan">
      <formula>0</formula>
    </cfRule>
    <cfRule type="cellIs" dxfId="1474" priority="178" operator="greaterThan">
      <formula>0</formula>
    </cfRule>
  </conditionalFormatting>
  <conditionalFormatting sqref="XN11 XN19 XN3 XN24:XN32 XN34:XN42 XN69:XN79">
    <cfRule type="cellIs" dxfId="1473" priority="205" operator="lessThan">
      <formula>0</formula>
    </cfRule>
    <cfRule type="cellIs" dxfId="1472" priority="206" operator="greaterThan">
      <formula>0</formula>
    </cfRule>
  </conditionalFormatting>
  <conditionalFormatting sqref="XN4:XN5">
    <cfRule type="cellIs" dxfId="1471" priority="201" operator="lessThan">
      <formula>0</formula>
    </cfRule>
    <cfRule type="cellIs" dxfId="1470" priority="202" operator="greaterThan">
      <formula>0</formula>
    </cfRule>
  </conditionalFormatting>
  <conditionalFormatting sqref="XN12:XN13">
    <cfRule type="cellIs" dxfId="1469" priority="197" operator="lessThan">
      <formula>0</formula>
    </cfRule>
    <cfRule type="cellIs" dxfId="1468" priority="198" operator="greaterThan">
      <formula>0</formula>
    </cfRule>
  </conditionalFormatting>
  <conditionalFormatting sqref="XN14:XN19">
    <cfRule type="cellIs" dxfId="1467" priority="195" operator="lessThan">
      <formula>0</formula>
    </cfRule>
    <cfRule type="cellIs" dxfId="1466" priority="196" operator="greaterThan">
      <formula>0</formula>
    </cfRule>
  </conditionalFormatting>
  <conditionalFormatting sqref="XN20:XN22">
    <cfRule type="cellIs" dxfId="1465" priority="193" operator="lessThan">
      <formula>0</formula>
    </cfRule>
    <cfRule type="cellIs" dxfId="1464" priority="194" operator="greaterThan">
      <formula>0</formula>
    </cfRule>
  </conditionalFormatting>
  <conditionalFormatting sqref="XN45:XN46">
    <cfRule type="cellIs" dxfId="1463" priority="203" operator="lessThan">
      <formula>0</formula>
    </cfRule>
    <cfRule type="cellIs" dxfId="1462" priority="204" operator="greaterThan">
      <formula>0</formula>
    </cfRule>
  </conditionalFormatting>
  <conditionalFormatting sqref="XN7">
    <cfRule type="cellIs" dxfId="1461" priority="191" operator="lessThan">
      <formula>0</formula>
    </cfRule>
    <cfRule type="cellIs" dxfId="1460" priority="192" operator="greaterThan">
      <formula>0</formula>
    </cfRule>
  </conditionalFormatting>
  <conditionalFormatting sqref="XN7">
    <cfRule type="cellIs" dxfId="1459" priority="189" operator="lessThan">
      <formula>0</formula>
    </cfRule>
    <cfRule type="cellIs" dxfId="1458" priority="190" operator="greaterThan">
      <formula>0</formula>
    </cfRule>
  </conditionalFormatting>
  <conditionalFormatting sqref="XN8">
    <cfRule type="cellIs" dxfId="1457" priority="187" operator="lessThan">
      <formula>0</formula>
    </cfRule>
    <cfRule type="cellIs" dxfId="1456" priority="188" operator="greaterThan">
      <formula>0</formula>
    </cfRule>
  </conditionalFormatting>
  <conditionalFormatting sqref="XN47">
    <cfRule type="cellIs" dxfId="1455" priority="185" operator="lessThan">
      <formula>0</formula>
    </cfRule>
    <cfRule type="cellIs" dxfId="1454" priority="186" operator="greaterThan">
      <formula>0</formula>
    </cfRule>
  </conditionalFormatting>
  <conditionalFormatting sqref="XN44">
    <cfRule type="cellIs" dxfId="1453" priority="183" operator="lessThan">
      <formula>0</formula>
    </cfRule>
    <cfRule type="cellIs" dxfId="1452" priority="184" operator="greaterThan">
      <formula>0</formula>
    </cfRule>
  </conditionalFormatting>
  <conditionalFormatting sqref="XN23:XN24">
    <cfRule type="cellIs" dxfId="1451" priority="181" operator="lessThan">
      <formula>0</formula>
    </cfRule>
    <cfRule type="cellIs" dxfId="1450" priority="182" operator="greaterThan">
      <formula>0</formula>
    </cfRule>
  </conditionalFormatting>
  <conditionalFormatting sqref="XN33:XN34">
    <cfRule type="cellIs" dxfId="1449" priority="179" operator="lessThan">
      <formula>0</formula>
    </cfRule>
    <cfRule type="cellIs" dxfId="1448" priority="180" operator="greaterThan">
      <formula>0</formula>
    </cfRule>
  </conditionalFormatting>
  <conditionalFormatting sqref="XN104">
    <cfRule type="cellIs" dxfId="1447" priority="171" operator="lessThan">
      <formula>0</formula>
    </cfRule>
    <cfRule type="cellIs" dxfId="1446" priority="172" operator="greaterThan">
      <formula>0</formula>
    </cfRule>
  </conditionalFormatting>
  <conditionalFormatting sqref="XN48:XN49">
    <cfRule type="cellIs" dxfId="1445" priority="169" operator="lessThan">
      <formula>0</formula>
    </cfRule>
    <cfRule type="cellIs" dxfId="1444" priority="170" operator="greaterThan">
      <formula>0</formula>
    </cfRule>
  </conditionalFormatting>
  <conditionalFormatting sqref="XP101">
    <cfRule type="cellIs" dxfId="1443" priority="131" operator="lessThan">
      <formula>0</formula>
    </cfRule>
    <cfRule type="cellIs" dxfId="1442" priority="132" operator="greaterThan">
      <formula>0</formula>
    </cfRule>
  </conditionalFormatting>
  <conditionalFormatting sqref="XP91:XP96">
    <cfRule type="cellIs" dxfId="1441" priority="167" operator="lessThan">
      <formula>0</formula>
    </cfRule>
    <cfRule type="cellIs" dxfId="1440" priority="168" operator="greaterThan">
      <formula>0</formula>
    </cfRule>
  </conditionalFormatting>
  <conditionalFormatting sqref="XP50:XP68 XP80:XP90">
    <cfRule type="cellIs" dxfId="1439" priority="165" operator="lessThan">
      <formula>0</formula>
    </cfRule>
    <cfRule type="cellIs" dxfId="1438" priority="166" operator="greaterThan">
      <formula>0</formula>
    </cfRule>
  </conditionalFormatting>
  <conditionalFormatting sqref="XP98">
    <cfRule type="cellIs" dxfId="1437" priority="133" operator="lessThan">
      <formula>0</formula>
    </cfRule>
    <cfRule type="cellIs" dxfId="1436" priority="134" operator="greaterThan">
      <formula>0</formula>
    </cfRule>
  </conditionalFormatting>
  <conditionalFormatting sqref="XP6 XP9:XP11">
    <cfRule type="cellIs" dxfId="1435" priority="157" operator="lessThan">
      <formula>0</formula>
    </cfRule>
    <cfRule type="cellIs" dxfId="1434" priority="158" operator="greaterThan">
      <formula>0</formula>
    </cfRule>
  </conditionalFormatting>
  <conditionalFormatting sqref="XP43:XP44">
    <cfRule type="cellIs" dxfId="1433" priority="135" operator="lessThan">
      <formula>0</formula>
    </cfRule>
    <cfRule type="cellIs" dxfId="1432" priority="136" operator="greaterThan">
      <formula>0</formula>
    </cfRule>
  </conditionalFormatting>
  <conditionalFormatting sqref="XP11 XP19 XP3 XP24:XP32 XP34:XP42 XP69:XP79">
    <cfRule type="cellIs" dxfId="1431" priority="163" operator="lessThan">
      <formula>0</formula>
    </cfRule>
    <cfRule type="cellIs" dxfId="1430" priority="164" operator="greaterThan">
      <formula>0</formula>
    </cfRule>
  </conditionalFormatting>
  <conditionalFormatting sqref="XP4:XP5">
    <cfRule type="cellIs" dxfId="1429" priority="159" operator="lessThan">
      <formula>0</formula>
    </cfRule>
    <cfRule type="cellIs" dxfId="1428" priority="160" operator="greaterThan">
      <formula>0</formula>
    </cfRule>
  </conditionalFormatting>
  <conditionalFormatting sqref="XP12:XP13">
    <cfRule type="cellIs" dxfId="1427" priority="155" operator="lessThan">
      <formula>0</formula>
    </cfRule>
    <cfRule type="cellIs" dxfId="1426" priority="156" operator="greaterThan">
      <formula>0</formula>
    </cfRule>
  </conditionalFormatting>
  <conditionalFormatting sqref="XP14:XP19">
    <cfRule type="cellIs" dxfId="1425" priority="153" operator="lessThan">
      <formula>0</formula>
    </cfRule>
    <cfRule type="cellIs" dxfId="1424" priority="154" operator="greaterThan">
      <formula>0</formula>
    </cfRule>
  </conditionalFormatting>
  <conditionalFormatting sqref="XP20:XP22">
    <cfRule type="cellIs" dxfId="1423" priority="151" operator="lessThan">
      <formula>0</formula>
    </cfRule>
    <cfRule type="cellIs" dxfId="1422" priority="152" operator="greaterThan">
      <formula>0</formula>
    </cfRule>
  </conditionalFormatting>
  <conditionalFormatting sqref="XP45:XP46">
    <cfRule type="cellIs" dxfId="1421" priority="161" operator="lessThan">
      <formula>0</formula>
    </cfRule>
    <cfRule type="cellIs" dxfId="1420" priority="162" operator="greaterThan">
      <formula>0</formula>
    </cfRule>
  </conditionalFormatting>
  <conditionalFormatting sqref="XP7">
    <cfRule type="cellIs" dxfId="1419" priority="149" operator="lessThan">
      <formula>0</formula>
    </cfRule>
    <cfRule type="cellIs" dxfId="1418" priority="150" operator="greaterThan">
      <formula>0</formula>
    </cfRule>
  </conditionalFormatting>
  <conditionalFormatting sqref="XP7">
    <cfRule type="cellIs" dxfId="1417" priority="147" operator="lessThan">
      <formula>0</formula>
    </cfRule>
    <cfRule type="cellIs" dxfId="1416" priority="148" operator="greaterThan">
      <formula>0</formula>
    </cfRule>
  </conditionalFormatting>
  <conditionalFormatting sqref="XP8">
    <cfRule type="cellIs" dxfId="1415" priority="145" operator="lessThan">
      <formula>0</formula>
    </cfRule>
    <cfRule type="cellIs" dxfId="1414" priority="146" operator="greaterThan">
      <formula>0</formula>
    </cfRule>
  </conditionalFormatting>
  <conditionalFormatting sqref="XP47">
    <cfRule type="cellIs" dxfId="1413" priority="143" operator="lessThan">
      <formula>0</formula>
    </cfRule>
    <cfRule type="cellIs" dxfId="1412" priority="144" operator="greaterThan">
      <formula>0</formula>
    </cfRule>
  </conditionalFormatting>
  <conditionalFormatting sqref="XP44">
    <cfRule type="cellIs" dxfId="1411" priority="141" operator="lessThan">
      <formula>0</formula>
    </cfRule>
    <cfRule type="cellIs" dxfId="1410" priority="142" operator="greaterThan">
      <formula>0</formula>
    </cfRule>
  </conditionalFormatting>
  <conditionalFormatting sqref="XP23:XP24">
    <cfRule type="cellIs" dxfId="1409" priority="139" operator="lessThan">
      <formula>0</formula>
    </cfRule>
    <cfRule type="cellIs" dxfId="1408" priority="140" operator="greaterThan">
      <formula>0</formula>
    </cfRule>
  </conditionalFormatting>
  <conditionalFormatting sqref="XP33:XP34">
    <cfRule type="cellIs" dxfId="1407" priority="137" operator="lessThan">
      <formula>0</formula>
    </cfRule>
    <cfRule type="cellIs" dxfId="1406" priority="138" operator="greaterThan">
      <formula>0</formula>
    </cfRule>
  </conditionalFormatting>
  <conditionalFormatting sqref="XP104">
    <cfRule type="cellIs" dxfId="1405" priority="129" operator="lessThan">
      <formula>0</formula>
    </cfRule>
    <cfRule type="cellIs" dxfId="1404" priority="130" operator="greaterThan">
      <formula>0</formula>
    </cfRule>
  </conditionalFormatting>
  <conditionalFormatting sqref="XP48:XP49">
    <cfRule type="cellIs" dxfId="1403" priority="127" operator="lessThan">
      <formula>0</formula>
    </cfRule>
    <cfRule type="cellIs" dxfId="1402" priority="128" operator="greaterThan">
      <formula>0</formula>
    </cfRule>
  </conditionalFormatting>
  <conditionalFormatting sqref="XR101">
    <cfRule type="cellIs" dxfId="1401" priority="89" operator="lessThan">
      <formula>0</formula>
    </cfRule>
    <cfRule type="cellIs" dxfId="1400" priority="90" operator="greaterThan">
      <formula>0</formula>
    </cfRule>
  </conditionalFormatting>
  <conditionalFormatting sqref="XR91:XR96">
    <cfRule type="cellIs" dxfId="1399" priority="125" operator="lessThan">
      <formula>0</formula>
    </cfRule>
    <cfRule type="cellIs" dxfId="1398" priority="126" operator="greaterThan">
      <formula>0</formula>
    </cfRule>
  </conditionalFormatting>
  <conditionalFormatting sqref="XR50:XR68 XR80:XR90">
    <cfRule type="cellIs" dxfId="1397" priority="123" operator="lessThan">
      <formula>0</formula>
    </cfRule>
    <cfRule type="cellIs" dxfId="1396" priority="124" operator="greaterThan">
      <formula>0</formula>
    </cfRule>
  </conditionalFormatting>
  <conditionalFormatting sqref="XR98">
    <cfRule type="cellIs" dxfId="1395" priority="91" operator="lessThan">
      <formula>0</formula>
    </cfRule>
    <cfRule type="cellIs" dxfId="1394" priority="92" operator="greaterThan">
      <formula>0</formula>
    </cfRule>
  </conditionalFormatting>
  <conditionalFormatting sqref="XR6 XR9:XR11">
    <cfRule type="cellIs" dxfId="1393" priority="115" operator="lessThan">
      <formula>0</formula>
    </cfRule>
    <cfRule type="cellIs" dxfId="1392" priority="116" operator="greaterThan">
      <formula>0</formula>
    </cfRule>
  </conditionalFormatting>
  <conditionalFormatting sqref="XR43:XR44">
    <cfRule type="cellIs" dxfId="1391" priority="93" operator="lessThan">
      <formula>0</formula>
    </cfRule>
    <cfRule type="cellIs" dxfId="1390" priority="94" operator="greaterThan">
      <formula>0</formula>
    </cfRule>
  </conditionalFormatting>
  <conditionalFormatting sqref="XR11 XR19 XR3 XR24:XR32 XR34:XR42 XR69:XR79">
    <cfRule type="cellIs" dxfId="1389" priority="121" operator="lessThan">
      <formula>0</formula>
    </cfRule>
    <cfRule type="cellIs" dxfId="1388" priority="122" operator="greaterThan">
      <formula>0</formula>
    </cfRule>
  </conditionalFormatting>
  <conditionalFormatting sqref="XR4:XR5">
    <cfRule type="cellIs" dxfId="1387" priority="117" operator="lessThan">
      <formula>0</formula>
    </cfRule>
    <cfRule type="cellIs" dxfId="1386" priority="118" operator="greaterThan">
      <formula>0</formula>
    </cfRule>
  </conditionalFormatting>
  <conditionalFormatting sqref="XR12:XR13">
    <cfRule type="cellIs" dxfId="1385" priority="113" operator="lessThan">
      <formula>0</formula>
    </cfRule>
    <cfRule type="cellIs" dxfId="1384" priority="114" operator="greaterThan">
      <formula>0</formula>
    </cfRule>
  </conditionalFormatting>
  <conditionalFormatting sqref="XR14:XR19">
    <cfRule type="cellIs" dxfId="1383" priority="111" operator="lessThan">
      <formula>0</formula>
    </cfRule>
    <cfRule type="cellIs" dxfId="1382" priority="112" operator="greaterThan">
      <formula>0</formula>
    </cfRule>
  </conditionalFormatting>
  <conditionalFormatting sqref="XR20:XR22">
    <cfRule type="cellIs" dxfId="1381" priority="109" operator="lessThan">
      <formula>0</formula>
    </cfRule>
    <cfRule type="cellIs" dxfId="1380" priority="110" operator="greaterThan">
      <formula>0</formula>
    </cfRule>
  </conditionalFormatting>
  <conditionalFormatting sqref="XR45:XR46">
    <cfRule type="cellIs" dxfId="1379" priority="119" operator="lessThan">
      <formula>0</formula>
    </cfRule>
    <cfRule type="cellIs" dxfId="1378" priority="120" operator="greaterThan">
      <formula>0</formula>
    </cfRule>
  </conditionalFormatting>
  <conditionalFormatting sqref="XR7">
    <cfRule type="cellIs" dxfId="1377" priority="107" operator="lessThan">
      <formula>0</formula>
    </cfRule>
    <cfRule type="cellIs" dxfId="1376" priority="108" operator="greaterThan">
      <formula>0</formula>
    </cfRule>
  </conditionalFormatting>
  <conditionalFormatting sqref="XR7">
    <cfRule type="cellIs" dxfId="1375" priority="105" operator="lessThan">
      <formula>0</formula>
    </cfRule>
    <cfRule type="cellIs" dxfId="1374" priority="106" operator="greaterThan">
      <formula>0</formula>
    </cfRule>
  </conditionalFormatting>
  <conditionalFormatting sqref="XR8">
    <cfRule type="cellIs" dxfId="1373" priority="103" operator="lessThan">
      <formula>0</formula>
    </cfRule>
    <cfRule type="cellIs" dxfId="1372" priority="104" operator="greaterThan">
      <formula>0</formula>
    </cfRule>
  </conditionalFormatting>
  <conditionalFormatting sqref="XR47">
    <cfRule type="cellIs" dxfId="1371" priority="101" operator="lessThan">
      <formula>0</formula>
    </cfRule>
    <cfRule type="cellIs" dxfId="1370" priority="102" operator="greaterThan">
      <formula>0</formula>
    </cfRule>
  </conditionalFormatting>
  <conditionalFormatting sqref="XR44">
    <cfRule type="cellIs" dxfId="1369" priority="99" operator="lessThan">
      <formula>0</formula>
    </cfRule>
    <cfRule type="cellIs" dxfId="1368" priority="100" operator="greaterThan">
      <formula>0</formula>
    </cfRule>
  </conditionalFormatting>
  <conditionalFormatting sqref="XR23:XR24">
    <cfRule type="cellIs" dxfId="1367" priority="97" operator="lessThan">
      <formula>0</formula>
    </cfRule>
    <cfRule type="cellIs" dxfId="1366" priority="98" operator="greaterThan">
      <formula>0</formula>
    </cfRule>
  </conditionalFormatting>
  <conditionalFormatting sqref="XR33:XR34">
    <cfRule type="cellIs" dxfId="1365" priority="95" operator="lessThan">
      <formula>0</formula>
    </cfRule>
    <cfRule type="cellIs" dxfId="1364" priority="96" operator="greaterThan">
      <formula>0</formula>
    </cfRule>
  </conditionalFormatting>
  <conditionalFormatting sqref="XR104">
    <cfRule type="cellIs" dxfId="1363" priority="87" operator="lessThan">
      <formula>0</formula>
    </cfRule>
    <cfRule type="cellIs" dxfId="1362" priority="88" operator="greaterThan">
      <formula>0</formula>
    </cfRule>
  </conditionalFormatting>
  <conditionalFormatting sqref="XR48:XR49">
    <cfRule type="cellIs" dxfId="1361" priority="85" operator="lessThan">
      <formula>0</formula>
    </cfRule>
    <cfRule type="cellIs" dxfId="1360" priority="86" operator="greaterThan">
      <formula>0</formula>
    </cfRule>
  </conditionalFormatting>
  <conditionalFormatting sqref="XT101">
    <cfRule type="cellIs" dxfId="1359" priority="47" operator="lessThan">
      <formula>0</formula>
    </cfRule>
    <cfRule type="cellIs" dxfId="1358" priority="48" operator="greaterThan">
      <formula>0</formula>
    </cfRule>
  </conditionalFormatting>
  <conditionalFormatting sqref="XT91:XT96">
    <cfRule type="cellIs" dxfId="1357" priority="83" operator="lessThan">
      <formula>0</formula>
    </cfRule>
    <cfRule type="cellIs" dxfId="1356" priority="84" operator="greaterThan">
      <formula>0</formula>
    </cfRule>
  </conditionalFormatting>
  <conditionalFormatting sqref="XT50:XT68 XT80:XT90">
    <cfRule type="cellIs" dxfId="1355" priority="81" operator="lessThan">
      <formula>0</formula>
    </cfRule>
    <cfRule type="cellIs" dxfId="1354" priority="82" operator="greaterThan">
      <formula>0</formula>
    </cfRule>
  </conditionalFormatting>
  <conditionalFormatting sqref="XT98">
    <cfRule type="cellIs" dxfId="1353" priority="49" operator="lessThan">
      <formula>0</formula>
    </cfRule>
    <cfRule type="cellIs" dxfId="1352" priority="50" operator="greaterThan">
      <formula>0</formula>
    </cfRule>
  </conditionalFormatting>
  <conditionalFormatting sqref="XT6 XT9:XT11">
    <cfRule type="cellIs" dxfId="1351" priority="73" operator="lessThan">
      <formula>0</formula>
    </cfRule>
    <cfRule type="cellIs" dxfId="1350" priority="74" operator="greaterThan">
      <formula>0</formula>
    </cfRule>
  </conditionalFormatting>
  <conditionalFormatting sqref="XT43:XT44">
    <cfRule type="cellIs" dxfId="1349" priority="51" operator="lessThan">
      <formula>0</formula>
    </cfRule>
    <cfRule type="cellIs" dxfId="1348" priority="52" operator="greaterThan">
      <formula>0</formula>
    </cfRule>
  </conditionalFormatting>
  <conditionalFormatting sqref="XT11 XT19 XT3 XT24:XT32 XT34:XT42 XT69:XT79">
    <cfRule type="cellIs" dxfId="1347" priority="79" operator="lessThan">
      <formula>0</formula>
    </cfRule>
    <cfRule type="cellIs" dxfId="1346" priority="80" operator="greaterThan">
      <formula>0</formula>
    </cfRule>
  </conditionalFormatting>
  <conditionalFormatting sqref="XT4:XT5">
    <cfRule type="cellIs" dxfId="1345" priority="75" operator="lessThan">
      <formula>0</formula>
    </cfRule>
    <cfRule type="cellIs" dxfId="1344" priority="76" operator="greaterThan">
      <formula>0</formula>
    </cfRule>
  </conditionalFormatting>
  <conditionalFormatting sqref="XT12:XT13">
    <cfRule type="cellIs" dxfId="1343" priority="71" operator="lessThan">
      <formula>0</formula>
    </cfRule>
    <cfRule type="cellIs" dxfId="1342" priority="72" operator="greaterThan">
      <formula>0</formula>
    </cfRule>
  </conditionalFormatting>
  <conditionalFormatting sqref="XT14:XT19">
    <cfRule type="cellIs" dxfId="1341" priority="69" operator="lessThan">
      <formula>0</formula>
    </cfRule>
    <cfRule type="cellIs" dxfId="1340" priority="70" operator="greaterThan">
      <formula>0</formula>
    </cfRule>
  </conditionalFormatting>
  <conditionalFormatting sqref="XT20:XT22">
    <cfRule type="cellIs" dxfId="1339" priority="67" operator="lessThan">
      <formula>0</formula>
    </cfRule>
    <cfRule type="cellIs" dxfId="1338" priority="68" operator="greaterThan">
      <formula>0</formula>
    </cfRule>
  </conditionalFormatting>
  <conditionalFormatting sqref="XT45:XT46">
    <cfRule type="cellIs" dxfId="1337" priority="77" operator="lessThan">
      <formula>0</formula>
    </cfRule>
    <cfRule type="cellIs" dxfId="1336" priority="78" operator="greaterThan">
      <formula>0</formula>
    </cfRule>
  </conditionalFormatting>
  <conditionalFormatting sqref="XT7">
    <cfRule type="cellIs" dxfId="1335" priority="65" operator="lessThan">
      <formula>0</formula>
    </cfRule>
    <cfRule type="cellIs" dxfId="1334" priority="66" operator="greaterThan">
      <formula>0</formula>
    </cfRule>
  </conditionalFormatting>
  <conditionalFormatting sqref="XT7">
    <cfRule type="cellIs" dxfId="1333" priority="63" operator="lessThan">
      <formula>0</formula>
    </cfRule>
    <cfRule type="cellIs" dxfId="1332" priority="64" operator="greaterThan">
      <formula>0</formula>
    </cfRule>
  </conditionalFormatting>
  <conditionalFormatting sqref="XT8">
    <cfRule type="cellIs" dxfId="1331" priority="61" operator="lessThan">
      <formula>0</formula>
    </cfRule>
    <cfRule type="cellIs" dxfId="1330" priority="62" operator="greaterThan">
      <formula>0</formula>
    </cfRule>
  </conditionalFormatting>
  <conditionalFormatting sqref="XT47">
    <cfRule type="cellIs" dxfId="1329" priority="59" operator="lessThan">
      <formula>0</formula>
    </cfRule>
    <cfRule type="cellIs" dxfId="1328" priority="60" operator="greaterThan">
      <formula>0</formula>
    </cfRule>
  </conditionalFormatting>
  <conditionalFormatting sqref="XT44">
    <cfRule type="cellIs" dxfId="1327" priority="57" operator="lessThan">
      <formula>0</formula>
    </cfRule>
    <cfRule type="cellIs" dxfId="1326" priority="58" operator="greaterThan">
      <formula>0</formula>
    </cfRule>
  </conditionalFormatting>
  <conditionalFormatting sqref="XT23:XT24">
    <cfRule type="cellIs" dxfId="1325" priority="55" operator="lessThan">
      <formula>0</formula>
    </cfRule>
    <cfRule type="cellIs" dxfId="1324" priority="56" operator="greaterThan">
      <formula>0</formula>
    </cfRule>
  </conditionalFormatting>
  <conditionalFormatting sqref="XT33:XT34">
    <cfRule type="cellIs" dxfId="1323" priority="53" operator="lessThan">
      <formula>0</formula>
    </cfRule>
    <cfRule type="cellIs" dxfId="1322" priority="54" operator="greaterThan">
      <formula>0</formula>
    </cfRule>
  </conditionalFormatting>
  <conditionalFormatting sqref="XT104">
    <cfRule type="cellIs" dxfId="1321" priority="45" operator="lessThan">
      <formula>0</formula>
    </cfRule>
    <cfRule type="cellIs" dxfId="1320" priority="46" operator="greaterThan">
      <formula>0</formula>
    </cfRule>
  </conditionalFormatting>
  <conditionalFormatting sqref="XT48:XT49">
    <cfRule type="cellIs" dxfId="1319" priority="43" operator="lessThan">
      <formula>0</formula>
    </cfRule>
    <cfRule type="cellIs" dxfId="1318" priority="44" operator="greaterThan">
      <formula>0</formula>
    </cfRule>
  </conditionalFormatting>
  <conditionalFormatting sqref="XV101">
    <cfRule type="cellIs" dxfId="61" priority="5" operator="lessThan">
      <formula>0</formula>
    </cfRule>
    <cfRule type="cellIs" dxfId="60" priority="6" operator="greaterThan">
      <formula>0</formula>
    </cfRule>
  </conditionalFormatting>
  <conditionalFormatting sqref="XV91:XV96">
    <cfRule type="cellIs" dxfId="59" priority="41" operator="lessThan">
      <formula>0</formula>
    </cfRule>
    <cfRule type="cellIs" dxfId="58" priority="42" operator="greaterThan">
      <formula>0</formula>
    </cfRule>
  </conditionalFormatting>
  <conditionalFormatting sqref="XV50:XV68 XV80:XV90">
    <cfRule type="cellIs" dxfId="57" priority="39" operator="lessThan">
      <formula>0</formula>
    </cfRule>
    <cfRule type="cellIs" dxfId="56" priority="40" operator="greaterThan">
      <formula>0</formula>
    </cfRule>
  </conditionalFormatting>
  <conditionalFormatting sqref="XV98">
    <cfRule type="cellIs" dxfId="55" priority="7" operator="lessThan">
      <formula>0</formula>
    </cfRule>
    <cfRule type="cellIs" dxfId="54" priority="8" operator="greaterThan">
      <formula>0</formula>
    </cfRule>
  </conditionalFormatting>
  <conditionalFormatting sqref="XV6 XV9:XV11">
    <cfRule type="cellIs" dxfId="53" priority="31" operator="lessThan">
      <formula>0</formula>
    </cfRule>
    <cfRule type="cellIs" dxfId="52" priority="32" operator="greaterThan">
      <formula>0</formula>
    </cfRule>
  </conditionalFormatting>
  <conditionalFormatting sqref="XV43:XV44">
    <cfRule type="cellIs" dxfId="51" priority="9" operator="lessThan">
      <formula>0</formula>
    </cfRule>
    <cfRule type="cellIs" dxfId="50" priority="10" operator="greaterThan">
      <formula>0</formula>
    </cfRule>
  </conditionalFormatting>
  <conditionalFormatting sqref="XV11 XV19 XV3 XV24:XV32 XV34:XV42 XV69:XV79">
    <cfRule type="cellIs" dxfId="49" priority="37" operator="lessThan">
      <formula>0</formula>
    </cfRule>
    <cfRule type="cellIs" dxfId="48" priority="38" operator="greaterThan">
      <formula>0</formula>
    </cfRule>
  </conditionalFormatting>
  <conditionalFormatting sqref="XV4:XV5">
    <cfRule type="cellIs" dxfId="47" priority="33" operator="lessThan">
      <formula>0</formula>
    </cfRule>
    <cfRule type="cellIs" dxfId="46" priority="34" operator="greaterThan">
      <formula>0</formula>
    </cfRule>
  </conditionalFormatting>
  <conditionalFormatting sqref="XV12:XV13">
    <cfRule type="cellIs" dxfId="45" priority="29" operator="lessThan">
      <formula>0</formula>
    </cfRule>
    <cfRule type="cellIs" dxfId="44" priority="30" operator="greaterThan">
      <formula>0</formula>
    </cfRule>
  </conditionalFormatting>
  <conditionalFormatting sqref="XV14:XV19">
    <cfRule type="cellIs" dxfId="43" priority="27" operator="lessThan">
      <formula>0</formula>
    </cfRule>
    <cfRule type="cellIs" dxfId="42" priority="28" operator="greaterThan">
      <formula>0</formula>
    </cfRule>
  </conditionalFormatting>
  <conditionalFormatting sqref="XV20:XV22">
    <cfRule type="cellIs" dxfId="41" priority="25" operator="lessThan">
      <formula>0</formula>
    </cfRule>
    <cfRule type="cellIs" dxfId="40" priority="26" operator="greaterThan">
      <formula>0</formula>
    </cfRule>
  </conditionalFormatting>
  <conditionalFormatting sqref="XV45:XV46">
    <cfRule type="cellIs" dxfId="39" priority="35" operator="lessThan">
      <formula>0</formula>
    </cfRule>
    <cfRule type="cellIs" dxfId="38" priority="36" operator="greaterThan">
      <formula>0</formula>
    </cfRule>
  </conditionalFormatting>
  <conditionalFormatting sqref="XV7">
    <cfRule type="cellIs" dxfId="37" priority="23" operator="lessThan">
      <formula>0</formula>
    </cfRule>
    <cfRule type="cellIs" dxfId="36" priority="24" operator="greaterThan">
      <formula>0</formula>
    </cfRule>
  </conditionalFormatting>
  <conditionalFormatting sqref="XV7">
    <cfRule type="cellIs" dxfId="35" priority="21" operator="lessThan">
      <formula>0</formula>
    </cfRule>
    <cfRule type="cellIs" dxfId="34" priority="22" operator="greaterThan">
      <formula>0</formula>
    </cfRule>
  </conditionalFormatting>
  <conditionalFormatting sqref="XV8">
    <cfRule type="cellIs" dxfId="33" priority="19" operator="lessThan">
      <formula>0</formula>
    </cfRule>
    <cfRule type="cellIs" dxfId="32" priority="20" operator="greaterThan">
      <formula>0</formula>
    </cfRule>
  </conditionalFormatting>
  <conditionalFormatting sqref="XV47">
    <cfRule type="cellIs" dxfId="31" priority="17" operator="lessThan">
      <formula>0</formula>
    </cfRule>
    <cfRule type="cellIs" dxfId="30" priority="18" operator="greaterThan">
      <formula>0</formula>
    </cfRule>
  </conditionalFormatting>
  <conditionalFormatting sqref="XV44">
    <cfRule type="cellIs" dxfId="29" priority="15" operator="lessThan">
      <formula>0</formula>
    </cfRule>
    <cfRule type="cellIs" dxfId="28" priority="16" operator="greaterThan">
      <formula>0</formula>
    </cfRule>
  </conditionalFormatting>
  <conditionalFormatting sqref="XV23:XV24">
    <cfRule type="cellIs" dxfId="27" priority="13" operator="lessThan">
      <formula>0</formula>
    </cfRule>
    <cfRule type="cellIs" dxfId="26" priority="14" operator="greaterThan">
      <formula>0</formula>
    </cfRule>
  </conditionalFormatting>
  <conditionalFormatting sqref="XV33:XV34">
    <cfRule type="cellIs" dxfId="25" priority="11" operator="lessThan">
      <formula>0</formula>
    </cfRule>
    <cfRule type="cellIs" dxfId="24" priority="12" operator="greaterThan">
      <formula>0</formula>
    </cfRule>
  </conditionalFormatting>
  <conditionalFormatting sqref="XV104">
    <cfRule type="cellIs" dxfId="23" priority="3" operator="lessThan">
      <formula>0</formula>
    </cfRule>
    <cfRule type="cellIs" dxfId="22" priority="4" operator="greaterThan">
      <formula>0</formula>
    </cfRule>
  </conditionalFormatting>
  <conditionalFormatting sqref="XV48:XV49">
    <cfRule type="cellIs" dxfId="21" priority="1" operator="lessThan">
      <formula>0</formula>
    </cfRule>
    <cfRule type="cellIs" dxfId="20" priority="2" operator="greaterThan">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09037-1D94-4CCC-B9C2-51A6DE453767}">
  <sheetPr codeName="Hoja6"/>
  <dimension ref="A1:IL52"/>
  <sheetViews>
    <sheetView tabSelected="1" zoomScale="80" zoomScaleNormal="80" workbookViewId="0">
      <pane xSplit="4" ySplit="2" topLeftCell="HS3" activePane="bottomRight" state="frozen"/>
      <selection pane="topRight" activeCell="E1" sqref="E1"/>
      <selection pane="bottomLeft" activeCell="A3" sqref="A3"/>
      <selection pane="bottomRight" activeCell="HW28" sqref="HW28"/>
    </sheetView>
  </sheetViews>
  <sheetFormatPr baseColWidth="10" defaultRowHeight="15" x14ac:dyDescent="0.25"/>
  <cols>
    <col min="1" max="1" width="7.85546875" customWidth="1"/>
    <col min="2" max="2" width="12.7109375" style="648" customWidth="1"/>
    <col min="4" max="4" width="13.85546875" customWidth="1"/>
    <col min="30" max="30" width="12.5703125" customWidth="1"/>
  </cols>
  <sheetData>
    <row r="1" spans="2:246" x14ac:dyDescent="0.25">
      <c r="D1" s="121">
        <v>2020</v>
      </c>
      <c r="E1" s="779">
        <v>43852</v>
      </c>
      <c r="F1" s="780"/>
      <c r="G1" s="779">
        <v>43854</v>
      </c>
      <c r="H1" s="780"/>
      <c r="I1" s="779">
        <v>43857</v>
      </c>
      <c r="J1" s="780"/>
      <c r="K1" s="779">
        <v>43858</v>
      </c>
      <c r="L1" s="780"/>
      <c r="M1" s="779">
        <v>43860</v>
      </c>
      <c r="N1" s="780"/>
      <c r="O1" s="779">
        <v>43866</v>
      </c>
      <c r="P1" s="780"/>
      <c r="Q1" s="779">
        <v>43867</v>
      </c>
      <c r="R1" s="780"/>
      <c r="S1" s="779">
        <v>43871</v>
      </c>
      <c r="T1" s="780"/>
      <c r="U1" s="779">
        <v>43872</v>
      </c>
      <c r="V1" s="780"/>
      <c r="W1" s="779">
        <v>43874</v>
      </c>
      <c r="X1" s="780"/>
      <c r="Y1" s="779">
        <v>43875</v>
      </c>
      <c r="Z1" s="780"/>
      <c r="AA1" s="779">
        <v>43880</v>
      </c>
      <c r="AB1" s="780"/>
      <c r="AC1" s="779">
        <v>43882</v>
      </c>
      <c r="AD1" s="780"/>
      <c r="AE1" s="779">
        <v>43885</v>
      </c>
      <c r="AF1" s="780"/>
      <c r="AG1" s="779">
        <v>43886</v>
      </c>
      <c r="AH1" s="780"/>
      <c r="AI1" s="779">
        <v>43887</v>
      </c>
      <c r="AJ1" s="780"/>
      <c r="AK1" s="779">
        <v>43888</v>
      </c>
      <c r="AL1" s="780"/>
      <c r="AM1" s="779">
        <v>43973</v>
      </c>
      <c r="AN1" s="780"/>
      <c r="AO1" s="779">
        <v>43978</v>
      </c>
      <c r="AP1" s="780"/>
      <c r="AQ1" s="779">
        <v>43979</v>
      </c>
      <c r="AR1" s="780"/>
      <c r="AS1" s="779">
        <v>43980</v>
      </c>
      <c r="AT1" s="780"/>
      <c r="AU1" s="793">
        <v>43985</v>
      </c>
      <c r="AV1" s="794"/>
      <c r="AW1" s="779">
        <v>43987</v>
      </c>
      <c r="AX1" s="780"/>
      <c r="AY1" s="779">
        <v>43990</v>
      </c>
      <c r="AZ1" s="780"/>
      <c r="BA1" s="779">
        <v>43991</v>
      </c>
      <c r="BB1" s="780"/>
      <c r="BC1" s="779">
        <v>43993</v>
      </c>
      <c r="BD1" s="780"/>
      <c r="BE1" s="779">
        <v>43994</v>
      </c>
      <c r="BF1" s="780"/>
      <c r="BG1" s="779">
        <v>43997</v>
      </c>
      <c r="BH1" s="780"/>
      <c r="BI1" s="779">
        <v>43999</v>
      </c>
      <c r="BJ1" s="780"/>
      <c r="BK1" s="779">
        <v>44001</v>
      </c>
      <c r="BL1" s="780"/>
      <c r="BM1" s="779">
        <v>44004</v>
      </c>
      <c r="BN1" s="780"/>
      <c r="BO1" s="779">
        <v>44005</v>
      </c>
      <c r="BP1" s="780"/>
      <c r="BQ1" s="779">
        <v>44006</v>
      </c>
      <c r="BR1" s="780"/>
      <c r="BS1" s="779">
        <v>44007</v>
      </c>
      <c r="BT1" s="780"/>
      <c r="BU1" s="779">
        <v>44008</v>
      </c>
      <c r="BV1" s="780"/>
      <c r="BW1" s="779">
        <v>44011</v>
      </c>
      <c r="BX1" s="780"/>
      <c r="BY1" s="779">
        <v>44012</v>
      </c>
      <c r="BZ1" s="780"/>
      <c r="CA1" s="817">
        <v>44013</v>
      </c>
      <c r="CB1" s="818"/>
      <c r="CC1" s="779">
        <v>44014</v>
      </c>
      <c r="CD1" s="780"/>
      <c r="CE1" s="779">
        <v>44015</v>
      </c>
      <c r="CF1" s="780"/>
      <c r="CG1" s="779">
        <v>44018</v>
      </c>
      <c r="CH1" s="780"/>
      <c r="CI1" s="779">
        <v>44020</v>
      </c>
      <c r="CJ1" s="780"/>
      <c r="CK1" s="779">
        <v>44021</v>
      </c>
      <c r="CL1" s="780"/>
      <c r="CM1" s="779">
        <v>44022</v>
      </c>
      <c r="CN1" s="780"/>
      <c r="CO1" s="779">
        <v>44025</v>
      </c>
      <c r="CP1" s="780"/>
      <c r="CQ1" s="779">
        <v>44026</v>
      </c>
      <c r="CR1" s="780"/>
      <c r="CS1" s="779">
        <v>44029</v>
      </c>
      <c r="CT1" s="780"/>
      <c r="CU1" s="779">
        <v>44032</v>
      </c>
      <c r="CV1" s="780"/>
      <c r="CW1" s="779">
        <v>44034</v>
      </c>
      <c r="CX1" s="780"/>
      <c r="CY1" s="779">
        <v>44035</v>
      </c>
      <c r="CZ1" s="780"/>
      <c r="DA1" s="779">
        <v>44040</v>
      </c>
      <c r="DB1" s="780"/>
      <c r="DC1" s="779">
        <v>44042</v>
      </c>
      <c r="DD1" s="780"/>
      <c r="DE1" s="779">
        <v>44043</v>
      </c>
      <c r="DF1" s="781"/>
      <c r="DG1" s="786">
        <v>44046</v>
      </c>
      <c r="DH1" s="780"/>
      <c r="DI1" s="782">
        <v>44048</v>
      </c>
      <c r="DJ1" s="787"/>
      <c r="DK1" s="779">
        <v>44049</v>
      </c>
      <c r="DL1" s="780"/>
      <c r="DM1" s="779">
        <v>44050</v>
      </c>
      <c r="DN1" s="780"/>
      <c r="DO1" s="779">
        <v>44054</v>
      </c>
      <c r="DP1" s="780"/>
      <c r="DQ1" s="779">
        <v>44055</v>
      </c>
      <c r="DR1" s="780"/>
      <c r="DS1" s="779">
        <v>44056</v>
      </c>
      <c r="DT1" s="780"/>
      <c r="DU1" s="782">
        <v>44057</v>
      </c>
      <c r="DV1" s="787"/>
      <c r="DW1" s="779">
        <v>44060</v>
      </c>
      <c r="DX1" s="780"/>
      <c r="DY1" s="779">
        <v>44062</v>
      </c>
      <c r="DZ1" s="780"/>
      <c r="EA1" s="779">
        <v>44063</v>
      </c>
      <c r="EB1" s="780"/>
      <c r="EC1" s="779">
        <v>44067</v>
      </c>
      <c r="ED1" s="780"/>
      <c r="EE1" s="779">
        <v>44069</v>
      </c>
      <c r="EF1" s="780"/>
      <c r="EG1" s="779">
        <v>44070</v>
      </c>
      <c r="EH1" s="780"/>
      <c r="EI1" s="784">
        <v>44074</v>
      </c>
      <c r="EJ1" s="785"/>
      <c r="EK1" s="779">
        <v>44076</v>
      </c>
      <c r="EL1" s="780"/>
      <c r="EM1" s="779">
        <v>44077</v>
      </c>
      <c r="EN1" s="780"/>
      <c r="EO1" s="779">
        <v>44078</v>
      </c>
      <c r="EP1" s="780"/>
      <c r="EQ1" s="779">
        <v>44081</v>
      </c>
      <c r="ER1" s="780"/>
      <c r="ES1" s="779">
        <v>44083</v>
      </c>
      <c r="ET1" s="780"/>
      <c r="EU1" s="779">
        <v>44085</v>
      </c>
      <c r="EV1" s="780"/>
      <c r="EW1" s="779">
        <v>44092</v>
      </c>
      <c r="EX1" s="780"/>
      <c r="EY1" s="779">
        <v>44095</v>
      </c>
      <c r="EZ1" s="780"/>
      <c r="FA1" s="779">
        <v>44096</v>
      </c>
      <c r="FB1" s="780"/>
      <c r="FC1" s="779">
        <v>44097</v>
      </c>
      <c r="FD1" s="780"/>
      <c r="FE1" s="779">
        <v>44098</v>
      </c>
      <c r="FF1" s="780"/>
      <c r="FG1" s="779">
        <v>44099</v>
      </c>
      <c r="FH1" s="780"/>
      <c r="FI1" s="779">
        <v>44102</v>
      </c>
      <c r="FJ1" s="780"/>
      <c r="FK1" s="784">
        <v>44103</v>
      </c>
      <c r="FL1" s="785"/>
      <c r="FM1" s="779">
        <v>44105</v>
      </c>
      <c r="FN1" s="780"/>
      <c r="FO1" s="779">
        <v>44106</v>
      </c>
      <c r="FP1" s="780"/>
      <c r="FQ1" s="779">
        <v>44109</v>
      </c>
      <c r="FR1" s="780"/>
      <c r="FS1" s="779">
        <v>44111</v>
      </c>
      <c r="FT1" s="780"/>
      <c r="FU1" s="779">
        <v>44112</v>
      </c>
      <c r="FV1" s="780"/>
      <c r="FW1" s="779">
        <v>44113</v>
      </c>
      <c r="FX1" s="780"/>
      <c r="FY1" s="779">
        <v>44117</v>
      </c>
      <c r="FZ1" s="780"/>
      <c r="GA1" s="779">
        <v>44118</v>
      </c>
      <c r="GB1" s="780"/>
      <c r="GC1" s="782">
        <v>44119</v>
      </c>
      <c r="GD1" s="783"/>
      <c r="GE1" s="779">
        <v>44120</v>
      </c>
      <c r="GF1" s="780"/>
      <c r="GG1" s="779">
        <v>44123</v>
      </c>
      <c r="GH1" s="780"/>
      <c r="GI1" s="779">
        <v>44125</v>
      </c>
      <c r="GJ1" s="780"/>
      <c r="GK1" s="779">
        <v>44126</v>
      </c>
      <c r="GL1" s="780"/>
      <c r="GM1" s="779">
        <v>44127</v>
      </c>
      <c r="GN1" s="780"/>
      <c r="GO1" s="779">
        <v>44131</v>
      </c>
      <c r="GP1" s="780"/>
      <c r="GQ1" s="779">
        <v>44134</v>
      </c>
      <c r="GR1" s="781"/>
      <c r="GS1" s="786">
        <v>44147</v>
      </c>
      <c r="GT1" s="780"/>
      <c r="GU1" s="779">
        <v>44148</v>
      </c>
      <c r="GV1" s="780"/>
      <c r="GW1" s="779">
        <v>44153</v>
      </c>
      <c r="GX1" s="780"/>
      <c r="GY1" s="779">
        <v>44155</v>
      </c>
      <c r="GZ1" s="780"/>
      <c r="HA1" s="779">
        <v>44159</v>
      </c>
      <c r="HB1" s="780"/>
      <c r="HC1" s="779">
        <v>44160</v>
      </c>
      <c r="HD1" s="781"/>
      <c r="HE1" s="779">
        <v>44168</v>
      </c>
      <c r="HF1" s="780"/>
      <c r="HG1" s="779">
        <v>44169</v>
      </c>
      <c r="HH1" s="780"/>
      <c r="HI1" s="779">
        <v>44173</v>
      </c>
      <c r="HJ1" s="780"/>
      <c r="HK1" s="779">
        <v>44174</v>
      </c>
      <c r="HL1" s="780"/>
      <c r="HM1" s="779">
        <v>44176</v>
      </c>
      <c r="HN1" s="780"/>
      <c r="HO1" s="779">
        <v>44187</v>
      </c>
      <c r="HP1" s="780"/>
      <c r="HQ1" s="779">
        <v>44188</v>
      </c>
      <c r="HR1" s="781"/>
      <c r="HS1" s="782">
        <v>44208</v>
      </c>
      <c r="HT1" s="783"/>
      <c r="HU1" s="779">
        <v>44209</v>
      </c>
      <c r="HV1" s="780"/>
      <c r="HW1" s="779">
        <v>44210</v>
      </c>
      <c r="HX1" s="780"/>
      <c r="HY1" s="779">
        <v>44211</v>
      </c>
      <c r="HZ1" s="780"/>
      <c r="IA1" s="779">
        <v>44214</v>
      </c>
      <c r="IB1" s="780"/>
      <c r="IC1" s="779">
        <v>44215</v>
      </c>
      <c r="ID1" s="780"/>
      <c r="IE1" s="779">
        <v>44216</v>
      </c>
      <c r="IF1" s="780"/>
      <c r="IG1" s="779">
        <v>44217</v>
      </c>
      <c r="IH1" s="780"/>
      <c r="II1" s="779">
        <v>44218</v>
      </c>
      <c r="IJ1" s="780"/>
      <c r="IK1" s="779">
        <v>44221</v>
      </c>
      <c r="IL1" s="780"/>
    </row>
    <row r="2" spans="2:246" x14ac:dyDescent="0.25">
      <c r="C2" s="71" t="s">
        <v>29</v>
      </c>
      <c r="D2" s="71" t="s">
        <v>4</v>
      </c>
      <c r="E2" s="7" t="s">
        <v>1</v>
      </c>
      <c r="F2" s="66" t="s">
        <v>2</v>
      </c>
      <c r="G2" s="7" t="s">
        <v>1</v>
      </c>
      <c r="H2" s="125" t="s">
        <v>2</v>
      </c>
      <c r="I2" s="7" t="s">
        <v>1</v>
      </c>
      <c r="J2" s="128" t="s">
        <v>2</v>
      </c>
      <c r="K2" s="7" t="s">
        <v>1</v>
      </c>
      <c r="L2" s="130" t="s">
        <v>2</v>
      </c>
      <c r="M2" s="7" t="s">
        <v>1</v>
      </c>
      <c r="N2" s="136" t="s">
        <v>2</v>
      </c>
      <c r="O2" s="7" t="s">
        <v>1</v>
      </c>
      <c r="P2" s="141" t="s">
        <v>2</v>
      </c>
      <c r="Q2" s="7" t="s">
        <v>1</v>
      </c>
      <c r="R2" s="143" t="s">
        <v>2</v>
      </c>
      <c r="S2" s="7" t="s">
        <v>1</v>
      </c>
      <c r="T2" s="147" t="s">
        <v>2</v>
      </c>
      <c r="U2" s="7" t="s">
        <v>1</v>
      </c>
      <c r="V2" s="151" t="s">
        <v>2</v>
      </c>
      <c r="W2" s="7" t="s">
        <v>1</v>
      </c>
      <c r="X2" s="155" t="s">
        <v>2</v>
      </c>
      <c r="Y2" s="7" t="s">
        <v>1</v>
      </c>
      <c r="Z2" s="159" t="s">
        <v>2</v>
      </c>
      <c r="AA2" s="7" t="s">
        <v>1</v>
      </c>
      <c r="AB2" s="164" t="s">
        <v>2</v>
      </c>
      <c r="AC2" s="7" t="s">
        <v>1</v>
      </c>
      <c r="AD2" s="169" t="s">
        <v>2</v>
      </c>
      <c r="AE2" s="7" t="s">
        <v>1</v>
      </c>
      <c r="AF2" s="175" t="s">
        <v>2</v>
      </c>
      <c r="AG2" s="7" t="s">
        <v>1</v>
      </c>
      <c r="AH2" s="177" t="s">
        <v>2</v>
      </c>
      <c r="AI2" s="7" t="s">
        <v>1</v>
      </c>
      <c r="AJ2" s="180" t="s">
        <v>2</v>
      </c>
      <c r="AK2" s="7" t="s">
        <v>1</v>
      </c>
      <c r="AL2" s="184" t="s">
        <v>2</v>
      </c>
      <c r="AM2" s="7" t="s">
        <v>1</v>
      </c>
      <c r="AN2" s="286" t="s">
        <v>2</v>
      </c>
      <c r="AO2" s="7" t="s">
        <v>1</v>
      </c>
      <c r="AP2" s="289" t="s">
        <v>2</v>
      </c>
      <c r="AQ2" s="7" t="s">
        <v>1</v>
      </c>
      <c r="AR2" s="291" t="s">
        <v>2</v>
      </c>
      <c r="AS2" s="7" t="s">
        <v>1</v>
      </c>
      <c r="AT2" s="295" t="s">
        <v>2</v>
      </c>
      <c r="AU2" s="7" t="s">
        <v>1</v>
      </c>
      <c r="AV2" s="308" t="s">
        <v>2</v>
      </c>
      <c r="AW2" s="7" t="s">
        <v>1</v>
      </c>
      <c r="AX2" s="311" t="s">
        <v>2</v>
      </c>
      <c r="AY2" s="7" t="s">
        <v>1</v>
      </c>
      <c r="AZ2" s="312" t="s">
        <v>2</v>
      </c>
      <c r="BA2" s="7" t="s">
        <v>1</v>
      </c>
      <c r="BB2" s="314" t="s">
        <v>2</v>
      </c>
      <c r="BC2" s="7" t="s">
        <v>1</v>
      </c>
      <c r="BD2" s="317" t="s">
        <v>2</v>
      </c>
      <c r="BE2" s="7" t="s">
        <v>1</v>
      </c>
      <c r="BF2" s="319" t="s">
        <v>2</v>
      </c>
      <c r="BG2" s="7" t="s">
        <v>1</v>
      </c>
      <c r="BH2" s="320" t="s">
        <v>2</v>
      </c>
      <c r="BI2" s="7" t="s">
        <v>1</v>
      </c>
      <c r="BJ2" s="326" t="s">
        <v>2</v>
      </c>
      <c r="BK2" s="7" t="s">
        <v>1</v>
      </c>
      <c r="BL2" s="331" t="s">
        <v>2</v>
      </c>
      <c r="BM2" s="7" t="s">
        <v>1</v>
      </c>
      <c r="BN2" s="333" t="s">
        <v>2</v>
      </c>
      <c r="BO2" s="341" t="s">
        <v>1</v>
      </c>
      <c r="BP2" s="340" t="s">
        <v>2</v>
      </c>
      <c r="BQ2" s="349" t="s">
        <v>1</v>
      </c>
      <c r="BR2" s="350" t="s">
        <v>2</v>
      </c>
      <c r="BS2" s="353" t="s">
        <v>1</v>
      </c>
      <c r="BT2" s="354" t="s">
        <v>2</v>
      </c>
      <c r="BU2" s="357" t="s">
        <v>1</v>
      </c>
      <c r="BV2" s="358" t="s">
        <v>2</v>
      </c>
      <c r="BW2" s="361" t="s">
        <v>1</v>
      </c>
      <c r="BX2" s="362" t="s">
        <v>2</v>
      </c>
      <c r="BY2" s="389" t="s">
        <v>1</v>
      </c>
      <c r="BZ2" s="387" t="s">
        <v>2</v>
      </c>
      <c r="CA2" s="381" t="s">
        <v>1</v>
      </c>
      <c r="CB2" s="367" t="s">
        <v>2</v>
      </c>
      <c r="CC2" s="373" t="s">
        <v>1</v>
      </c>
      <c r="CD2" s="372" t="s">
        <v>2</v>
      </c>
      <c r="CE2" s="379" t="s">
        <v>1</v>
      </c>
      <c r="CF2" s="380" t="s">
        <v>2</v>
      </c>
      <c r="CG2" s="379" t="s">
        <v>1</v>
      </c>
      <c r="CH2" s="380" t="s">
        <v>2</v>
      </c>
      <c r="CI2" s="389" t="s">
        <v>1</v>
      </c>
      <c r="CJ2" s="387" t="s">
        <v>2</v>
      </c>
      <c r="CK2" s="389" t="s">
        <v>1</v>
      </c>
      <c r="CL2" s="396" t="s">
        <v>2</v>
      </c>
      <c r="CM2" s="389" t="s">
        <v>1</v>
      </c>
      <c r="CN2" s="398" t="s">
        <v>2</v>
      </c>
      <c r="CO2" s="389" t="s">
        <v>1</v>
      </c>
      <c r="CP2" s="402" t="s">
        <v>2</v>
      </c>
      <c r="CQ2" s="389" t="s">
        <v>1</v>
      </c>
      <c r="CR2" s="402" t="s">
        <v>2</v>
      </c>
      <c r="CS2" s="389" t="s">
        <v>1</v>
      </c>
      <c r="CT2" s="411" t="s">
        <v>2</v>
      </c>
      <c r="CU2" s="389" t="s">
        <v>1</v>
      </c>
      <c r="CV2" s="411" t="s">
        <v>2</v>
      </c>
      <c r="CW2" s="389" t="s">
        <v>1</v>
      </c>
      <c r="CX2" s="416" t="s">
        <v>2</v>
      </c>
      <c r="CY2" s="389" t="s">
        <v>1</v>
      </c>
      <c r="CZ2" s="420" t="s">
        <v>2</v>
      </c>
      <c r="DA2" s="389" t="s">
        <v>1</v>
      </c>
      <c r="DB2" s="423" t="s">
        <v>2</v>
      </c>
      <c r="DC2" s="389" t="s">
        <v>1</v>
      </c>
      <c r="DD2" s="430" t="s">
        <v>2</v>
      </c>
      <c r="DE2" s="389" t="s">
        <v>1</v>
      </c>
      <c r="DF2" s="111" t="s">
        <v>2</v>
      </c>
      <c r="DG2" s="451" t="s">
        <v>1</v>
      </c>
      <c r="DH2" s="430" t="s">
        <v>2</v>
      </c>
      <c r="DI2" s="389" t="s">
        <v>1</v>
      </c>
      <c r="DJ2" s="430" t="s">
        <v>2</v>
      </c>
      <c r="DK2" s="389" t="s">
        <v>1</v>
      </c>
      <c r="DL2" s="430" t="s">
        <v>2</v>
      </c>
      <c r="DM2" s="389" t="s">
        <v>1</v>
      </c>
      <c r="DN2" s="430" t="s">
        <v>2</v>
      </c>
      <c r="DO2" s="389" t="s">
        <v>1</v>
      </c>
      <c r="DP2" s="430" t="s">
        <v>2</v>
      </c>
      <c r="DQ2" s="389" t="s">
        <v>1</v>
      </c>
      <c r="DR2" s="430" t="s">
        <v>2</v>
      </c>
      <c r="DS2" s="389" t="s">
        <v>1</v>
      </c>
      <c r="DT2" s="430" t="s">
        <v>2</v>
      </c>
      <c r="DU2" s="389" t="s">
        <v>1</v>
      </c>
      <c r="DV2" s="430" t="s">
        <v>2</v>
      </c>
      <c r="DW2" s="389" t="s">
        <v>1</v>
      </c>
      <c r="DX2" s="430" t="s">
        <v>2</v>
      </c>
      <c r="DY2" s="389" t="s">
        <v>1</v>
      </c>
      <c r="DZ2" s="430" t="s">
        <v>2</v>
      </c>
      <c r="EA2" s="389" t="s">
        <v>1</v>
      </c>
      <c r="EB2" s="430" t="s">
        <v>2</v>
      </c>
      <c r="EC2" s="389" t="s">
        <v>1</v>
      </c>
      <c r="ED2" s="430" t="s">
        <v>2</v>
      </c>
      <c r="EE2" s="389" t="s">
        <v>1</v>
      </c>
      <c r="EF2" s="430" t="s">
        <v>2</v>
      </c>
      <c r="EG2" s="389" t="s">
        <v>1</v>
      </c>
      <c r="EH2" s="498" t="s">
        <v>2</v>
      </c>
      <c r="EI2" s="389" t="s">
        <v>1</v>
      </c>
      <c r="EJ2" s="111" t="s">
        <v>2</v>
      </c>
      <c r="EK2" s="389" t="s">
        <v>1</v>
      </c>
      <c r="EL2" s="498" t="s">
        <v>2</v>
      </c>
      <c r="EM2" s="389" t="s">
        <v>1</v>
      </c>
      <c r="EN2" s="510" t="s">
        <v>2</v>
      </c>
      <c r="EO2" s="389" t="s">
        <v>1</v>
      </c>
      <c r="EP2" s="514" t="s">
        <v>2</v>
      </c>
      <c r="EQ2" s="389" t="s">
        <v>1</v>
      </c>
      <c r="ER2" s="517" t="s">
        <v>2</v>
      </c>
      <c r="ES2" s="389" t="s">
        <v>1</v>
      </c>
      <c r="ET2" s="520" t="s">
        <v>2</v>
      </c>
      <c r="EU2" s="389" t="s">
        <v>1</v>
      </c>
      <c r="EV2" s="523" t="s">
        <v>2</v>
      </c>
      <c r="EW2" s="389" t="s">
        <v>1</v>
      </c>
      <c r="EX2" s="526" t="s">
        <v>2</v>
      </c>
      <c r="EY2" s="389" t="s">
        <v>1</v>
      </c>
      <c r="EZ2" s="529" t="s">
        <v>2</v>
      </c>
      <c r="FA2" s="389" t="s">
        <v>1</v>
      </c>
      <c r="FB2" s="532" t="s">
        <v>2</v>
      </c>
      <c r="FC2" s="389" t="s">
        <v>1</v>
      </c>
      <c r="FD2" s="535" t="s">
        <v>2</v>
      </c>
      <c r="FE2" s="389" t="s">
        <v>1</v>
      </c>
      <c r="FF2" s="535" t="s">
        <v>2</v>
      </c>
      <c r="FG2" s="389" t="s">
        <v>1</v>
      </c>
      <c r="FH2" s="538" t="s">
        <v>2</v>
      </c>
      <c r="FI2" s="389" t="s">
        <v>1</v>
      </c>
      <c r="FJ2" s="542" t="s">
        <v>2</v>
      </c>
      <c r="FK2" s="389" t="s">
        <v>1</v>
      </c>
      <c r="FL2" s="111" t="s">
        <v>2</v>
      </c>
      <c r="FM2" s="389" t="s">
        <v>1</v>
      </c>
      <c r="FN2" s="549" t="s">
        <v>2</v>
      </c>
      <c r="FO2" s="560" t="s">
        <v>1</v>
      </c>
      <c r="FP2" s="561" t="s">
        <v>2</v>
      </c>
      <c r="FQ2" s="563" t="s">
        <v>1</v>
      </c>
      <c r="FR2" s="565" t="s">
        <v>2</v>
      </c>
      <c r="FS2" s="569" t="s">
        <v>1</v>
      </c>
      <c r="FT2" s="571" t="s">
        <v>2</v>
      </c>
      <c r="FU2" s="574" t="s">
        <v>1</v>
      </c>
      <c r="FV2" s="575" t="s">
        <v>2</v>
      </c>
      <c r="FW2" s="577" t="s">
        <v>1</v>
      </c>
      <c r="FX2" s="579" t="s">
        <v>2</v>
      </c>
      <c r="FY2" s="582" t="s">
        <v>1</v>
      </c>
      <c r="FZ2" s="583" t="s">
        <v>2</v>
      </c>
      <c r="GA2" s="585" t="s">
        <v>1</v>
      </c>
      <c r="GB2" s="587" t="s">
        <v>2</v>
      </c>
      <c r="GC2" s="590" t="s">
        <v>1</v>
      </c>
      <c r="GD2" s="592" t="s">
        <v>2</v>
      </c>
      <c r="GE2" s="595" t="s">
        <v>1</v>
      </c>
      <c r="GF2" s="596" t="s">
        <v>2</v>
      </c>
      <c r="GG2" s="598" t="s">
        <v>1</v>
      </c>
      <c r="GH2" s="600" t="s">
        <v>2</v>
      </c>
      <c r="GI2" s="604" t="s">
        <v>1</v>
      </c>
      <c r="GJ2" s="606" t="s">
        <v>2</v>
      </c>
      <c r="GK2" s="604" t="s">
        <v>1</v>
      </c>
      <c r="GL2" s="606" t="s">
        <v>2</v>
      </c>
      <c r="GM2" s="610" t="s">
        <v>1</v>
      </c>
      <c r="GN2" s="612" t="s">
        <v>2</v>
      </c>
      <c r="GO2" s="615" t="s">
        <v>1</v>
      </c>
      <c r="GP2" s="616" t="s">
        <v>2</v>
      </c>
      <c r="GQ2" s="622" t="s">
        <v>1</v>
      </c>
      <c r="GR2" s="111" t="s">
        <v>2</v>
      </c>
      <c r="GS2" s="635" t="s">
        <v>1</v>
      </c>
      <c r="GT2" s="635" t="s">
        <v>2</v>
      </c>
      <c r="GU2" s="628" t="s">
        <v>1</v>
      </c>
      <c r="GV2" s="629" t="s">
        <v>2</v>
      </c>
      <c r="GW2" s="631" t="s">
        <v>1</v>
      </c>
      <c r="GX2" s="635" t="s">
        <v>2</v>
      </c>
      <c r="GY2" s="639" t="s">
        <v>1</v>
      </c>
      <c r="GZ2" s="641" t="s">
        <v>2</v>
      </c>
      <c r="HA2" s="644" t="s">
        <v>1</v>
      </c>
      <c r="HB2" s="645" t="s">
        <v>2</v>
      </c>
      <c r="HC2" s="656" t="s">
        <v>1</v>
      </c>
      <c r="HD2" s="111" t="s">
        <v>2</v>
      </c>
      <c r="HE2" s="656" t="s">
        <v>1</v>
      </c>
      <c r="HF2" s="657" t="s">
        <v>2</v>
      </c>
      <c r="HG2" s="656" t="s">
        <v>1</v>
      </c>
      <c r="HH2" s="657" t="s">
        <v>2</v>
      </c>
      <c r="HI2" s="667" t="s">
        <v>1</v>
      </c>
      <c r="HJ2" s="671" t="s">
        <v>2</v>
      </c>
      <c r="HK2" s="675" t="s">
        <v>1</v>
      </c>
      <c r="HL2" s="676" t="s">
        <v>2</v>
      </c>
      <c r="HM2" s="678" t="s">
        <v>1</v>
      </c>
      <c r="HN2" s="680" t="s">
        <v>2</v>
      </c>
      <c r="HO2" s="684" t="s">
        <v>1</v>
      </c>
      <c r="HP2" s="686" t="s">
        <v>2</v>
      </c>
      <c r="HQ2" s="688" t="s">
        <v>1</v>
      </c>
      <c r="HR2" s="111" t="s">
        <v>2</v>
      </c>
      <c r="HS2" s="690" t="s">
        <v>1</v>
      </c>
      <c r="HT2" s="694" t="s">
        <v>2</v>
      </c>
      <c r="HU2" s="698" t="s">
        <v>1</v>
      </c>
      <c r="HV2" s="699" t="s">
        <v>2</v>
      </c>
      <c r="HW2" s="702" t="s">
        <v>1</v>
      </c>
      <c r="HX2" s="704" t="s">
        <v>2</v>
      </c>
      <c r="HY2" s="707" t="s">
        <v>1</v>
      </c>
      <c r="HZ2" s="708" t="s">
        <v>2</v>
      </c>
      <c r="IA2" s="710" t="s">
        <v>1</v>
      </c>
      <c r="IB2" s="714" t="s">
        <v>2</v>
      </c>
      <c r="IC2" s="710" t="s">
        <v>1</v>
      </c>
      <c r="ID2" s="714" t="s">
        <v>2</v>
      </c>
      <c r="IE2" s="710" t="s">
        <v>1</v>
      </c>
      <c r="IF2" s="714" t="s">
        <v>2</v>
      </c>
      <c r="IG2" s="710" t="s">
        <v>1</v>
      </c>
      <c r="IH2" s="714" t="s">
        <v>2</v>
      </c>
      <c r="II2" s="710" t="s">
        <v>1</v>
      </c>
      <c r="IJ2" s="714" t="s">
        <v>2</v>
      </c>
      <c r="IK2" s="710" t="s">
        <v>1</v>
      </c>
      <c r="IL2" s="714" t="s">
        <v>2</v>
      </c>
    </row>
    <row r="3" spans="2:246" x14ac:dyDescent="0.25">
      <c r="B3" s="799" t="s">
        <v>18</v>
      </c>
      <c r="C3" s="801" t="s">
        <v>58</v>
      </c>
      <c r="D3" s="775">
        <v>0.6</v>
      </c>
      <c r="E3" s="90">
        <v>3.67</v>
      </c>
      <c r="F3" s="75">
        <v>1</v>
      </c>
      <c r="G3" s="90">
        <v>-0.22999999999999998</v>
      </c>
      <c r="H3" s="75">
        <v>0.5</v>
      </c>
      <c r="I3" s="90">
        <v>4.8699999999999992</v>
      </c>
      <c r="J3" s="75">
        <v>1</v>
      </c>
      <c r="K3" s="90">
        <v>3.4299999999999997</v>
      </c>
      <c r="L3" s="75">
        <v>1</v>
      </c>
      <c r="M3" s="90">
        <v>3.13</v>
      </c>
      <c r="N3" s="75">
        <v>0.8</v>
      </c>
      <c r="O3" s="90">
        <v>-0.64999999999999991</v>
      </c>
      <c r="P3" s="75">
        <v>0.5</v>
      </c>
      <c r="Q3" s="90">
        <v>-3.2300000000000009</v>
      </c>
      <c r="R3" s="75">
        <v>0.33333333333333331</v>
      </c>
      <c r="S3" s="90">
        <v>-4.3500000000000005</v>
      </c>
      <c r="T3" s="75">
        <v>0.25</v>
      </c>
      <c r="U3" s="90">
        <v>-3.7600000000000011</v>
      </c>
      <c r="V3" s="75">
        <v>0.42857142857142855</v>
      </c>
      <c r="W3" s="90">
        <v>2.9399999999999995</v>
      </c>
      <c r="X3" s="75">
        <v>0.7142857142857143</v>
      </c>
      <c r="Y3" s="90">
        <v>2.8100000000000005</v>
      </c>
      <c r="Z3" s="75">
        <v>0.8571428571428571</v>
      </c>
      <c r="AA3" s="90">
        <v>-7.1899999999999995</v>
      </c>
      <c r="AB3" s="75">
        <v>0.33333333333333331</v>
      </c>
      <c r="AC3" s="90">
        <v>-4.1999999999999984</v>
      </c>
      <c r="AD3" s="75">
        <v>0.625</v>
      </c>
      <c r="AE3" s="90">
        <v>-3.56</v>
      </c>
      <c r="AF3" s="75">
        <v>0</v>
      </c>
      <c r="AG3" s="90">
        <v>2.44</v>
      </c>
      <c r="AH3" s="75">
        <v>1</v>
      </c>
      <c r="AI3" s="90">
        <v>4.0600000000000005</v>
      </c>
      <c r="AJ3" s="75">
        <v>1</v>
      </c>
      <c r="AK3" s="90">
        <v>4.09</v>
      </c>
      <c r="AL3" s="75">
        <v>1</v>
      </c>
      <c r="AM3" s="90">
        <v>-4.5500000000000007</v>
      </c>
      <c r="AN3" s="75">
        <v>0.5</v>
      </c>
      <c r="AO3" s="90">
        <v>4.2699999999999996</v>
      </c>
      <c r="AP3" s="75">
        <v>0.83333333333333337</v>
      </c>
      <c r="AQ3" s="90">
        <v>4.0599999999999996</v>
      </c>
      <c r="AR3" s="75">
        <v>1</v>
      </c>
      <c r="AS3" s="90">
        <v>1.21</v>
      </c>
      <c r="AT3" s="75">
        <v>0.5</v>
      </c>
      <c r="AU3" s="90">
        <v>-28.220000000000002</v>
      </c>
      <c r="AV3" s="75">
        <v>0.66666666666666663</v>
      </c>
      <c r="AW3" s="90">
        <v>18.239999999999998</v>
      </c>
      <c r="AX3" s="75">
        <v>1</v>
      </c>
      <c r="AY3" s="90">
        <v>20.03</v>
      </c>
      <c r="AZ3" s="75">
        <v>0.83333333333333337</v>
      </c>
      <c r="BA3" s="90">
        <v>-60.23</v>
      </c>
      <c r="BB3" s="75">
        <v>0</v>
      </c>
      <c r="BC3" s="90">
        <v>3.919999999999999</v>
      </c>
      <c r="BD3" s="75">
        <v>0.83333333333333337</v>
      </c>
      <c r="BE3" s="90">
        <v>-60.92</v>
      </c>
      <c r="BF3" s="75">
        <v>0.5</v>
      </c>
      <c r="BG3" s="90">
        <v>20.82</v>
      </c>
      <c r="BH3" s="75">
        <v>1</v>
      </c>
      <c r="BI3" s="90">
        <v>-60.16</v>
      </c>
      <c r="BJ3" s="75">
        <v>0.4</v>
      </c>
      <c r="BK3" s="90">
        <v>20.39</v>
      </c>
      <c r="BL3" s="75">
        <v>0.8</v>
      </c>
      <c r="BM3" s="90">
        <v>-37.160000000000004</v>
      </c>
      <c r="BN3" s="75">
        <v>0.33333333333333331</v>
      </c>
      <c r="BO3" s="90">
        <v>20.53</v>
      </c>
      <c r="BP3" s="75">
        <v>0.8</v>
      </c>
      <c r="BQ3" s="90">
        <v>15.709999999999997</v>
      </c>
      <c r="BR3" s="75">
        <v>0.625</v>
      </c>
      <c r="BS3" s="90">
        <v>20.49</v>
      </c>
      <c r="BT3" s="75">
        <v>0.8</v>
      </c>
      <c r="BU3" s="90">
        <v>-25.070000000000007</v>
      </c>
      <c r="BV3" s="75">
        <v>0.33333333333333331</v>
      </c>
      <c r="BW3" s="90">
        <v>17.810000000000002</v>
      </c>
      <c r="BX3" s="75">
        <v>0.75</v>
      </c>
      <c r="BY3" s="90">
        <v>-11.430000000000003</v>
      </c>
      <c r="BZ3" s="75">
        <v>0.33333333333333331</v>
      </c>
      <c r="CA3" s="90">
        <v>-56.610000000000007</v>
      </c>
      <c r="CB3" s="75">
        <v>0.16666666666666666</v>
      </c>
      <c r="CC3" s="90">
        <v>19.86</v>
      </c>
      <c r="CD3" s="75">
        <v>0.8571428571428571</v>
      </c>
      <c r="CE3" s="90">
        <v>-35.140000000000008</v>
      </c>
      <c r="CF3" s="75">
        <v>0.13333333333333333</v>
      </c>
      <c r="CG3" s="90"/>
      <c r="CH3" s="75"/>
      <c r="CI3" s="90">
        <v>-15.110000000000005</v>
      </c>
      <c r="CJ3" s="75">
        <v>0.44444444444444442</v>
      </c>
      <c r="CK3" s="90">
        <v>19.759999999999998</v>
      </c>
      <c r="CL3" s="75">
        <v>1</v>
      </c>
      <c r="CM3" s="90">
        <v>14.640000000000002</v>
      </c>
      <c r="CN3" s="75">
        <v>0.8</v>
      </c>
      <c r="CO3" s="90">
        <v>-42.09</v>
      </c>
      <c r="CP3" s="75">
        <v>0.33333333333333331</v>
      </c>
      <c r="CQ3" s="90">
        <v>20.04</v>
      </c>
      <c r="CR3" s="75">
        <v>1</v>
      </c>
      <c r="CS3" s="90">
        <v>-1.6600000000000008</v>
      </c>
      <c r="CT3" s="75">
        <v>0.63636363636363635</v>
      </c>
      <c r="CU3" s="90">
        <v>-3.9899999999999967</v>
      </c>
      <c r="CV3" s="75">
        <v>0.55555555555555558</v>
      </c>
      <c r="CW3" s="90">
        <v>20.059999999999999</v>
      </c>
      <c r="CX3" s="75">
        <v>1</v>
      </c>
      <c r="CY3" s="90">
        <v>-60.330000000000013</v>
      </c>
      <c r="CZ3" s="75">
        <v>0.4</v>
      </c>
      <c r="DA3" s="90">
        <v>0.25000000000000266</v>
      </c>
      <c r="DB3" s="75">
        <v>0.55555555555555558</v>
      </c>
      <c r="DC3" s="90">
        <v>-59.910000000000011</v>
      </c>
      <c r="DD3" s="434">
        <v>0.25</v>
      </c>
      <c r="DE3" s="90">
        <v>7.6400000000000006</v>
      </c>
      <c r="DF3" s="453">
        <v>1</v>
      </c>
      <c r="DG3" s="90">
        <v>7.2</v>
      </c>
      <c r="DH3" s="75">
        <v>1</v>
      </c>
      <c r="DI3" s="74"/>
      <c r="DJ3" s="75"/>
      <c r="DK3" s="74">
        <v>-10.33</v>
      </c>
      <c r="DL3" s="75">
        <v>0.5</v>
      </c>
      <c r="DM3" s="74">
        <v>1.21</v>
      </c>
      <c r="DN3" s="75">
        <v>0.6</v>
      </c>
      <c r="DO3" s="74"/>
      <c r="DP3" s="75"/>
      <c r="DQ3" s="74">
        <v>-5.0500000000000007</v>
      </c>
      <c r="DR3" s="75">
        <v>0</v>
      </c>
      <c r="DS3" s="74">
        <v>-0.68000000000000149</v>
      </c>
      <c r="DT3" s="75">
        <v>0.33333333333333331</v>
      </c>
      <c r="DU3" s="74">
        <v>0.34999999999999787</v>
      </c>
      <c r="DV3" s="75">
        <v>0.75</v>
      </c>
      <c r="DW3" s="74">
        <v>2.5199999999999978</v>
      </c>
      <c r="DX3" s="75">
        <v>0.5</v>
      </c>
      <c r="DY3" s="74">
        <v>-32.29</v>
      </c>
      <c r="DZ3" s="75">
        <v>0</v>
      </c>
      <c r="EA3" s="74">
        <v>-15.17</v>
      </c>
      <c r="EB3" s="75">
        <v>0</v>
      </c>
      <c r="EC3" s="74">
        <v>9.6199999999999992</v>
      </c>
      <c r="ED3" s="75">
        <v>1</v>
      </c>
      <c r="EE3" s="74"/>
      <c r="EF3" s="75"/>
      <c r="EG3" s="74"/>
      <c r="EH3" s="512"/>
      <c r="EI3" s="74">
        <v>-30.32</v>
      </c>
      <c r="EJ3" s="453">
        <v>0</v>
      </c>
      <c r="EK3" s="74"/>
      <c r="EL3" s="512"/>
      <c r="EM3" s="74"/>
      <c r="EN3" s="512"/>
      <c r="EO3" s="74"/>
      <c r="EP3" s="512"/>
      <c r="EQ3" s="74"/>
      <c r="ER3" s="512"/>
      <c r="ES3" s="74"/>
      <c r="ET3" s="512"/>
      <c r="EU3" s="74">
        <v>-15.23</v>
      </c>
      <c r="EV3" s="512">
        <v>0</v>
      </c>
      <c r="EW3" s="74"/>
      <c r="EX3" s="512"/>
      <c r="EY3" s="74"/>
      <c r="EZ3" s="512"/>
      <c r="FA3" s="74"/>
      <c r="FB3" s="512"/>
      <c r="FC3" s="74"/>
      <c r="FD3" s="512"/>
      <c r="FE3" s="74">
        <v>-15.6</v>
      </c>
      <c r="FF3" s="512">
        <v>0</v>
      </c>
      <c r="FG3" s="74">
        <v>6.56</v>
      </c>
      <c r="FH3" s="512">
        <v>0.5</v>
      </c>
      <c r="FI3" s="74">
        <v>-5.56</v>
      </c>
      <c r="FJ3" s="512">
        <v>0</v>
      </c>
      <c r="FK3" s="74"/>
      <c r="FL3" s="453"/>
      <c r="FM3" s="74">
        <v>9.14</v>
      </c>
      <c r="FN3" s="512">
        <v>1</v>
      </c>
      <c r="FO3" s="74">
        <v>1.8899999999999988</v>
      </c>
      <c r="FP3" s="512">
        <v>0.66666666666666663</v>
      </c>
      <c r="FQ3" s="74">
        <v>-6.5499999999999989</v>
      </c>
      <c r="FR3" s="512">
        <v>0.25</v>
      </c>
      <c r="FS3" s="74">
        <v>-16.240000000000002</v>
      </c>
      <c r="FT3" s="512">
        <v>0.33333333333333331</v>
      </c>
      <c r="FU3" s="74">
        <v>5.3400000000000007</v>
      </c>
      <c r="FV3" s="512">
        <v>0.75</v>
      </c>
      <c r="FW3" s="74">
        <v>5.92</v>
      </c>
      <c r="FX3" s="512">
        <v>0.5</v>
      </c>
      <c r="FY3" s="74"/>
      <c r="FZ3" s="512"/>
      <c r="GA3" s="74">
        <v>0.8</v>
      </c>
      <c r="GB3" s="512">
        <v>1</v>
      </c>
      <c r="GC3" s="74"/>
      <c r="GD3" s="512"/>
      <c r="GE3" s="74">
        <v>2.89</v>
      </c>
      <c r="GF3" s="512">
        <v>1</v>
      </c>
      <c r="GG3" s="74">
        <v>-34.770000000000003</v>
      </c>
      <c r="GH3" s="512">
        <v>0</v>
      </c>
      <c r="GI3" s="74">
        <v>-6.41</v>
      </c>
      <c r="GJ3" s="512">
        <v>0.5</v>
      </c>
      <c r="GK3" s="74">
        <v>-40.42</v>
      </c>
      <c r="GL3" s="512">
        <v>0.2</v>
      </c>
      <c r="GM3" s="74">
        <v>-5.7099999999999991</v>
      </c>
      <c r="GN3" s="512">
        <v>0.5</v>
      </c>
      <c r="GO3" s="74">
        <v>-15.96</v>
      </c>
      <c r="GP3" s="512">
        <v>0.25</v>
      </c>
      <c r="GQ3" s="74">
        <v>8.9499999999999993</v>
      </c>
      <c r="GR3" s="453">
        <v>1</v>
      </c>
      <c r="GS3" s="90">
        <v>-17.149999999999999</v>
      </c>
      <c r="GT3" s="512">
        <v>0.33333333333333331</v>
      </c>
      <c r="GU3" s="74">
        <v>-5.92</v>
      </c>
      <c r="GV3" s="512">
        <v>0.5</v>
      </c>
      <c r="GW3" s="74">
        <v>9.31</v>
      </c>
      <c r="GX3" s="512">
        <v>1</v>
      </c>
      <c r="GY3" s="74"/>
      <c r="GZ3" s="512"/>
      <c r="HA3" s="74"/>
      <c r="HB3" s="512"/>
      <c r="HC3" s="74">
        <v>-30.17</v>
      </c>
      <c r="HD3" s="453">
        <v>0</v>
      </c>
      <c r="HE3" s="74"/>
      <c r="HF3" s="512"/>
      <c r="HG3" s="74">
        <v>-3.25</v>
      </c>
      <c r="HH3" s="512">
        <v>0.5</v>
      </c>
      <c r="HI3" s="74">
        <v>8.8000000000000007</v>
      </c>
      <c r="HJ3" s="512">
        <v>1</v>
      </c>
      <c r="HK3" s="74"/>
      <c r="HL3" s="512"/>
      <c r="HM3" s="74">
        <v>8.9</v>
      </c>
      <c r="HN3" s="512">
        <v>1</v>
      </c>
      <c r="HO3" s="74">
        <v>9.06</v>
      </c>
      <c r="HP3" s="512">
        <v>1</v>
      </c>
      <c r="HQ3" s="74">
        <v>1.42</v>
      </c>
      <c r="HR3" s="453">
        <v>1</v>
      </c>
      <c r="HS3" s="74">
        <v>-13.69</v>
      </c>
      <c r="HT3" s="512">
        <v>0</v>
      </c>
      <c r="HU3" s="74">
        <v>9.81</v>
      </c>
      <c r="HV3" s="512">
        <v>1</v>
      </c>
      <c r="HW3" s="74">
        <v>-12.43</v>
      </c>
      <c r="HX3" s="512">
        <v>0</v>
      </c>
      <c r="HY3" s="74">
        <v>-12.42</v>
      </c>
      <c r="HZ3" s="512">
        <v>0</v>
      </c>
      <c r="IA3" s="74">
        <v>11.2</v>
      </c>
      <c r="IB3" s="512">
        <v>1</v>
      </c>
      <c r="IC3" s="74">
        <v>-8.2800000000000011</v>
      </c>
      <c r="ID3" s="512">
        <v>0</v>
      </c>
      <c r="IE3" s="74">
        <v>9.2799999999999994</v>
      </c>
      <c r="IF3" s="512">
        <v>1</v>
      </c>
      <c r="IG3" s="74">
        <v>9.27</v>
      </c>
      <c r="IH3" s="512">
        <v>1</v>
      </c>
      <c r="II3" s="74">
        <v>-9.32</v>
      </c>
      <c r="IJ3" s="512">
        <v>0</v>
      </c>
      <c r="IK3" s="74">
        <v>-4.59</v>
      </c>
      <c r="IL3" s="512">
        <v>0</v>
      </c>
    </row>
    <row r="4" spans="2:246" x14ac:dyDescent="0.25">
      <c r="B4" s="800"/>
      <c r="C4" s="802"/>
      <c r="D4" s="750"/>
      <c r="E4" s="73"/>
      <c r="F4" s="77">
        <v>0.60000000000000009</v>
      </c>
      <c r="G4" s="73"/>
      <c r="H4" s="77">
        <v>0.4</v>
      </c>
      <c r="I4" s="73"/>
      <c r="J4" s="77">
        <v>0.8</v>
      </c>
      <c r="K4" s="73"/>
      <c r="L4" s="77">
        <v>0.60000000000000009</v>
      </c>
      <c r="M4" s="73"/>
      <c r="N4" s="77">
        <v>1</v>
      </c>
      <c r="O4" s="73"/>
      <c r="P4" s="77">
        <v>0.4</v>
      </c>
      <c r="Q4" s="73"/>
      <c r="R4" s="77">
        <v>1.2</v>
      </c>
      <c r="S4" s="73"/>
      <c r="T4" s="77">
        <v>0.8</v>
      </c>
      <c r="U4" s="73"/>
      <c r="V4" s="77">
        <v>1.4</v>
      </c>
      <c r="W4" s="73"/>
      <c r="X4" s="77">
        <v>1.4</v>
      </c>
      <c r="Y4" s="73"/>
      <c r="Z4" s="77">
        <v>1.4</v>
      </c>
      <c r="AA4" s="73"/>
      <c r="AB4" s="77">
        <v>1.2</v>
      </c>
      <c r="AC4" s="73"/>
      <c r="AD4" s="77">
        <v>1.5999999999999999</v>
      </c>
      <c r="AE4" s="73"/>
      <c r="AF4" s="77">
        <v>0.2</v>
      </c>
      <c r="AG4" s="73"/>
      <c r="AH4" s="77">
        <v>0.4</v>
      </c>
      <c r="AI4" s="73"/>
      <c r="AJ4" s="77">
        <v>0.8</v>
      </c>
      <c r="AK4" s="73"/>
      <c r="AL4" s="77">
        <v>0.8</v>
      </c>
      <c r="AM4" s="73"/>
      <c r="AN4" s="77">
        <v>1.9999999999999998</v>
      </c>
      <c r="AO4" s="73"/>
      <c r="AP4" s="77">
        <v>1.2</v>
      </c>
      <c r="AQ4" s="73"/>
      <c r="AR4" s="77">
        <v>0.8</v>
      </c>
      <c r="AS4" s="73"/>
      <c r="AT4" s="77">
        <v>0.8</v>
      </c>
      <c r="AU4" s="73"/>
      <c r="AV4" s="77">
        <v>6</v>
      </c>
      <c r="AW4" s="73"/>
      <c r="AX4" s="77">
        <v>3</v>
      </c>
      <c r="AY4" s="73"/>
      <c r="AZ4" s="77">
        <v>6</v>
      </c>
      <c r="BA4" s="73"/>
      <c r="BB4" s="77">
        <v>3</v>
      </c>
      <c r="BC4" s="73"/>
      <c r="BD4" s="77">
        <v>6</v>
      </c>
      <c r="BE4" s="73"/>
      <c r="BF4" s="77">
        <v>6</v>
      </c>
      <c r="BG4" s="73"/>
      <c r="BH4" s="77">
        <v>4</v>
      </c>
      <c r="BI4" s="73"/>
      <c r="BJ4" s="77">
        <v>5</v>
      </c>
      <c r="BK4" s="73"/>
      <c r="BL4" s="77">
        <v>3</v>
      </c>
      <c r="BM4" s="73"/>
      <c r="BN4" s="77">
        <v>3.6</v>
      </c>
      <c r="BO4" s="73"/>
      <c r="BP4" s="77">
        <v>3</v>
      </c>
      <c r="BQ4" s="73"/>
      <c r="BR4" s="77">
        <v>4.8</v>
      </c>
      <c r="BS4" s="73"/>
      <c r="BT4" s="77">
        <v>3</v>
      </c>
      <c r="BU4" s="73"/>
      <c r="BV4" s="77">
        <v>7.1999999999999984</v>
      </c>
      <c r="BW4" s="73"/>
      <c r="BX4" s="77">
        <v>2.4</v>
      </c>
      <c r="BY4" s="73"/>
      <c r="BZ4" s="77">
        <v>1.7999999999999998</v>
      </c>
      <c r="CA4" s="73"/>
      <c r="CB4" s="77">
        <v>3.6</v>
      </c>
      <c r="CC4" s="73"/>
      <c r="CD4" s="77">
        <v>4.2</v>
      </c>
      <c r="CE4" s="73"/>
      <c r="CF4" s="77">
        <v>8.9999999999999982</v>
      </c>
      <c r="CG4" s="73"/>
      <c r="CH4" s="77"/>
      <c r="CI4" s="73"/>
      <c r="CJ4" s="77">
        <v>5.3999999999999995</v>
      </c>
      <c r="CK4" s="73"/>
      <c r="CL4" s="77">
        <v>2.4</v>
      </c>
      <c r="CM4" s="73"/>
      <c r="CN4" s="77">
        <v>3</v>
      </c>
      <c r="CO4" s="73"/>
      <c r="CP4" s="77">
        <v>3.6</v>
      </c>
      <c r="CQ4" s="73"/>
      <c r="CR4" s="77">
        <v>3</v>
      </c>
      <c r="CS4" s="73"/>
      <c r="CT4" s="77">
        <v>6.5999999999999988</v>
      </c>
      <c r="CU4" s="73"/>
      <c r="CV4" s="77">
        <v>5.3999999999999995</v>
      </c>
      <c r="CW4" s="73"/>
      <c r="CX4" s="77">
        <v>3</v>
      </c>
      <c r="CY4" s="73"/>
      <c r="CZ4" s="77">
        <v>5.9999999999999991</v>
      </c>
      <c r="DA4" s="73"/>
      <c r="DB4" s="77">
        <v>5.3999999999999995</v>
      </c>
      <c r="DC4" s="73"/>
      <c r="DD4" s="435">
        <v>4.8</v>
      </c>
      <c r="DE4" s="73"/>
      <c r="DF4" s="454">
        <v>0.6</v>
      </c>
      <c r="DG4" s="73"/>
      <c r="DH4" s="77">
        <v>0.6</v>
      </c>
      <c r="DI4" s="442"/>
      <c r="DJ4" s="77"/>
      <c r="DK4" s="442"/>
      <c r="DL4" s="77">
        <v>1.6</v>
      </c>
      <c r="DM4" s="442"/>
      <c r="DN4" s="77">
        <v>4</v>
      </c>
      <c r="DO4" s="442"/>
      <c r="DP4" s="77"/>
      <c r="DQ4" s="442"/>
      <c r="DR4" s="77">
        <v>1.6</v>
      </c>
      <c r="DS4" s="442"/>
      <c r="DT4" s="77">
        <v>2.4000000000000004</v>
      </c>
      <c r="DU4" s="442"/>
      <c r="DV4" s="77">
        <v>4</v>
      </c>
      <c r="DW4" s="442"/>
      <c r="DX4" s="77">
        <v>4</v>
      </c>
      <c r="DY4" s="442"/>
      <c r="DZ4" s="77">
        <v>2</v>
      </c>
      <c r="EA4" s="442"/>
      <c r="EB4" s="77">
        <v>1</v>
      </c>
      <c r="EC4" s="442"/>
      <c r="ED4" s="77">
        <v>1</v>
      </c>
      <c r="EE4" s="442"/>
      <c r="EF4" s="77"/>
      <c r="EG4" s="442"/>
      <c r="EH4" s="497"/>
      <c r="EI4" s="442"/>
      <c r="EJ4" s="454">
        <v>2</v>
      </c>
      <c r="EK4" s="442"/>
      <c r="EL4" s="497"/>
      <c r="EM4" s="442"/>
      <c r="EN4" s="509"/>
      <c r="EO4" s="442"/>
      <c r="EP4" s="513"/>
      <c r="EQ4" s="442"/>
      <c r="ER4" s="516"/>
      <c r="ES4" s="442"/>
      <c r="ET4" s="519"/>
      <c r="EU4" s="442"/>
      <c r="EV4" s="522">
        <v>1</v>
      </c>
      <c r="EW4" s="442"/>
      <c r="EX4" s="525"/>
      <c r="EY4" s="442"/>
      <c r="EZ4" s="528"/>
      <c r="FA4" s="442"/>
      <c r="FB4" s="531"/>
      <c r="FC4" s="442"/>
      <c r="FD4" s="534"/>
      <c r="FE4" s="442"/>
      <c r="FF4" s="534">
        <v>1</v>
      </c>
      <c r="FG4" s="442"/>
      <c r="FH4" s="537">
        <v>2</v>
      </c>
      <c r="FI4" s="442"/>
      <c r="FJ4" s="541">
        <v>1</v>
      </c>
      <c r="FK4" s="442"/>
      <c r="FL4" s="454"/>
      <c r="FM4" s="442"/>
      <c r="FN4" s="546">
        <v>1</v>
      </c>
      <c r="FO4" s="442"/>
      <c r="FP4" s="559">
        <v>3</v>
      </c>
      <c r="FQ4" s="442"/>
      <c r="FR4" s="564">
        <v>4</v>
      </c>
      <c r="FS4" s="442"/>
      <c r="FT4" s="570">
        <v>3</v>
      </c>
      <c r="FU4" s="442"/>
      <c r="FV4" s="573">
        <v>4</v>
      </c>
      <c r="FW4" s="442"/>
      <c r="FX4" s="578">
        <v>2</v>
      </c>
      <c r="FY4" s="442"/>
      <c r="FZ4" s="581"/>
      <c r="GA4" s="442"/>
      <c r="GB4" s="586">
        <v>1</v>
      </c>
      <c r="GC4" s="442"/>
      <c r="GD4" s="591"/>
      <c r="GE4" s="442"/>
      <c r="GF4" s="594">
        <v>1</v>
      </c>
      <c r="GG4" s="442"/>
      <c r="GH4" s="599">
        <v>3</v>
      </c>
      <c r="GI4" s="442"/>
      <c r="GJ4" s="605">
        <v>2</v>
      </c>
      <c r="GK4" s="442"/>
      <c r="GL4" s="605">
        <v>5</v>
      </c>
      <c r="GM4" s="442"/>
      <c r="GN4" s="611">
        <v>2</v>
      </c>
      <c r="GO4" s="442"/>
      <c r="GP4" s="614">
        <v>4</v>
      </c>
      <c r="GQ4" s="442"/>
      <c r="GR4" s="454">
        <v>1</v>
      </c>
      <c r="GS4" s="73"/>
      <c r="GT4" s="632">
        <v>3</v>
      </c>
      <c r="GU4" s="442"/>
      <c r="GV4" s="627">
        <v>2</v>
      </c>
      <c r="GW4" s="442"/>
      <c r="GX4" s="632">
        <v>1</v>
      </c>
      <c r="GY4" s="442"/>
      <c r="GZ4" s="640"/>
      <c r="HA4" s="442"/>
      <c r="HB4" s="643"/>
      <c r="HC4" s="442"/>
      <c r="HD4" s="454">
        <v>2</v>
      </c>
      <c r="HE4" s="442"/>
      <c r="HF4" s="655"/>
      <c r="HG4" s="442"/>
      <c r="HH4" s="655">
        <v>2</v>
      </c>
      <c r="HI4" s="442"/>
      <c r="HJ4" s="668">
        <v>1</v>
      </c>
      <c r="HK4" s="442"/>
      <c r="HL4" s="674"/>
      <c r="HM4" s="442"/>
      <c r="HN4" s="679">
        <v>1</v>
      </c>
      <c r="HO4" s="442"/>
      <c r="HP4" s="685">
        <v>1</v>
      </c>
      <c r="HQ4" s="442"/>
      <c r="HR4" s="454">
        <v>1</v>
      </c>
      <c r="HS4" s="442"/>
      <c r="HT4" s="692">
        <v>0.4</v>
      </c>
      <c r="HU4" s="442"/>
      <c r="HV4" s="697">
        <v>0.4</v>
      </c>
      <c r="HW4" s="442"/>
      <c r="HX4" s="703">
        <v>0.4</v>
      </c>
      <c r="HY4" s="442"/>
      <c r="HZ4" s="706">
        <v>0.4</v>
      </c>
      <c r="IA4" s="442"/>
      <c r="IB4" s="711">
        <v>0.6</v>
      </c>
      <c r="IC4" s="442"/>
      <c r="ID4" s="711">
        <v>0.3</v>
      </c>
      <c r="IE4" s="442"/>
      <c r="IF4" s="711">
        <v>0.3</v>
      </c>
      <c r="IG4" s="442"/>
      <c r="IH4" s="711">
        <v>0.3</v>
      </c>
      <c r="II4" s="442"/>
      <c r="IJ4" s="711">
        <v>0.3</v>
      </c>
      <c r="IK4" s="442"/>
      <c r="IL4" s="711">
        <v>0.3</v>
      </c>
    </row>
    <row r="5" spans="2:246" x14ac:dyDescent="0.25">
      <c r="AV5" s="329">
        <v>2.7</v>
      </c>
      <c r="AW5" s="329"/>
      <c r="AX5" s="329">
        <v>1.35</v>
      </c>
      <c r="AY5" s="329"/>
      <c r="AZ5" s="329">
        <v>0.53</v>
      </c>
      <c r="BA5" s="329"/>
      <c r="BB5" s="329">
        <v>1.22</v>
      </c>
      <c r="BC5" s="329"/>
      <c r="BD5" s="329">
        <v>1.5</v>
      </c>
      <c r="BE5" s="329"/>
      <c r="BF5" s="329">
        <v>1.85</v>
      </c>
      <c r="BG5" s="329"/>
      <c r="BH5" s="329">
        <v>0.5</v>
      </c>
      <c r="BI5" s="329"/>
      <c r="BJ5" s="329">
        <v>1.5</v>
      </c>
      <c r="BK5" s="330"/>
      <c r="BL5" s="330">
        <v>1.32</v>
      </c>
      <c r="BM5" s="332"/>
      <c r="BN5" s="332">
        <v>1.32</v>
      </c>
      <c r="BO5" s="338"/>
      <c r="BP5" s="338">
        <v>0.85</v>
      </c>
      <c r="BQ5" s="348"/>
      <c r="BR5" s="348">
        <v>0.59</v>
      </c>
      <c r="BS5" s="351"/>
      <c r="BT5" s="351">
        <v>1.0449999999999999</v>
      </c>
      <c r="BU5" s="355"/>
      <c r="BV5" s="355">
        <v>0.73</v>
      </c>
      <c r="BW5" s="359"/>
      <c r="BX5" s="359">
        <v>0.753</v>
      </c>
      <c r="BY5" s="381"/>
      <c r="BZ5" s="387">
        <v>0.57399999999999995</v>
      </c>
      <c r="CA5" s="381"/>
      <c r="CB5" s="381">
        <v>0.51</v>
      </c>
      <c r="CC5" s="370"/>
      <c r="CD5" s="370">
        <v>0.63900000000000001</v>
      </c>
      <c r="CE5" s="377"/>
      <c r="CF5" s="377">
        <v>1.0940000000000001</v>
      </c>
      <c r="CG5" s="377"/>
      <c r="CH5" s="377"/>
      <c r="CI5" s="383"/>
      <c r="CJ5" s="383">
        <v>0.74399999999999999</v>
      </c>
      <c r="CK5" s="394"/>
      <c r="CL5" s="394">
        <v>0.46400000000000002</v>
      </c>
      <c r="CM5" s="397"/>
      <c r="CN5" s="397">
        <v>0.5</v>
      </c>
      <c r="CO5" s="401"/>
      <c r="CP5" s="401">
        <v>0.49</v>
      </c>
      <c r="CQ5" s="401"/>
      <c r="CR5" s="401">
        <v>0.16400000000000001</v>
      </c>
      <c r="CS5" s="409"/>
      <c r="CT5" s="409">
        <v>0.3</v>
      </c>
      <c r="CU5" s="409"/>
      <c r="CV5" s="409">
        <v>0.45</v>
      </c>
      <c r="CW5" s="414"/>
      <c r="CX5" s="414">
        <v>0.19800000000000001</v>
      </c>
      <c r="CY5" s="419"/>
      <c r="CZ5" s="419">
        <v>0.54300000000000004</v>
      </c>
      <c r="DA5" s="421"/>
      <c r="DB5" s="421">
        <v>1.0720000000000001</v>
      </c>
      <c r="DC5" s="429"/>
      <c r="DD5" s="429">
        <v>0.34899999999999998</v>
      </c>
      <c r="DE5" s="432"/>
      <c r="DF5" s="111">
        <v>0.318</v>
      </c>
      <c r="DG5" s="451"/>
      <c r="DH5" s="439">
        <v>0.317</v>
      </c>
      <c r="DI5" s="389"/>
      <c r="DJ5" s="430">
        <v>0.82899999999999996</v>
      </c>
      <c r="DK5" s="389"/>
      <c r="DL5" s="451">
        <v>0.57199999999999995</v>
      </c>
      <c r="DM5" s="389"/>
      <c r="DN5" s="456">
        <v>0.41299999999999998</v>
      </c>
      <c r="DO5" s="389"/>
      <c r="DP5" s="458">
        <v>0.54100000000000004</v>
      </c>
      <c r="DQ5" s="389"/>
      <c r="DR5" s="460">
        <v>0.36</v>
      </c>
      <c r="DS5" s="389"/>
      <c r="DT5" s="462">
        <v>0.47</v>
      </c>
      <c r="DU5" s="389"/>
      <c r="DV5" s="430">
        <v>0.47</v>
      </c>
      <c r="DW5" s="389"/>
      <c r="DX5" s="465">
        <v>0.82299999999999995</v>
      </c>
      <c r="DY5" s="389"/>
      <c r="DZ5" s="468">
        <v>0.35699999999999998</v>
      </c>
      <c r="EA5" s="389"/>
      <c r="EB5" s="470">
        <v>0.46289999999999998</v>
      </c>
      <c r="EC5" s="389"/>
      <c r="ED5" s="470">
        <v>0.67</v>
      </c>
      <c r="EE5" s="389"/>
      <c r="EF5" s="473">
        <v>0.41099999999999998</v>
      </c>
      <c r="EG5" s="389"/>
      <c r="EH5" s="498">
        <v>0.377</v>
      </c>
      <c r="EI5" s="389"/>
      <c r="EJ5" s="111">
        <v>0.82</v>
      </c>
      <c r="EK5" s="389"/>
      <c r="EL5" s="498"/>
      <c r="EM5" s="389"/>
      <c r="EN5" s="510"/>
      <c r="EO5" s="389"/>
      <c r="EP5" s="514"/>
      <c r="EQ5" s="389"/>
      <c r="ER5" s="517"/>
      <c r="ES5" s="389"/>
      <c r="ET5" s="520"/>
      <c r="EU5" s="389"/>
      <c r="EV5" s="523"/>
      <c r="EW5" s="389"/>
      <c r="EX5" s="526"/>
      <c r="EY5" s="389"/>
      <c r="EZ5" s="529"/>
      <c r="FA5" s="389"/>
      <c r="FB5" s="532"/>
      <c r="FC5" s="389"/>
      <c r="FD5" s="535"/>
      <c r="FE5" s="389"/>
      <c r="FF5" s="535"/>
      <c r="FG5" s="389"/>
      <c r="FH5" s="538"/>
      <c r="FI5" s="389"/>
      <c r="FJ5" s="542"/>
      <c r="FK5" s="389"/>
      <c r="FL5" s="111"/>
      <c r="FM5" s="389"/>
      <c r="FN5" s="549"/>
      <c r="FO5" s="560"/>
      <c r="FP5" s="561"/>
      <c r="FQ5" s="563"/>
      <c r="FR5" s="565"/>
      <c r="FS5" s="569"/>
      <c r="FT5" s="571"/>
      <c r="FU5" s="574"/>
      <c r="FV5" s="575"/>
      <c r="FW5" s="577"/>
      <c r="FX5" s="579"/>
      <c r="FY5" s="582"/>
      <c r="FZ5" s="583"/>
      <c r="GA5" s="585"/>
      <c r="GB5" s="587"/>
      <c r="GC5" s="590"/>
      <c r="GD5" s="592"/>
      <c r="GE5" s="595"/>
      <c r="GF5" s="596"/>
      <c r="GG5" s="598"/>
      <c r="GH5" s="600"/>
      <c r="GI5" s="604"/>
      <c r="GJ5" s="606"/>
      <c r="GK5" s="604"/>
      <c r="GL5" s="606"/>
      <c r="GM5" s="610"/>
      <c r="GN5" s="612"/>
      <c r="GO5" s="615"/>
      <c r="GP5" s="616"/>
      <c r="GQ5" s="622"/>
      <c r="GR5" s="111"/>
      <c r="GS5" s="635"/>
      <c r="GT5" s="635"/>
      <c r="GU5" s="628"/>
      <c r="GV5" s="629"/>
      <c r="GW5" s="631"/>
      <c r="GX5" s="635"/>
      <c r="GY5" s="639"/>
      <c r="GZ5" s="641"/>
      <c r="HA5" s="644"/>
      <c r="HB5" s="645"/>
      <c r="HC5" s="656"/>
      <c r="HD5" s="111"/>
      <c r="HE5" s="656"/>
      <c r="HF5" s="657"/>
      <c r="HG5" s="656"/>
      <c r="HH5" s="657"/>
      <c r="HI5" s="667"/>
      <c r="HJ5" s="671"/>
      <c r="HK5" s="675"/>
      <c r="HL5" s="676"/>
      <c r="HM5" s="678"/>
      <c r="HN5" s="680"/>
      <c r="HO5" s="684"/>
      <c r="HP5" s="686"/>
      <c r="HQ5" s="688"/>
      <c r="HR5" s="111"/>
      <c r="HS5" s="690"/>
      <c r="HT5" s="694"/>
      <c r="HU5" s="698"/>
      <c r="HV5" s="699"/>
      <c r="HW5" s="702"/>
      <c r="HX5" s="704"/>
      <c r="HY5" s="707"/>
      <c r="HZ5" s="708"/>
      <c r="IA5" s="710"/>
      <c r="IB5" s="714"/>
      <c r="IC5" s="710"/>
      <c r="ID5" s="714"/>
      <c r="IE5" s="710"/>
      <c r="IF5" s="714"/>
      <c r="IG5" s="710"/>
      <c r="IH5" s="714"/>
      <c r="II5" s="710"/>
      <c r="IJ5" s="714"/>
      <c r="IK5" s="710"/>
      <c r="IL5" s="714"/>
    </row>
    <row r="6" spans="2:246" x14ac:dyDescent="0.25">
      <c r="E6" s="791">
        <f t="shared" ref="E6:G6" si="0">+E3</f>
        <v>3.67</v>
      </c>
      <c r="F6" s="792"/>
      <c r="G6" s="791">
        <f t="shared" si="0"/>
        <v>-0.22999999999999998</v>
      </c>
      <c r="H6" s="792"/>
      <c r="I6" s="791">
        <f t="shared" ref="I6:K6" si="1">+I3</f>
        <v>4.8699999999999992</v>
      </c>
      <c r="J6" s="792"/>
      <c r="K6" s="791">
        <f t="shared" si="1"/>
        <v>3.4299999999999997</v>
      </c>
      <c r="L6" s="792"/>
      <c r="M6" s="791">
        <f t="shared" ref="M6:O6" si="2">+M3</f>
        <v>3.13</v>
      </c>
      <c r="N6" s="792"/>
      <c r="O6" s="791">
        <f t="shared" si="2"/>
        <v>-0.64999999999999991</v>
      </c>
      <c r="P6" s="792"/>
      <c r="Q6" s="791">
        <f t="shared" ref="Q6:S6" si="3">+Q3</f>
        <v>-3.2300000000000009</v>
      </c>
      <c r="R6" s="792"/>
      <c r="S6" s="791">
        <f t="shared" si="3"/>
        <v>-4.3500000000000005</v>
      </c>
      <c r="T6" s="792"/>
      <c r="U6" s="791">
        <f t="shared" ref="U6:W6" si="4">+U3</f>
        <v>-3.7600000000000011</v>
      </c>
      <c r="V6" s="792"/>
      <c r="W6" s="791">
        <f t="shared" si="4"/>
        <v>2.9399999999999995</v>
      </c>
      <c r="X6" s="792"/>
      <c r="Y6" s="791">
        <f t="shared" ref="Y6:AA6" si="5">+Y3</f>
        <v>2.8100000000000005</v>
      </c>
      <c r="Z6" s="792"/>
      <c r="AA6" s="791">
        <f t="shared" si="5"/>
        <v>-7.1899999999999995</v>
      </c>
      <c r="AB6" s="792"/>
      <c r="AC6" s="791">
        <f t="shared" ref="AC6:AE6" si="6">+AC3</f>
        <v>-4.1999999999999984</v>
      </c>
      <c r="AD6" s="792"/>
      <c r="AE6" s="791">
        <f t="shared" si="6"/>
        <v>-3.56</v>
      </c>
      <c r="AF6" s="792"/>
      <c r="AG6" s="791">
        <f t="shared" ref="AG6:AI6" si="7">+AG3</f>
        <v>2.44</v>
      </c>
      <c r="AH6" s="792"/>
      <c r="AI6" s="791">
        <f t="shared" si="7"/>
        <v>4.0600000000000005</v>
      </c>
      <c r="AJ6" s="792"/>
      <c r="AK6" s="791">
        <f t="shared" ref="AK6:AM6" si="8">+AK3</f>
        <v>4.09</v>
      </c>
      <c r="AL6" s="792"/>
      <c r="AM6" s="791">
        <f t="shared" si="8"/>
        <v>-4.5500000000000007</v>
      </c>
      <c r="AN6" s="792"/>
      <c r="AO6" s="791">
        <f t="shared" ref="AO6:AQ6" si="9">+AO3</f>
        <v>4.2699999999999996</v>
      </c>
      <c r="AP6" s="792"/>
      <c r="AQ6" s="791">
        <f t="shared" si="9"/>
        <v>4.0599999999999996</v>
      </c>
      <c r="AR6" s="792"/>
      <c r="AS6" s="791">
        <f t="shared" ref="AS6" si="10">+AS3</f>
        <v>1.21</v>
      </c>
      <c r="AT6" s="792"/>
      <c r="BK6" s="798" t="s">
        <v>54</v>
      </c>
      <c r="BL6" s="787"/>
      <c r="BY6" s="6"/>
      <c r="BZ6" s="87"/>
      <c r="DF6" s="455"/>
      <c r="DG6" s="6"/>
      <c r="DH6" s="6"/>
      <c r="DJ6" s="87"/>
      <c r="DL6" s="6"/>
      <c r="DN6" s="6"/>
      <c r="DP6" s="6"/>
      <c r="DR6" s="6"/>
      <c r="DT6" s="6"/>
      <c r="DV6" s="87"/>
      <c r="DX6" s="6"/>
      <c r="DY6" s="720" t="s">
        <v>75</v>
      </c>
      <c r="DZ6" s="720"/>
      <c r="EB6" s="6"/>
      <c r="ED6" s="6"/>
      <c r="EF6" s="6"/>
      <c r="EH6" s="6"/>
      <c r="EJ6" s="455"/>
      <c r="EL6" s="6"/>
      <c r="EN6" s="6"/>
      <c r="EP6" s="6"/>
      <c r="FL6" s="455"/>
      <c r="FN6" s="6"/>
      <c r="GR6" s="455"/>
      <c r="GS6" s="6"/>
      <c r="GT6" s="6"/>
      <c r="HC6" s="6"/>
      <c r="HD6" s="455"/>
      <c r="HR6" s="455"/>
    </row>
    <row r="7" spans="2:246" x14ac:dyDescent="0.25">
      <c r="B7" s="691"/>
      <c r="D7" s="797" t="s">
        <v>58</v>
      </c>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BK7" s="701"/>
      <c r="BL7" s="701"/>
      <c r="BY7" s="6"/>
      <c r="BZ7" s="87"/>
      <c r="DF7" s="455"/>
      <c r="DG7" s="6"/>
      <c r="DH7" s="6"/>
      <c r="DJ7" s="87"/>
      <c r="DL7" s="6"/>
      <c r="DN7" s="6"/>
      <c r="DP7" s="6"/>
      <c r="DR7" s="6"/>
      <c r="DT7" s="6"/>
      <c r="DV7" s="87"/>
      <c r="DX7" s="6"/>
      <c r="DY7" s="694"/>
      <c r="DZ7" s="694"/>
      <c r="EB7" s="6"/>
      <c r="ED7" s="6"/>
      <c r="EF7" s="6"/>
      <c r="EH7" s="6"/>
      <c r="EJ7" s="455"/>
      <c r="EL7" s="6"/>
      <c r="EN7" s="6"/>
      <c r="EP7" s="6"/>
      <c r="FL7" s="455"/>
      <c r="FN7" s="6"/>
      <c r="GR7" s="455"/>
      <c r="GS7" s="6"/>
      <c r="GT7" s="6"/>
      <c r="HC7" s="6"/>
      <c r="HD7" s="455"/>
      <c r="HR7" s="455"/>
    </row>
    <row r="8" spans="2:246" x14ac:dyDescent="0.25">
      <c r="B8" s="691"/>
      <c r="D8" s="797"/>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BK8" s="701"/>
      <c r="BL8" s="701"/>
      <c r="BY8" s="6"/>
      <c r="BZ8" s="87"/>
      <c r="DF8" s="455"/>
      <c r="DG8" s="6"/>
      <c r="DH8" s="6"/>
      <c r="DJ8" s="87"/>
      <c r="DL8" s="6"/>
      <c r="DN8" s="6"/>
      <c r="DP8" s="6"/>
      <c r="DR8" s="6"/>
      <c r="DT8" s="6"/>
      <c r="DV8" s="87"/>
      <c r="DX8" s="6"/>
      <c r="DY8" s="694"/>
      <c r="DZ8" s="694"/>
      <c r="EB8" s="6"/>
      <c r="ED8" s="6"/>
      <c r="EF8" s="6"/>
      <c r="EH8" s="6"/>
      <c r="EJ8" s="455"/>
      <c r="EL8" s="6"/>
      <c r="EN8" s="6"/>
      <c r="EP8" s="6"/>
      <c r="FL8" s="455"/>
      <c r="FN8" s="6"/>
      <c r="GR8" s="455"/>
      <c r="GS8" s="6"/>
      <c r="GT8" s="6"/>
      <c r="HC8" s="6"/>
      <c r="HD8" s="455"/>
      <c r="HR8" s="455"/>
    </row>
    <row r="9" spans="2:246" x14ac:dyDescent="0.25">
      <c r="B9" s="691"/>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BK9" s="701"/>
      <c r="BL9" s="701"/>
      <c r="BY9" s="6"/>
      <c r="BZ9" s="87"/>
      <c r="DF9" s="455"/>
      <c r="DG9" s="6"/>
      <c r="DH9" s="6"/>
      <c r="DJ9" s="87"/>
      <c r="DL9" s="6"/>
      <c r="DN9" s="6"/>
      <c r="DP9" s="6"/>
      <c r="DR9" s="6"/>
      <c r="DT9" s="6"/>
      <c r="DV9" s="87"/>
      <c r="DX9" s="6"/>
      <c r="DY9" s="694"/>
      <c r="DZ9" s="694"/>
      <c r="EB9" s="6"/>
      <c r="ED9" s="6"/>
      <c r="EF9" s="6"/>
      <c r="EH9" s="6"/>
      <c r="EJ9" s="455"/>
      <c r="EL9" s="6"/>
      <c r="EN9" s="6"/>
      <c r="EP9" s="6"/>
      <c r="FL9" s="455"/>
      <c r="FN9" s="6"/>
      <c r="GR9" s="455"/>
      <c r="GS9" s="6"/>
      <c r="GT9" s="6"/>
      <c r="HC9" s="6"/>
      <c r="HD9" s="455"/>
      <c r="HR9" s="455"/>
    </row>
    <row r="10" spans="2:246" x14ac:dyDescent="0.25">
      <c r="D10" s="797" t="s">
        <v>55</v>
      </c>
      <c r="F10" s="121">
        <f>+F4</f>
        <v>0.60000000000000009</v>
      </c>
      <c r="H10" s="124">
        <f>+H4</f>
        <v>0.4</v>
      </c>
      <c r="J10" s="127">
        <f>+J4</f>
        <v>0.8</v>
      </c>
      <c r="L10" s="129">
        <f>+L4</f>
        <v>0.60000000000000009</v>
      </c>
      <c r="N10" s="135">
        <f>+N4</f>
        <v>1</v>
      </c>
      <c r="P10" s="139">
        <f>+P4</f>
        <v>0.4</v>
      </c>
      <c r="R10" s="142">
        <f>+R4</f>
        <v>1.2</v>
      </c>
      <c r="T10" s="146">
        <f>+T4</f>
        <v>0.8</v>
      </c>
      <c r="V10" s="150">
        <f>+V4</f>
        <v>1.4</v>
      </c>
      <c r="X10" s="154">
        <f>+X4</f>
        <v>1.4</v>
      </c>
      <c r="Z10" s="158">
        <f>+Z4</f>
        <v>1.4</v>
      </c>
      <c r="AB10" s="162">
        <f>+AB4</f>
        <v>1.2</v>
      </c>
      <c r="AD10" s="167">
        <f>+AD4</f>
        <v>1.5999999999999999</v>
      </c>
      <c r="AF10" s="173">
        <f>+AF4</f>
        <v>0.2</v>
      </c>
      <c r="AH10" s="176">
        <f>+AH4</f>
        <v>0.4</v>
      </c>
      <c r="AJ10" s="178">
        <f>+AJ4</f>
        <v>0.8</v>
      </c>
      <c r="AL10" s="182">
        <f>+AL4</f>
        <v>0.8</v>
      </c>
      <c r="AN10" s="284">
        <f>+AN4</f>
        <v>1.9999999999999998</v>
      </c>
      <c r="AP10" s="287">
        <f>+AP4</f>
        <v>1.2</v>
      </c>
      <c r="AR10" s="290">
        <f>+AR4</f>
        <v>0.8</v>
      </c>
      <c r="AT10" s="294">
        <f>+AT4</f>
        <v>0.8</v>
      </c>
      <c r="BM10" s="74">
        <v>-27.4</v>
      </c>
      <c r="BN10" s="75">
        <v>0.33333333333333331</v>
      </c>
      <c r="BO10" s="74">
        <v>3.7500000000000018</v>
      </c>
      <c r="BP10" s="75">
        <v>0.5</v>
      </c>
      <c r="BQ10" s="74">
        <v>8.129999999999999</v>
      </c>
      <c r="BR10" s="75">
        <v>0.66666666666666663</v>
      </c>
      <c r="BS10" s="74">
        <v>14.66</v>
      </c>
      <c r="BT10" s="75">
        <v>0.75</v>
      </c>
      <c r="BU10" s="74">
        <v>-34.1</v>
      </c>
      <c r="BV10" s="75">
        <v>0.16666666666666666</v>
      </c>
      <c r="BW10" s="74"/>
      <c r="BX10" s="75"/>
      <c r="BY10" s="74">
        <v>6.6400000000000006</v>
      </c>
      <c r="BZ10" s="75">
        <v>1</v>
      </c>
      <c r="CA10" s="90"/>
      <c r="CB10" s="75"/>
      <c r="CC10" s="74"/>
      <c r="CD10" s="75"/>
      <c r="CE10" s="74"/>
      <c r="CF10" s="75"/>
      <c r="CG10" s="74">
        <v>10.96</v>
      </c>
      <c r="CH10" s="75">
        <v>0.66666666666666663</v>
      </c>
      <c r="CI10" s="74">
        <v>-11.73</v>
      </c>
      <c r="CJ10" s="75">
        <v>0.5714285714285714</v>
      </c>
      <c r="CK10" s="74">
        <v>-38.930000000000007</v>
      </c>
      <c r="CL10" s="75">
        <v>0.33333333333333331</v>
      </c>
      <c r="CM10" s="74">
        <v>0.64</v>
      </c>
      <c r="CN10" s="75">
        <v>1</v>
      </c>
      <c r="CO10" s="74">
        <v>-2.169999999999999</v>
      </c>
      <c r="CP10" s="75">
        <v>0.5</v>
      </c>
      <c r="CQ10" s="74">
        <v>20.319999999999997</v>
      </c>
      <c r="CR10" s="75">
        <v>1</v>
      </c>
      <c r="CS10" s="74">
        <v>-0.9099999999999997</v>
      </c>
      <c r="CT10" s="75">
        <v>0.66666666666666663</v>
      </c>
      <c r="CU10" s="74">
        <v>-8.0499999999999989</v>
      </c>
      <c r="CV10" s="75">
        <v>0.5714285714285714</v>
      </c>
      <c r="CW10" s="74">
        <v>10.19</v>
      </c>
      <c r="CX10" s="75">
        <v>1</v>
      </c>
      <c r="CY10" s="74">
        <v>-25.5</v>
      </c>
      <c r="CZ10" s="75">
        <v>0.5714285714285714</v>
      </c>
      <c r="DA10" s="74">
        <v>13.190000000000001</v>
      </c>
      <c r="DB10" s="75">
        <v>0.7142857142857143</v>
      </c>
      <c r="DC10" s="74">
        <v>-60.290000000000006</v>
      </c>
      <c r="DD10" s="75">
        <v>0</v>
      </c>
      <c r="DE10" s="74">
        <v>20.14</v>
      </c>
      <c r="DF10" s="453">
        <v>1</v>
      </c>
      <c r="DG10" s="90">
        <v>13.06</v>
      </c>
      <c r="DH10" s="75">
        <v>0.72727272727272729</v>
      </c>
      <c r="DI10" s="74">
        <v>-17.61</v>
      </c>
      <c r="DJ10" s="75">
        <v>0.2</v>
      </c>
      <c r="DK10" s="74">
        <v>25.75</v>
      </c>
      <c r="DL10" s="75">
        <v>0.875</v>
      </c>
      <c r="DM10" s="74">
        <v>25.54</v>
      </c>
      <c r="DN10" s="75">
        <v>1</v>
      </c>
      <c r="DO10" s="74">
        <v>-6.7900000000000036</v>
      </c>
      <c r="DP10" s="75">
        <v>0.375</v>
      </c>
      <c r="DQ10" s="74">
        <v>-34.450000000000003</v>
      </c>
      <c r="DR10" s="75">
        <v>0.16666666666666666</v>
      </c>
      <c r="DS10" s="74">
        <v>-20.830000000000002</v>
      </c>
      <c r="DT10" s="75">
        <v>0.33333333333333331</v>
      </c>
      <c r="DU10" s="74">
        <v>-29.41</v>
      </c>
      <c r="DV10" s="75">
        <v>0.36363636363636365</v>
      </c>
      <c r="DW10" s="74">
        <v>-22.5</v>
      </c>
      <c r="DX10" s="75">
        <v>0.3</v>
      </c>
      <c r="DY10" s="74">
        <v>-74.930000000000007</v>
      </c>
      <c r="DZ10" s="75">
        <v>0</v>
      </c>
      <c r="EA10" s="74">
        <v>-31.22</v>
      </c>
      <c r="EB10" s="75">
        <v>0</v>
      </c>
      <c r="EC10" s="74">
        <v>-74.679999999999993</v>
      </c>
      <c r="ED10" s="75">
        <v>0</v>
      </c>
      <c r="EE10" s="74">
        <v>-2.0000000000000009</v>
      </c>
      <c r="EF10" s="75">
        <v>0.5</v>
      </c>
      <c r="EG10" s="74">
        <v>8.24</v>
      </c>
      <c r="EH10" s="512">
        <v>1</v>
      </c>
      <c r="EI10" s="74">
        <v>-15.03</v>
      </c>
      <c r="EJ10" s="453">
        <v>0.5</v>
      </c>
      <c r="EK10" s="74">
        <v>-2.9400000000000022</v>
      </c>
      <c r="EL10" s="512">
        <v>0.6</v>
      </c>
      <c r="EM10" s="74">
        <v>-26.33</v>
      </c>
      <c r="EN10" s="512">
        <v>0.33333333333333331</v>
      </c>
      <c r="EO10" s="74">
        <v>-4.7300000000000004</v>
      </c>
      <c r="EP10" s="512">
        <v>0.5</v>
      </c>
      <c r="EQ10" s="74">
        <v>24.61</v>
      </c>
      <c r="ER10" s="512">
        <v>1</v>
      </c>
      <c r="ES10" s="74">
        <v>-20.380000000000003</v>
      </c>
      <c r="ET10" s="512">
        <v>0.6</v>
      </c>
      <c r="EU10" s="74">
        <v>-32.490000000000009</v>
      </c>
      <c r="EV10" s="512">
        <v>0.4</v>
      </c>
      <c r="EW10" s="74">
        <v>-16.11</v>
      </c>
      <c r="EX10" s="512">
        <v>0.66666666666666663</v>
      </c>
      <c r="EY10" s="74">
        <v>-3.8600000000000003</v>
      </c>
      <c r="EZ10" s="512">
        <v>0.25</v>
      </c>
      <c r="FA10" s="74">
        <v>21.840000000000003</v>
      </c>
      <c r="FB10" s="512">
        <v>0.75</v>
      </c>
      <c r="FC10" s="74">
        <v>20.869999999999997</v>
      </c>
      <c r="FD10" s="512">
        <v>1</v>
      </c>
      <c r="FE10" s="74">
        <v>26.92</v>
      </c>
      <c r="FF10" s="512">
        <v>0.83333333333333337</v>
      </c>
      <c r="FG10" s="74">
        <v>-19.529999999999998</v>
      </c>
      <c r="FH10" s="512">
        <v>0.4</v>
      </c>
      <c r="FI10" s="74">
        <v>20.93</v>
      </c>
      <c r="FJ10" s="512">
        <v>0.66666666666666663</v>
      </c>
      <c r="FK10" s="74">
        <v>16.079999999999998</v>
      </c>
      <c r="FL10" s="453">
        <v>1</v>
      </c>
      <c r="FM10" s="74">
        <v>24.93</v>
      </c>
      <c r="FN10" s="512">
        <v>1</v>
      </c>
      <c r="FO10" s="74">
        <v>-2.339999999999999</v>
      </c>
      <c r="FP10" s="512">
        <v>0.77777777777777779</v>
      </c>
      <c r="FQ10" s="74">
        <v>19.760000000000002</v>
      </c>
      <c r="FR10" s="512">
        <v>0.55555555555555558</v>
      </c>
      <c r="FS10" s="74">
        <v>-38.78</v>
      </c>
      <c r="FT10" s="512">
        <v>0.42857142857142855</v>
      </c>
      <c r="FU10" s="74">
        <v>-24.380000000000006</v>
      </c>
      <c r="FV10" s="512">
        <v>0.44444444444444442</v>
      </c>
      <c r="FW10" s="74">
        <v>14.42</v>
      </c>
      <c r="FX10" s="512">
        <v>0.75</v>
      </c>
      <c r="FY10" s="74">
        <v>3.17</v>
      </c>
      <c r="FZ10" s="512">
        <v>1</v>
      </c>
      <c r="GA10" s="74">
        <v>-5.0000000000000711E-2</v>
      </c>
      <c r="GB10" s="512">
        <v>0.66666666666666663</v>
      </c>
      <c r="GC10" s="74">
        <v>-51.97</v>
      </c>
      <c r="GD10" s="512">
        <v>0</v>
      </c>
      <c r="GE10" s="74">
        <v>21.659999999999997</v>
      </c>
      <c r="GF10" s="512">
        <v>0.66666666666666663</v>
      </c>
      <c r="GG10" s="74">
        <v>-66.13</v>
      </c>
      <c r="GH10" s="512">
        <v>0.22222222222222221</v>
      </c>
      <c r="GI10" s="74">
        <v>-70.930000000000007</v>
      </c>
      <c r="GJ10" s="512">
        <v>0</v>
      </c>
      <c r="GK10" s="74">
        <v>3.1699999999999973</v>
      </c>
      <c r="GL10" s="512">
        <v>0.44444444444444442</v>
      </c>
      <c r="GM10" s="74">
        <v>-22.24</v>
      </c>
      <c r="GN10" s="512">
        <v>0.6</v>
      </c>
      <c r="GO10" s="74"/>
      <c r="GP10" s="512"/>
      <c r="GQ10" s="74">
        <v>-22.86</v>
      </c>
      <c r="GR10" s="453">
        <v>0.5</v>
      </c>
      <c r="GS10" s="90">
        <v>-57.930000000000007</v>
      </c>
      <c r="GT10" s="512">
        <v>0.44444444444444442</v>
      </c>
      <c r="GU10" s="74">
        <v>-71.28</v>
      </c>
      <c r="GV10" s="512">
        <v>0</v>
      </c>
      <c r="GW10" s="74">
        <v>29.05</v>
      </c>
      <c r="GX10" s="512">
        <v>1</v>
      </c>
      <c r="GY10" s="74">
        <v>3.0799999999999996</v>
      </c>
      <c r="GZ10" s="512">
        <v>0.83333333333333337</v>
      </c>
      <c r="HA10" s="74">
        <v>9.4700000000000006</v>
      </c>
      <c r="HB10" s="512">
        <v>1</v>
      </c>
      <c r="HC10" s="74">
        <v>-28.599999999999998</v>
      </c>
      <c r="HD10" s="453">
        <v>0.4</v>
      </c>
      <c r="HE10" s="74">
        <v>5.330000000000001</v>
      </c>
      <c r="HF10" s="512">
        <v>0.5</v>
      </c>
      <c r="HG10" s="74">
        <v>11</v>
      </c>
      <c r="HH10" s="512">
        <v>0.4</v>
      </c>
      <c r="HI10" s="74">
        <v>32.29</v>
      </c>
      <c r="HJ10" s="512">
        <v>0.8571428571428571</v>
      </c>
      <c r="HK10" s="74">
        <v>9.1199999999999992</v>
      </c>
      <c r="HL10" s="512">
        <v>1</v>
      </c>
      <c r="HM10" s="74">
        <v>28.95</v>
      </c>
      <c r="HN10" s="512">
        <v>1</v>
      </c>
      <c r="HO10" s="74">
        <v>3.12</v>
      </c>
      <c r="HP10" s="512">
        <v>0.5</v>
      </c>
      <c r="HQ10" s="74">
        <v>28.990000000000002</v>
      </c>
      <c r="HR10" s="453">
        <v>1</v>
      </c>
      <c r="HS10" s="74"/>
      <c r="HT10" s="512"/>
      <c r="HU10" s="74"/>
      <c r="HV10" s="512"/>
      <c r="HW10" s="74"/>
      <c r="HX10" s="512"/>
    </row>
    <row r="11" spans="2:246" x14ac:dyDescent="0.25">
      <c r="D11" s="797"/>
      <c r="BM11" s="86"/>
      <c r="BN11" s="387">
        <v>3.6</v>
      </c>
      <c r="BO11" s="86"/>
      <c r="BP11" s="387">
        <v>2.4</v>
      </c>
      <c r="BQ11" s="86"/>
      <c r="BR11" s="387">
        <v>3.6</v>
      </c>
      <c r="BS11" s="86"/>
      <c r="BT11" s="387">
        <v>2.4</v>
      </c>
      <c r="BU11" s="86"/>
      <c r="BV11" s="387">
        <v>3.6</v>
      </c>
      <c r="BW11" s="86"/>
      <c r="BX11" s="387"/>
      <c r="BY11" s="86"/>
      <c r="BZ11" s="387">
        <v>0.6</v>
      </c>
      <c r="CA11" s="6"/>
      <c r="CB11" s="387"/>
      <c r="CC11" s="86"/>
      <c r="CD11" s="387"/>
      <c r="CE11" s="86"/>
      <c r="CF11" s="387"/>
      <c r="CG11" s="86"/>
      <c r="CH11" s="387">
        <v>1.7999999999999998</v>
      </c>
      <c r="CI11" s="86"/>
      <c r="CJ11" s="387">
        <v>4.2</v>
      </c>
      <c r="CK11" s="86"/>
      <c r="CL11" s="396">
        <v>5.3999999999999995</v>
      </c>
      <c r="CM11" s="86"/>
      <c r="CN11" s="398">
        <v>0.6</v>
      </c>
      <c r="CO11" s="86"/>
      <c r="CP11" s="402">
        <v>1.2</v>
      </c>
      <c r="CQ11" s="86"/>
      <c r="CR11" s="402">
        <v>3</v>
      </c>
      <c r="CS11" s="86"/>
      <c r="CT11" s="411">
        <v>5.3999999999999995</v>
      </c>
      <c r="CU11" s="86"/>
      <c r="CV11" s="411">
        <v>4.2</v>
      </c>
      <c r="CW11" s="86"/>
      <c r="CX11" s="416">
        <v>1.2</v>
      </c>
      <c r="CY11" s="86"/>
      <c r="CZ11" s="420">
        <v>4.2</v>
      </c>
      <c r="DA11" s="86"/>
      <c r="DB11" s="423">
        <v>4.2</v>
      </c>
      <c r="DC11" s="86"/>
      <c r="DD11" s="430">
        <v>3</v>
      </c>
      <c r="DE11" s="86"/>
      <c r="DF11" s="111">
        <v>2.4</v>
      </c>
      <c r="DG11" s="6"/>
      <c r="DH11" s="430">
        <v>6.5999999999999988</v>
      </c>
      <c r="DI11" s="86"/>
      <c r="DJ11" s="430">
        <v>3</v>
      </c>
      <c r="DK11" s="86"/>
      <c r="DL11" s="430">
        <v>6.3999999999999995</v>
      </c>
      <c r="DM11" s="86"/>
      <c r="DN11" s="430">
        <v>6.3999999999999995</v>
      </c>
      <c r="DO11" s="86"/>
      <c r="DP11" s="430">
        <v>6.3999999999999995</v>
      </c>
      <c r="DQ11" s="86"/>
      <c r="DR11" s="430">
        <v>4.8</v>
      </c>
      <c r="DS11" s="86"/>
      <c r="DT11" s="430">
        <v>4.8</v>
      </c>
      <c r="DU11" s="86"/>
      <c r="DV11" s="430">
        <v>11</v>
      </c>
      <c r="DW11" s="86"/>
      <c r="DX11" s="430">
        <v>10</v>
      </c>
      <c r="DY11" s="86"/>
      <c r="DZ11" s="430">
        <v>5</v>
      </c>
      <c r="EA11" s="86"/>
      <c r="EB11" s="430">
        <v>2</v>
      </c>
      <c r="EC11" s="86"/>
      <c r="ED11" s="430">
        <v>3</v>
      </c>
      <c r="EE11" s="86"/>
      <c r="EF11" s="430">
        <v>4</v>
      </c>
      <c r="EG11" s="86"/>
      <c r="EH11" s="498">
        <v>1</v>
      </c>
      <c r="EI11" s="86"/>
      <c r="EJ11" s="111">
        <v>4</v>
      </c>
      <c r="EK11" s="86"/>
      <c r="EL11" s="498">
        <v>5</v>
      </c>
      <c r="EM11" s="86"/>
      <c r="EN11" s="510">
        <v>3</v>
      </c>
      <c r="EO11" s="86"/>
      <c r="EP11" s="514">
        <v>2</v>
      </c>
      <c r="EQ11" s="86"/>
      <c r="ER11" s="517">
        <v>4</v>
      </c>
      <c r="ES11" s="86"/>
      <c r="ET11" s="520">
        <v>5</v>
      </c>
      <c r="EU11" s="86"/>
      <c r="EV11" s="523">
        <v>5</v>
      </c>
      <c r="EW11" s="86"/>
      <c r="EX11" s="526">
        <v>6</v>
      </c>
      <c r="EY11" s="86"/>
      <c r="EZ11" s="529">
        <v>4</v>
      </c>
      <c r="FA11" s="86"/>
      <c r="FB11" s="532">
        <v>4</v>
      </c>
      <c r="FC11" s="86"/>
      <c r="FD11" s="535">
        <v>3</v>
      </c>
      <c r="FE11" s="86"/>
      <c r="FF11" s="535">
        <v>6</v>
      </c>
      <c r="FG11" s="86"/>
      <c r="FH11" s="538">
        <v>5</v>
      </c>
      <c r="FI11" s="86"/>
      <c r="FJ11" s="542">
        <v>6</v>
      </c>
      <c r="FK11" s="86"/>
      <c r="FL11" s="111">
        <v>2</v>
      </c>
      <c r="FM11" s="86"/>
      <c r="FN11" s="549">
        <v>2</v>
      </c>
      <c r="FO11" s="86"/>
      <c r="FP11" s="561">
        <v>9</v>
      </c>
      <c r="FQ11" s="86"/>
      <c r="FR11" s="565">
        <v>9</v>
      </c>
      <c r="FS11" s="86"/>
      <c r="FT11" s="571">
        <v>7</v>
      </c>
      <c r="FU11" s="86"/>
      <c r="FV11" s="575">
        <v>9</v>
      </c>
      <c r="FW11" s="86"/>
      <c r="FX11" s="579">
        <v>4</v>
      </c>
      <c r="FY11" s="86"/>
      <c r="FZ11" s="583">
        <v>1</v>
      </c>
      <c r="GA11" s="86"/>
      <c r="GB11" s="587">
        <v>6</v>
      </c>
      <c r="GC11" s="86"/>
      <c r="GD11" s="592">
        <v>3</v>
      </c>
      <c r="GE11" s="86"/>
      <c r="GF11" s="596">
        <v>6</v>
      </c>
      <c r="GG11" s="86"/>
      <c r="GH11" s="600">
        <v>9</v>
      </c>
      <c r="GI11" s="86"/>
      <c r="GJ11" s="606">
        <v>5</v>
      </c>
      <c r="GK11" s="86"/>
      <c r="GL11" s="606">
        <v>9</v>
      </c>
      <c r="GM11" s="86"/>
      <c r="GN11" s="612">
        <v>5</v>
      </c>
      <c r="GO11" s="86"/>
      <c r="GP11" s="616"/>
      <c r="GQ11" s="86"/>
      <c r="GR11" s="111">
        <v>6</v>
      </c>
      <c r="GS11" s="6"/>
      <c r="GT11" s="635">
        <v>9</v>
      </c>
      <c r="GU11" s="86"/>
      <c r="GV11" s="629">
        <v>4</v>
      </c>
      <c r="GW11" s="86"/>
      <c r="GX11" s="635">
        <v>4</v>
      </c>
      <c r="GY11" s="86"/>
      <c r="GZ11" s="641">
        <v>6</v>
      </c>
      <c r="HA11" s="86"/>
      <c r="HB11" s="645">
        <v>1</v>
      </c>
      <c r="HC11" s="86"/>
      <c r="HD11" s="111">
        <v>5</v>
      </c>
      <c r="HE11" s="86"/>
      <c r="HF11" s="657">
        <v>2</v>
      </c>
      <c r="HG11" s="86"/>
      <c r="HH11" s="657">
        <v>10</v>
      </c>
      <c r="HI11" s="86"/>
      <c r="HJ11" s="671">
        <v>7</v>
      </c>
      <c r="HK11" s="86"/>
      <c r="HL11" s="676">
        <v>1</v>
      </c>
      <c r="HM11" s="86"/>
      <c r="HN11" s="680">
        <v>4</v>
      </c>
      <c r="HO11" s="86"/>
      <c r="HP11" s="686">
        <v>2</v>
      </c>
      <c r="HQ11" s="86"/>
      <c r="HR11" s="111">
        <v>4</v>
      </c>
      <c r="HS11" s="86"/>
      <c r="HT11" s="694"/>
      <c r="HU11" s="86"/>
      <c r="HV11" s="699"/>
      <c r="HW11" s="86"/>
      <c r="HX11" s="704"/>
    </row>
    <row r="12" spans="2:246" x14ac:dyDescent="0.25">
      <c r="D12" s="391"/>
      <c r="M12" s="788">
        <v>43831</v>
      </c>
      <c r="N12" s="795">
        <f>+M6+K6+I6+G6+E6</f>
        <v>14.87</v>
      </c>
      <c r="AK12" s="788">
        <v>43862</v>
      </c>
      <c r="AL12" s="795">
        <f>+SUM(O6:AL6)</f>
        <v>-10.599999999999996</v>
      </c>
      <c r="AS12" s="788">
        <v>43952</v>
      </c>
      <c r="AT12" s="795">
        <f>+SUM(AM6:AT6)</f>
        <v>4.9899999999999984</v>
      </c>
      <c r="BY12" s="6"/>
      <c r="BZ12" s="87"/>
      <c r="DF12" s="455"/>
      <c r="DG12" s="6"/>
      <c r="DH12" s="6"/>
      <c r="DI12" s="86"/>
      <c r="DJ12" s="87"/>
      <c r="DK12" s="86"/>
      <c r="DL12" s="6"/>
      <c r="DM12" s="86"/>
      <c r="DN12" s="6"/>
      <c r="DO12" s="86"/>
      <c r="DP12" s="6"/>
      <c r="DQ12" s="86"/>
      <c r="DR12" s="6"/>
      <c r="DS12" s="86"/>
      <c r="DT12" s="6"/>
      <c r="DU12" s="86"/>
      <c r="DV12" s="87"/>
      <c r="DW12" s="86"/>
      <c r="DX12" s="6"/>
      <c r="DY12" s="86"/>
      <c r="DZ12" s="6"/>
      <c r="EA12" s="86"/>
      <c r="EB12" s="6"/>
      <c r="EC12" s="86"/>
      <c r="ED12" s="6"/>
      <c r="EE12" s="86"/>
      <c r="EF12" s="6"/>
      <c r="EG12" s="86"/>
      <c r="EH12" s="6"/>
      <c r="EI12" s="86"/>
      <c r="EJ12" s="455"/>
      <c r="EK12" s="86"/>
      <c r="EL12" s="6"/>
      <c r="EM12" s="86"/>
      <c r="EN12" s="6"/>
      <c r="EO12" s="86"/>
      <c r="EP12" s="6"/>
      <c r="EQ12" s="86"/>
      <c r="ER12" s="6"/>
      <c r="ES12" s="86"/>
      <c r="ET12" s="6"/>
      <c r="EU12" s="86"/>
      <c r="EV12" s="6"/>
      <c r="EW12" s="86"/>
      <c r="EX12" s="6"/>
      <c r="EY12" s="86"/>
      <c r="EZ12" s="6"/>
      <c r="FA12" s="86"/>
      <c r="FB12" s="6"/>
      <c r="FC12" s="86"/>
      <c r="FD12" s="6"/>
      <c r="FE12" s="86"/>
      <c r="FF12" s="6"/>
      <c r="FG12" s="86"/>
      <c r="FH12" s="6"/>
      <c r="FI12" s="86"/>
      <c r="FJ12" s="6"/>
      <c r="FK12" s="86"/>
      <c r="FL12" s="455"/>
      <c r="FM12" s="86"/>
      <c r="FN12" s="6"/>
      <c r="FO12" s="86"/>
      <c r="FP12" s="6"/>
      <c r="FQ12" s="86"/>
      <c r="FR12" s="6"/>
      <c r="FS12" s="86"/>
      <c r="FT12" s="6"/>
      <c r="FU12" s="86"/>
      <c r="FV12" s="6"/>
      <c r="FW12" s="86"/>
      <c r="FX12" s="6"/>
      <c r="FY12" s="86"/>
      <c r="FZ12" s="6"/>
      <c r="GA12" s="86"/>
      <c r="GB12" s="6"/>
      <c r="GC12" s="86"/>
      <c r="GD12" s="6"/>
      <c r="GE12" s="86"/>
      <c r="GF12" s="6"/>
      <c r="GG12" s="86"/>
      <c r="GH12" s="6"/>
      <c r="GI12" s="86"/>
      <c r="GJ12" s="6"/>
      <c r="GK12" s="86"/>
      <c r="GL12" s="6"/>
      <c r="GM12" s="86"/>
      <c r="GN12" s="6"/>
      <c r="GO12" s="86"/>
      <c r="GP12" s="6"/>
      <c r="GQ12" s="86"/>
      <c r="GR12" s="455"/>
      <c r="GS12" s="6"/>
      <c r="GT12" s="6"/>
      <c r="GU12" s="86"/>
      <c r="GV12" s="6"/>
      <c r="GW12" s="86"/>
      <c r="GX12" s="6"/>
      <c r="GY12" s="86"/>
      <c r="GZ12" s="6"/>
      <c r="HA12" s="86"/>
      <c r="HB12" s="6"/>
      <c r="HC12" s="86"/>
      <c r="HD12" s="455"/>
      <c r="HE12" s="86"/>
      <c r="HF12" s="6"/>
      <c r="HG12" s="86"/>
      <c r="HH12" s="6"/>
      <c r="HI12" s="86"/>
      <c r="HJ12" s="6"/>
      <c r="HK12" s="86"/>
      <c r="HL12" s="6"/>
      <c r="HM12" s="86"/>
      <c r="HN12" s="6"/>
      <c r="HO12" s="86"/>
      <c r="HP12" s="6"/>
      <c r="HQ12" s="86"/>
      <c r="HR12" s="455"/>
      <c r="HS12" s="86"/>
      <c r="HT12" s="6"/>
      <c r="HU12" s="86"/>
      <c r="HV12" s="6"/>
      <c r="HW12" s="86"/>
      <c r="HX12" s="6"/>
    </row>
    <row r="13" spans="2:246" x14ac:dyDescent="0.25">
      <c r="D13" s="797" t="s">
        <v>61</v>
      </c>
      <c r="M13" s="789"/>
      <c r="N13" s="796"/>
      <c r="AK13" s="789"/>
      <c r="AL13" s="796"/>
      <c r="AS13" s="789"/>
      <c r="AT13" s="796"/>
      <c r="BM13" s="74">
        <v>-59.930000000000007</v>
      </c>
      <c r="BN13" s="75">
        <v>0.25</v>
      </c>
      <c r="BO13" s="74">
        <v>3.6400000000000006</v>
      </c>
      <c r="BP13" s="75">
        <v>0.5</v>
      </c>
      <c r="BQ13" s="74">
        <v>10.45</v>
      </c>
      <c r="BR13" s="75">
        <v>0.7142857142857143</v>
      </c>
      <c r="BS13" s="74">
        <v>20.049999999999997</v>
      </c>
      <c r="BT13" s="75">
        <v>0.8</v>
      </c>
      <c r="BU13" s="74">
        <v>-16.510000000000005</v>
      </c>
      <c r="BV13" s="75">
        <v>0.5</v>
      </c>
      <c r="BW13" s="74"/>
      <c r="BX13" s="75"/>
      <c r="BY13" s="74">
        <v>-6.67</v>
      </c>
      <c r="BZ13" s="75">
        <v>0</v>
      </c>
      <c r="CA13" s="90"/>
      <c r="CB13" s="75"/>
      <c r="CC13" s="74"/>
      <c r="CD13" s="75"/>
      <c r="CE13" s="74"/>
      <c r="CF13" s="75"/>
      <c r="CG13" s="74">
        <v>20.03</v>
      </c>
      <c r="CH13" s="75">
        <v>1</v>
      </c>
      <c r="CI13" s="74">
        <v>1.9400000000000013</v>
      </c>
      <c r="CJ13" s="75">
        <v>0.66666666666666663</v>
      </c>
      <c r="CK13" s="74">
        <v>-33.20000000000001</v>
      </c>
      <c r="CL13" s="75">
        <v>0.5</v>
      </c>
      <c r="CM13" s="74">
        <v>0.64</v>
      </c>
      <c r="CN13" s="75">
        <v>1</v>
      </c>
      <c r="CO13" s="74">
        <v>-2.1199999999999992</v>
      </c>
      <c r="CP13" s="75">
        <v>0.5</v>
      </c>
      <c r="CQ13" s="74">
        <v>19.919999999999998</v>
      </c>
      <c r="CR13" s="75">
        <v>1</v>
      </c>
      <c r="CS13" s="74">
        <v>-0.68000000000000038</v>
      </c>
      <c r="CT13" s="75">
        <v>0.66666666666666663</v>
      </c>
      <c r="CU13" s="74">
        <v>-4.3699999999999992</v>
      </c>
      <c r="CV13" s="75">
        <v>0.66666666666666663</v>
      </c>
      <c r="CW13" s="74">
        <v>7.3600000000000012</v>
      </c>
      <c r="CX13" s="75">
        <v>0.75</v>
      </c>
      <c r="CY13" s="74">
        <v>-28.729999999999997</v>
      </c>
      <c r="CZ13" s="75">
        <v>0.55555555555555558</v>
      </c>
      <c r="DA13" s="74">
        <v>13.580000000000002</v>
      </c>
      <c r="DB13" s="75">
        <v>0.7142857142857143</v>
      </c>
      <c r="DC13" s="74">
        <v>-60.100000000000009</v>
      </c>
      <c r="DD13" s="75">
        <v>0.2</v>
      </c>
      <c r="DE13" s="74">
        <v>20.21</v>
      </c>
      <c r="DF13" s="453">
        <v>1</v>
      </c>
      <c r="DG13" s="90">
        <v>12.39</v>
      </c>
      <c r="DH13" s="75">
        <v>0.72727272727272729</v>
      </c>
      <c r="DI13" s="74">
        <v>-10.98</v>
      </c>
      <c r="DJ13" s="75">
        <v>0.25</v>
      </c>
      <c r="DK13" s="74">
        <v>25.759999999999998</v>
      </c>
      <c r="DL13" s="75">
        <v>0.875</v>
      </c>
      <c r="DM13" s="74">
        <v>26.58</v>
      </c>
      <c r="DN13" s="75">
        <v>1</v>
      </c>
      <c r="DO13" s="74">
        <v>-5.7400000000000029</v>
      </c>
      <c r="DP13" s="75">
        <v>0.375</v>
      </c>
      <c r="DQ13" s="74">
        <v>-34.070000000000007</v>
      </c>
      <c r="DR13" s="75">
        <v>0.16666666666666666</v>
      </c>
      <c r="DS13" s="74">
        <v>-20.380000000000003</v>
      </c>
      <c r="DT13" s="75">
        <v>0.33333333333333331</v>
      </c>
      <c r="DU13" s="74">
        <v>-30.33</v>
      </c>
      <c r="DV13" s="75">
        <v>0.36363636363636365</v>
      </c>
      <c r="DW13" s="74">
        <v>1.37</v>
      </c>
      <c r="DX13" s="75">
        <v>0.375</v>
      </c>
      <c r="DY13" s="74">
        <v>-56.08</v>
      </c>
      <c r="DZ13" s="75">
        <v>0.2</v>
      </c>
      <c r="EA13" s="74">
        <v>-31.689999999999998</v>
      </c>
      <c r="EB13" s="75">
        <v>0</v>
      </c>
      <c r="EC13" s="74">
        <v>-74.2</v>
      </c>
      <c r="ED13" s="75">
        <v>0</v>
      </c>
      <c r="EE13" s="74">
        <v>-1.5200000000000005</v>
      </c>
      <c r="EF13" s="75">
        <v>0.5</v>
      </c>
      <c r="EG13" s="74">
        <v>8.0500000000000007</v>
      </c>
      <c r="EH13" s="512">
        <v>1</v>
      </c>
      <c r="EI13" s="74">
        <v>-14.92</v>
      </c>
      <c r="EJ13" s="453">
        <v>0.5</v>
      </c>
      <c r="EK13" s="74">
        <v>-10.41</v>
      </c>
      <c r="EL13" s="512">
        <v>0.5</v>
      </c>
      <c r="EM13" s="74">
        <v>-10.1</v>
      </c>
      <c r="EN13" s="512">
        <v>0.5</v>
      </c>
      <c r="EO13" s="74">
        <v>-5.1900000000000013</v>
      </c>
      <c r="EP13" s="512">
        <v>0.5</v>
      </c>
      <c r="EQ13" s="74">
        <v>24.889999999999997</v>
      </c>
      <c r="ER13" s="512">
        <v>1</v>
      </c>
      <c r="ES13" s="74">
        <v>-20.680000000000003</v>
      </c>
      <c r="ET13" s="512">
        <v>0.6</v>
      </c>
      <c r="EU13" s="74">
        <v>-32.680000000000007</v>
      </c>
      <c r="EV13" s="512">
        <v>0.4</v>
      </c>
      <c r="EW13" s="74">
        <v>-16.399999999999999</v>
      </c>
      <c r="EX13" s="512">
        <v>0.66666666666666663</v>
      </c>
      <c r="EY13" s="74">
        <v>-3.379999999999999</v>
      </c>
      <c r="EZ13" s="512">
        <v>0.25</v>
      </c>
      <c r="FA13" s="74">
        <v>23.689999999999998</v>
      </c>
      <c r="FB13" s="512">
        <v>1</v>
      </c>
      <c r="FC13" s="74">
        <v>12.540000000000001</v>
      </c>
      <c r="FD13" s="512">
        <v>1</v>
      </c>
      <c r="FE13" s="74">
        <v>26.37</v>
      </c>
      <c r="FF13" s="512">
        <v>0.83333333333333337</v>
      </c>
      <c r="FG13" s="74">
        <v>-19.269999999999996</v>
      </c>
      <c r="FH13" s="512">
        <v>0.4</v>
      </c>
      <c r="FI13" s="74">
        <v>22.509999999999998</v>
      </c>
      <c r="FJ13" s="512">
        <v>0.8</v>
      </c>
      <c r="FK13" s="74">
        <v>15.790000000000001</v>
      </c>
      <c r="FL13" s="453">
        <v>1</v>
      </c>
      <c r="FM13" s="74">
        <v>25.37</v>
      </c>
      <c r="FN13" s="512">
        <v>1</v>
      </c>
      <c r="FO13" s="74">
        <v>-11.370000000000001</v>
      </c>
      <c r="FP13" s="512">
        <v>0.625</v>
      </c>
      <c r="FQ13" s="74">
        <v>17.05</v>
      </c>
      <c r="FR13" s="512">
        <v>0.5</v>
      </c>
      <c r="FS13" s="74">
        <v>-38.479999999999997</v>
      </c>
      <c r="FT13" s="512">
        <v>0.42857142857142855</v>
      </c>
      <c r="FU13" s="74">
        <v>-24.77</v>
      </c>
      <c r="FV13" s="512">
        <v>0.44444444444444442</v>
      </c>
      <c r="FW13" s="74">
        <v>6.07</v>
      </c>
      <c r="FX13" s="512">
        <v>0.66666666666666663</v>
      </c>
      <c r="FY13" s="74">
        <v>3.08</v>
      </c>
      <c r="FZ13" s="512">
        <v>1</v>
      </c>
      <c r="GA13" s="74">
        <v>-9.6400000000000023</v>
      </c>
      <c r="GB13" s="512">
        <v>0.6</v>
      </c>
      <c r="GC13" s="74">
        <v>-52.06</v>
      </c>
      <c r="GD13" s="512">
        <v>0</v>
      </c>
      <c r="GE13" s="74">
        <v>21.259999999999994</v>
      </c>
      <c r="GF13" s="512">
        <v>0.66666666666666663</v>
      </c>
      <c r="GG13" s="74">
        <v>-67.73</v>
      </c>
      <c r="GH13" s="512">
        <v>0.14285714285714285</v>
      </c>
      <c r="GI13" s="74">
        <v>-44.05</v>
      </c>
      <c r="GJ13" s="512">
        <v>0.2</v>
      </c>
      <c r="GK13" s="74">
        <v>4.3400000000000007</v>
      </c>
      <c r="GL13" s="512">
        <v>0.42857142857142855</v>
      </c>
      <c r="GM13" s="74">
        <v>-22.150000000000006</v>
      </c>
      <c r="GN13" s="512">
        <v>0.6</v>
      </c>
      <c r="GO13" s="74"/>
      <c r="GP13" s="512"/>
      <c r="GQ13" s="74">
        <v>-23.149999999999995</v>
      </c>
      <c r="GR13" s="453">
        <v>0.5</v>
      </c>
      <c r="GS13" s="90">
        <v>-58.11</v>
      </c>
      <c r="GT13" s="512">
        <v>0.44444444444444442</v>
      </c>
      <c r="GU13" s="74">
        <v>-70.320000000000007</v>
      </c>
      <c r="GV13" s="512">
        <v>0</v>
      </c>
      <c r="GW13" s="74">
        <v>29.529999999999998</v>
      </c>
      <c r="GX13" s="512">
        <v>1</v>
      </c>
      <c r="GY13" s="74">
        <v>3.5500000000000003</v>
      </c>
      <c r="GZ13" s="512">
        <v>0.83333333333333337</v>
      </c>
      <c r="HA13" s="74">
        <v>9.3800000000000008</v>
      </c>
      <c r="HB13" s="512">
        <v>1</v>
      </c>
      <c r="HC13" s="74">
        <v>-28.69</v>
      </c>
      <c r="HD13" s="453">
        <v>0.4</v>
      </c>
      <c r="HE13" s="74">
        <v>5.14</v>
      </c>
      <c r="HF13" s="512">
        <v>0.5</v>
      </c>
      <c r="HG13" s="74">
        <v>16.87</v>
      </c>
      <c r="HH13" s="512">
        <v>0.5</v>
      </c>
      <c r="HI13" s="74">
        <v>32.269999999999996</v>
      </c>
      <c r="HJ13" s="512">
        <v>0.8571428571428571</v>
      </c>
      <c r="HK13" s="74">
        <v>9.02</v>
      </c>
      <c r="HL13" s="512">
        <v>1</v>
      </c>
      <c r="HM13" s="74">
        <v>8.1600000000000019</v>
      </c>
      <c r="HN13" s="512">
        <v>0.5</v>
      </c>
      <c r="HO13" s="74">
        <v>9.3800000000000008</v>
      </c>
      <c r="HP13" s="512">
        <v>1</v>
      </c>
      <c r="HQ13" s="74">
        <v>29.37</v>
      </c>
      <c r="HR13" s="453">
        <v>1</v>
      </c>
      <c r="HS13" s="74"/>
      <c r="HT13" s="512"/>
      <c r="HU13" s="74"/>
      <c r="HV13" s="512"/>
      <c r="HW13" s="74"/>
      <c r="HX13" s="512"/>
    </row>
    <row r="14" spans="2:246" x14ac:dyDescent="0.25">
      <c r="D14" s="797"/>
      <c r="M14" s="789"/>
      <c r="N14" s="77">
        <f>+N10+L10+J10+H10+F10</f>
        <v>3.4000000000000004</v>
      </c>
      <c r="AK14" s="789"/>
      <c r="AL14" s="77">
        <f>+SUM(P10:AL10)</f>
        <v>11.600000000000001</v>
      </c>
      <c r="AS14" s="789"/>
      <c r="AT14" s="77">
        <f>+SUM(AM10:AT10)</f>
        <v>4.8</v>
      </c>
      <c r="BM14" s="86"/>
      <c r="BN14" s="387">
        <v>4.8</v>
      </c>
      <c r="BO14" s="86"/>
      <c r="BP14" s="387">
        <v>2.4</v>
      </c>
      <c r="BQ14" s="86"/>
      <c r="BR14" s="387">
        <v>4.2</v>
      </c>
      <c r="BS14" s="86"/>
      <c r="BT14" s="387">
        <v>3</v>
      </c>
      <c r="BU14" s="86"/>
      <c r="BV14" s="387">
        <v>5.9999999999999991</v>
      </c>
      <c r="BW14" s="86"/>
      <c r="BX14" s="387"/>
      <c r="BY14" s="86"/>
      <c r="BZ14" s="387">
        <v>0.6</v>
      </c>
      <c r="CA14" s="6"/>
      <c r="CB14" s="387"/>
      <c r="CC14" s="86"/>
      <c r="CD14" s="387"/>
      <c r="CE14" s="86"/>
      <c r="CF14" s="387"/>
      <c r="CG14" s="86"/>
      <c r="CH14" s="387">
        <v>2.4</v>
      </c>
      <c r="CI14" s="86"/>
      <c r="CJ14" s="387">
        <v>3.6</v>
      </c>
      <c r="CK14" s="86"/>
      <c r="CL14" s="396">
        <v>4.8</v>
      </c>
      <c r="CM14" s="86"/>
      <c r="CN14" s="398">
        <v>0.6</v>
      </c>
      <c r="CO14" s="86"/>
      <c r="CP14" s="402">
        <v>1.2</v>
      </c>
      <c r="CQ14" s="86"/>
      <c r="CR14" s="402">
        <v>3</v>
      </c>
      <c r="CS14" s="86"/>
      <c r="CT14" s="411">
        <v>3.6</v>
      </c>
      <c r="CU14" s="86"/>
      <c r="CV14" s="411">
        <v>3.6</v>
      </c>
      <c r="CW14" s="86"/>
      <c r="CX14" s="416">
        <v>2.4</v>
      </c>
      <c r="CY14" s="86"/>
      <c r="CZ14" s="420">
        <v>5.3999999999999995</v>
      </c>
      <c r="DA14" s="86"/>
      <c r="DB14" s="423">
        <v>4.2</v>
      </c>
      <c r="DC14" s="86"/>
      <c r="DD14" s="430">
        <v>3</v>
      </c>
      <c r="DE14" s="86"/>
      <c r="DF14" s="111">
        <v>2.4</v>
      </c>
      <c r="DG14" s="6"/>
      <c r="DH14" s="430">
        <v>6.5999999999999988</v>
      </c>
      <c r="DI14" s="86"/>
      <c r="DJ14" s="430">
        <v>2.4</v>
      </c>
      <c r="DK14" s="86"/>
      <c r="DL14" s="430">
        <v>6.3999999999999995</v>
      </c>
      <c r="DM14" s="86"/>
      <c r="DN14" s="430">
        <v>5.6</v>
      </c>
      <c r="DO14" s="86"/>
      <c r="DP14" s="430">
        <v>6.3999999999999995</v>
      </c>
      <c r="DQ14" s="86"/>
      <c r="DR14" s="430">
        <v>4.8</v>
      </c>
      <c r="DS14" s="86"/>
      <c r="DT14" s="430">
        <v>4.8</v>
      </c>
      <c r="DU14" s="86"/>
      <c r="DV14" s="430">
        <v>11</v>
      </c>
      <c r="DW14" s="86"/>
      <c r="DX14" s="430">
        <v>8</v>
      </c>
      <c r="DY14" s="86"/>
      <c r="DZ14" s="430">
        <v>5</v>
      </c>
      <c r="EA14" s="86"/>
      <c r="EB14" s="430">
        <v>2</v>
      </c>
      <c r="EC14" s="86"/>
      <c r="ED14" s="430">
        <v>3</v>
      </c>
      <c r="EE14" s="86"/>
      <c r="EF14" s="430">
        <v>4</v>
      </c>
      <c r="EG14" s="86"/>
      <c r="EH14" s="498">
        <v>1</v>
      </c>
      <c r="EI14" s="86"/>
      <c r="EJ14" s="111">
        <v>4</v>
      </c>
      <c r="EK14" s="86"/>
      <c r="EL14" s="498">
        <v>4</v>
      </c>
      <c r="EM14" s="86"/>
      <c r="EN14" s="510">
        <v>2</v>
      </c>
      <c r="EO14" s="86"/>
      <c r="EP14" s="514">
        <v>2</v>
      </c>
      <c r="EQ14" s="86"/>
      <c r="ER14" s="517">
        <v>4</v>
      </c>
      <c r="ES14" s="86"/>
      <c r="ET14" s="520">
        <v>5</v>
      </c>
      <c r="EU14" s="86"/>
      <c r="EV14" s="523">
        <v>5</v>
      </c>
      <c r="EW14" s="86"/>
      <c r="EX14" s="526">
        <v>6</v>
      </c>
      <c r="EY14" s="86"/>
      <c r="EZ14" s="529">
        <v>4</v>
      </c>
      <c r="FA14" s="86"/>
      <c r="FB14" s="532">
        <v>3</v>
      </c>
      <c r="FC14" s="86"/>
      <c r="FD14" s="535">
        <v>2</v>
      </c>
      <c r="FE14" s="86"/>
      <c r="FF14" s="535">
        <v>6</v>
      </c>
      <c r="FG14" s="86"/>
      <c r="FH14" s="538">
        <v>5</v>
      </c>
      <c r="FI14" s="86"/>
      <c r="FJ14" s="542">
        <v>5</v>
      </c>
      <c r="FK14" s="86"/>
      <c r="FL14" s="111">
        <v>2</v>
      </c>
      <c r="FM14" s="86"/>
      <c r="FN14" s="549">
        <v>4</v>
      </c>
      <c r="FO14" s="86"/>
      <c r="FP14" s="561">
        <v>8</v>
      </c>
      <c r="FQ14" s="86"/>
      <c r="FR14" s="565">
        <v>8</v>
      </c>
      <c r="FS14" s="86"/>
      <c r="FT14" s="571">
        <v>7</v>
      </c>
      <c r="FU14" s="86"/>
      <c r="FV14" s="575">
        <v>9</v>
      </c>
      <c r="FW14" s="86"/>
      <c r="FX14" s="579">
        <v>3</v>
      </c>
      <c r="FY14" s="86"/>
      <c r="FZ14" s="583">
        <v>1</v>
      </c>
      <c r="GA14" s="86"/>
      <c r="GB14" s="587">
        <v>5</v>
      </c>
      <c r="GC14" s="86"/>
      <c r="GD14" s="592">
        <v>3</v>
      </c>
      <c r="GE14" s="86"/>
      <c r="GF14" s="596">
        <v>6</v>
      </c>
      <c r="GG14" s="86"/>
      <c r="GH14" s="600">
        <v>7</v>
      </c>
      <c r="GI14" s="86"/>
      <c r="GJ14" s="606">
        <v>5</v>
      </c>
      <c r="GK14" s="86"/>
      <c r="GL14" s="606">
        <v>7</v>
      </c>
      <c r="GM14" s="86"/>
      <c r="GN14" s="612">
        <v>5</v>
      </c>
      <c r="GO14" s="86"/>
      <c r="GP14" s="616"/>
      <c r="GQ14" s="86"/>
      <c r="GR14" s="111">
        <v>6</v>
      </c>
      <c r="GS14" s="6"/>
      <c r="GT14" s="635">
        <v>9</v>
      </c>
      <c r="GU14" s="86"/>
      <c r="GV14" s="629">
        <v>4</v>
      </c>
      <c r="GW14" s="86"/>
      <c r="GX14" s="635">
        <v>4</v>
      </c>
      <c r="GY14" s="86"/>
      <c r="GZ14" s="641">
        <v>6</v>
      </c>
      <c r="HA14" s="86"/>
      <c r="HB14" s="645">
        <v>1</v>
      </c>
      <c r="HC14" s="86"/>
      <c r="HD14" s="111">
        <v>5</v>
      </c>
      <c r="HE14" s="86"/>
      <c r="HF14" s="657">
        <v>2</v>
      </c>
      <c r="HG14" s="86"/>
      <c r="HH14" s="657">
        <v>8</v>
      </c>
      <c r="HI14" s="86"/>
      <c r="HJ14" s="671">
        <v>7</v>
      </c>
      <c r="HK14" s="86"/>
      <c r="HL14" s="676">
        <v>1</v>
      </c>
      <c r="HM14" s="86"/>
      <c r="HN14" s="680">
        <v>6</v>
      </c>
      <c r="HO14" s="86"/>
      <c r="HP14" s="686">
        <v>1</v>
      </c>
      <c r="HQ14" s="86"/>
      <c r="HR14" s="111">
        <v>4</v>
      </c>
      <c r="HS14" s="86"/>
      <c r="HT14" s="694"/>
      <c r="HU14" s="86"/>
      <c r="HV14" s="699"/>
      <c r="HW14" s="86"/>
      <c r="HX14" s="704"/>
    </row>
    <row r="15" spans="2:246" x14ac:dyDescent="0.25">
      <c r="M15" s="790"/>
      <c r="N15" s="185">
        <f>+N14+N12</f>
        <v>18.27</v>
      </c>
      <c r="AK15" s="790"/>
      <c r="AL15" s="185">
        <f>+AL14+AL12</f>
        <v>1.0000000000000053</v>
      </c>
      <c r="AS15" s="790"/>
      <c r="AT15" s="185">
        <f>+AT14+AT12</f>
        <v>9.7899999999999991</v>
      </c>
      <c r="BY15" s="6"/>
      <c r="BZ15" s="87"/>
      <c r="DF15" s="455"/>
      <c r="DG15" s="6"/>
      <c r="DH15" s="6"/>
      <c r="DI15" s="86"/>
      <c r="DJ15" s="87"/>
      <c r="DK15" s="86"/>
      <c r="DL15" s="6"/>
      <c r="DM15" s="86"/>
      <c r="DN15" s="6"/>
      <c r="DO15" s="86"/>
      <c r="DP15" s="6"/>
      <c r="DQ15" s="86"/>
      <c r="DR15" s="6"/>
      <c r="DS15" s="86"/>
      <c r="DT15" s="6"/>
      <c r="DU15" s="86"/>
      <c r="DV15" s="87"/>
      <c r="DW15" s="86"/>
      <c r="DX15" s="6"/>
      <c r="DY15" s="86"/>
      <c r="DZ15" s="6"/>
      <c r="EA15" s="86"/>
      <c r="EB15" s="6"/>
      <c r="EC15" s="86"/>
      <c r="ED15" s="6"/>
      <c r="EE15" s="86"/>
      <c r="EF15" s="6"/>
      <c r="EG15" s="86"/>
      <c r="EH15" s="6"/>
      <c r="EI15" s="86"/>
      <c r="EJ15" s="455"/>
      <c r="EK15" s="86"/>
      <c r="EL15" s="6"/>
      <c r="EM15" s="86"/>
      <c r="EN15" s="6"/>
      <c r="EO15" s="86"/>
      <c r="EP15" s="6"/>
      <c r="EQ15" s="86"/>
      <c r="ER15" s="6"/>
      <c r="ES15" s="86"/>
      <c r="ET15" s="6"/>
      <c r="EU15" s="86"/>
      <c r="EV15" s="6"/>
      <c r="EW15" s="86"/>
      <c r="EX15" s="6"/>
      <c r="EY15" s="86"/>
      <c r="EZ15" s="6"/>
      <c r="FA15" s="86"/>
      <c r="FB15" s="6"/>
      <c r="FC15" s="86"/>
      <c r="FD15" s="6"/>
      <c r="FE15" s="86"/>
      <c r="FF15" s="6"/>
      <c r="FG15" s="86"/>
      <c r="FH15" s="6"/>
      <c r="FI15" s="86"/>
      <c r="FJ15" s="6"/>
      <c r="FK15" s="86"/>
      <c r="FL15" s="455"/>
      <c r="FM15" s="86"/>
      <c r="FN15" s="6"/>
      <c r="FO15" s="86"/>
      <c r="FP15" s="6"/>
      <c r="FQ15" s="86"/>
      <c r="FR15" s="6"/>
      <c r="FS15" s="86"/>
      <c r="FT15" s="6"/>
      <c r="FU15" s="86"/>
      <c r="FV15" s="6"/>
      <c r="FW15" s="86"/>
      <c r="FX15" s="6"/>
      <c r="FY15" s="86"/>
      <c r="FZ15" s="6"/>
      <c r="GA15" s="86"/>
      <c r="GB15" s="6"/>
      <c r="GC15" s="86"/>
      <c r="GD15" s="6"/>
      <c r="GE15" s="86"/>
      <c r="GF15" s="6"/>
      <c r="GG15" s="86"/>
      <c r="GH15" s="6"/>
      <c r="GI15" s="86"/>
      <c r="GJ15" s="6"/>
      <c r="GK15" s="86"/>
      <c r="GL15" s="6"/>
      <c r="GM15" s="86"/>
      <c r="GN15" s="6"/>
      <c r="GO15" s="86"/>
      <c r="GP15" s="6"/>
      <c r="GQ15" s="86"/>
      <c r="GR15" s="455"/>
      <c r="GS15" s="6"/>
      <c r="GT15" s="6"/>
      <c r="GU15" s="86"/>
      <c r="GV15" s="6"/>
      <c r="GW15" s="86"/>
      <c r="GX15" s="6"/>
      <c r="GY15" s="86"/>
      <c r="GZ15" s="6"/>
      <c r="HA15" s="86"/>
      <c r="HB15" s="6"/>
      <c r="HC15" s="86"/>
      <c r="HD15" s="455"/>
      <c r="HE15" s="86"/>
      <c r="HF15" s="6"/>
      <c r="HG15" s="86"/>
      <c r="HH15" s="6"/>
      <c r="HI15" s="86"/>
      <c r="HJ15" s="6"/>
      <c r="HK15" s="86"/>
      <c r="HL15" s="6"/>
      <c r="HM15" s="86"/>
      <c r="HN15" s="6"/>
      <c r="HO15" s="86"/>
      <c r="HP15" s="6"/>
      <c r="HQ15" s="86"/>
      <c r="HR15" s="455"/>
      <c r="HS15" s="86"/>
      <c r="HT15" s="6"/>
      <c r="HU15" s="86"/>
      <c r="HV15" s="6"/>
      <c r="HW15" s="86"/>
      <c r="HX15" s="6"/>
    </row>
    <row r="16" spans="2:246" x14ac:dyDescent="0.25">
      <c r="D16" s="797" t="s">
        <v>62</v>
      </c>
      <c r="M16" s="186" t="s">
        <v>53</v>
      </c>
      <c r="N16" s="186">
        <f>+COUNT(E6:N6)</f>
        <v>5</v>
      </c>
      <c r="AK16" s="186" t="s">
        <v>53</v>
      </c>
      <c r="AL16" s="186">
        <f>+COUNT(O6:AL6)</f>
        <v>12</v>
      </c>
      <c r="AS16" s="307" t="s">
        <v>53</v>
      </c>
      <c r="AT16" s="307">
        <f>+COUNT(AM6:AT6)</f>
        <v>4</v>
      </c>
      <c r="BQ16" s="74">
        <v>31.889999999999997</v>
      </c>
      <c r="BR16" s="75">
        <v>0.66666666666666663</v>
      </c>
      <c r="BS16" s="74">
        <v>-26.630000000000003</v>
      </c>
      <c r="BT16" s="75">
        <v>0.2</v>
      </c>
      <c r="BU16" s="74">
        <v>-27.6</v>
      </c>
      <c r="BV16" s="75">
        <v>0.16666666666666666</v>
      </c>
      <c r="BW16" s="74">
        <v>9</v>
      </c>
      <c r="BX16" s="75">
        <v>0</v>
      </c>
      <c r="BY16" s="74">
        <v>8.370000000000001</v>
      </c>
      <c r="BZ16" s="75">
        <v>1</v>
      </c>
      <c r="CA16" s="90"/>
      <c r="CB16" s="75"/>
      <c r="CC16" s="74"/>
      <c r="CD16" s="75"/>
      <c r="CE16" s="74"/>
      <c r="CF16" s="75"/>
      <c r="CG16" s="74">
        <v>11.98</v>
      </c>
      <c r="CH16" s="75">
        <v>0.75</v>
      </c>
      <c r="CI16" s="74">
        <v>-17.52</v>
      </c>
      <c r="CJ16" s="75">
        <v>0.25</v>
      </c>
      <c r="CK16" s="74">
        <v>-19.45</v>
      </c>
      <c r="CL16" s="75">
        <v>0</v>
      </c>
      <c r="CM16" s="74"/>
      <c r="CN16" s="75"/>
      <c r="CO16" s="74">
        <v>-2.9099999999999993</v>
      </c>
      <c r="CP16" s="75">
        <v>0.5</v>
      </c>
      <c r="CQ16" s="74">
        <v>-13.8</v>
      </c>
      <c r="CR16" s="75">
        <v>0</v>
      </c>
      <c r="CS16" s="74">
        <v>-1.2300000000000009</v>
      </c>
      <c r="CT16" s="75">
        <v>0.66666666666666663</v>
      </c>
      <c r="CU16" s="74">
        <v>-3.2000000000000011</v>
      </c>
      <c r="CV16" s="75">
        <v>0.5714285714285714</v>
      </c>
      <c r="CW16" s="74">
        <v>19.149999999999995</v>
      </c>
      <c r="CX16" s="75">
        <v>0.75</v>
      </c>
      <c r="CY16" s="74">
        <v>23.139999999999986</v>
      </c>
      <c r="CZ16" s="75">
        <v>0.55555555555555558</v>
      </c>
      <c r="DA16" s="74">
        <v>-14.029999999999998</v>
      </c>
      <c r="DB16" s="75">
        <v>0</v>
      </c>
      <c r="DC16" s="74">
        <v>-14.04</v>
      </c>
      <c r="DD16" s="75">
        <v>0</v>
      </c>
      <c r="DE16" s="74">
        <v>24.269999999999989</v>
      </c>
      <c r="DF16" s="453">
        <v>0.77777777777777779</v>
      </c>
      <c r="DG16" s="90">
        <v>-14.2</v>
      </c>
      <c r="DH16" s="75">
        <v>0.33333333333333331</v>
      </c>
      <c r="DI16" s="74">
        <v>-14.259999999999998</v>
      </c>
      <c r="DJ16" s="75">
        <v>0.2</v>
      </c>
      <c r="DK16" s="74">
        <v>15.089999999999993</v>
      </c>
      <c r="DL16" s="75">
        <v>0.44444444444444442</v>
      </c>
      <c r="DM16" s="74">
        <v>8.1599999999999984</v>
      </c>
      <c r="DN16" s="75">
        <v>0.8</v>
      </c>
      <c r="DO16" s="74">
        <v>-18.2</v>
      </c>
      <c r="DP16" s="75">
        <v>0</v>
      </c>
      <c r="DQ16" s="74">
        <v>-18.540000000000003</v>
      </c>
      <c r="DR16" s="75">
        <v>0</v>
      </c>
      <c r="DS16" s="74">
        <v>-17.62</v>
      </c>
      <c r="DT16" s="75">
        <v>0</v>
      </c>
      <c r="DU16" s="74">
        <v>-17.71</v>
      </c>
      <c r="DV16" s="75">
        <v>0</v>
      </c>
      <c r="DW16" s="74">
        <v>-18.13</v>
      </c>
      <c r="DX16" s="75">
        <v>0</v>
      </c>
      <c r="DY16" s="74">
        <v>-17.54</v>
      </c>
      <c r="DZ16" s="75">
        <v>0</v>
      </c>
      <c r="EA16" s="74">
        <v>-17.490000000000002</v>
      </c>
      <c r="EB16" s="75">
        <v>0</v>
      </c>
      <c r="EC16" s="74">
        <v>-17.990000000000002</v>
      </c>
      <c r="ED16" s="75">
        <v>0</v>
      </c>
      <c r="EE16" s="74">
        <v>-17.470000000000002</v>
      </c>
      <c r="EF16" s="75">
        <v>0</v>
      </c>
      <c r="EG16" s="74">
        <v>-9.56</v>
      </c>
      <c r="EH16" s="512">
        <v>0</v>
      </c>
      <c r="EI16" s="74">
        <v>-6.3800000000000008</v>
      </c>
      <c r="EJ16" s="453">
        <v>0.25</v>
      </c>
      <c r="EK16" s="74">
        <v>17.409999999999997</v>
      </c>
      <c r="EL16" s="512">
        <v>0.6</v>
      </c>
      <c r="EM16" s="74">
        <v>-17.82</v>
      </c>
      <c r="EN16" s="512">
        <v>0</v>
      </c>
      <c r="EO16" s="74">
        <v>7.7099999999999991</v>
      </c>
      <c r="EP16" s="512">
        <v>0.5</v>
      </c>
      <c r="EQ16" s="74">
        <v>39.960000000000008</v>
      </c>
      <c r="ER16" s="512">
        <v>0.5714285714285714</v>
      </c>
      <c r="ES16" s="74">
        <v>1.7200000000000024</v>
      </c>
      <c r="ET16" s="512">
        <v>0.4</v>
      </c>
      <c r="EU16" s="74">
        <v>-17.169999999999998</v>
      </c>
      <c r="EV16" s="512">
        <v>0</v>
      </c>
      <c r="EW16" s="74">
        <v>-17.569999999999997</v>
      </c>
      <c r="EX16" s="512">
        <v>0.25</v>
      </c>
      <c r="EY16" s="74">
        <v>-6.65</v>
      </c>
      <c r="EZ16" s="512">
        <v>0.25</v>
      </c>
      <c r="FA16" s="74">
        <v>-11.299999999999999</v>
      </c>
      <c r="FB16" s="512">
        <v>0.25</v>
      </c>
      <c r="FC16" s="74">
        <v>21.49</v>
      </c>
      <c r="FD16" s="512">
        <v>0.66666666666666663</v>
      </c>
      <c r="FE16" s="74">
        <v>-14.14</v>
      </c>
      <c r="FF16" s="512">
        <v>0</v>
      </c>
      <c r="FG16" s="74">
        <v>-14.079999999999998</v>
      </c>
      <c r="FH16" s="512">
        <v>0.4</v>
      </c>
      <c r="FI16" s="74">
        <v>-14.11</v>
      </c>
      <c r="FJ16" s="512">
        <v>0</v>
      </c>
      <c r="FK16" s="74">
        <v>-13.54</v>
      </c>
      <c r="FL16" s="453">
        <v>0</v>
      </c>
      <c r="FM16" s="74">
        <v>-14.31</v>
      </c>
      <c r="FN16" s="512">
        <v>0.25</v>
      </c>
      <c r="FO16" s="74">
        <v>-14.599999999999998</v>
      </c>
      <c r="FP16" s="512">
        <v>0</v>
      </c>
      <c r="FQ16" s="74">
        <v>-13.9</v>
      </c>
      <c r="FR16" s="512">
        <v>0</v>
      </c>
      <c r="FS16" s="74">
        <v>-14.200000000000001</v>
      </c>
      <c r="FT16" s="512">
        <v>0</v>
      </c>
      <c r="FU16" s="74">
        <v>-13.81</v>
      </c>
      <c r="FV16" s="512">
        <v>0.25</v>
      </c>
      <c r="FW16" s="74">
        <v>31.14</v>
      </c>
      <c r="FX16" s="512">
        <v>0.75</v>
      </c>
      <c r="FY16" s="74">
        <v>3.2699999999999996</v>
      </c>
      <c r="FZ16" s="512">
        <v>1</v>
      </c>
      <c r="GA16" s="74">
        <v>-12.34</v>
      </c>
      <c r="GB16" s="512">
        <v>0</v>
      </c>
      <c r="GC16" s="74">
        <v>-12.43</v>
      </c>
      <c r="GD16" s="512">
        <v>0</v>
      </c>
      <c r="GE16" s="74">
        <v>-12.25</v>
      </c>
      <c r="GF16" s="512">
        <v>0</v>
      </c>
      <c r="GG16" s="74">
        <v>-9.3000000000000007</v>
      </c>
      <c r="GH16" s="512">
        <v>0.4</v>
      </c>
      <c r="GI16" s="74">
        <v>-12.36</v>
      </c>
      <c r="GJ16" s="512">
        <v>0</v>
      </c>
      <c r="GK16" s="74">
        <v>-12.13</v>
      </c>
      <c r="GL16" s="512">
        <v>0</v>
      </c>
      <c r="GM16" s="74">
        <v>-8.98</v>
      </c>
      <c r="GN16" s="512">
        <v>0</v>
      </c>
      <c r="GO16" s="74"/>
      <c r="GP16" s="512"/>
      <c r="GQ16" s="74">
        <v>-9.3000000000000007</v>
      </c>
      <c r="GR16" s="453">
        <v>0</v>
      </c>
      <c r="GS16" s="90">
        <v>-7.8</v>
      </c>
      <c r="GT16" s="512">
        <v>0</v>
      </c>
      <c r="GU16" s="74">
        <v>-8.1999999999999993</v>
      </c>
      <c r="GV16" s="512">
        <v>0</v>
      </c>
      <c r="GW16" s="74">
        <v>-5.9700000000000006</v>
      </c>
      <c r="GX16" s="512">
        <v>0.5</v>
      </c>
      <c r="GY16" s="74">
        <v>-8.1</v>
      </c>
      <c r="GZ16" s="512">
        <v>0</v>
      </c>
      <c r="HA16" s="74">
        <v>23.09</v>
      </c>
      <c r="HB16" s="512">
        <v>1</v>
      </c>
      <c r="HC16" s="74">
        <v>-9</v>
      </c>
      <c r="HD16" s="453">
        <v>0</v>
      </c>
      <c r="HE16" s="74">
        <v>-8.1199999999999992</v>
      </c>
      <c r="HF16" s="512">
        <v>0.5</v>
      </c>
      <c r="HG16" s="74">
        <v>-4.0500000000000025</v>
      </c>
      <c r="HH16" s="512">
        <v>0.33333333333333331</v>
      </c>
      <c r="HI16" s="74">
        <v>-7.8900000000000006</v>
      </c>
      <c r="HJ16" s="512">
        <v>0</v>
      </c>
      <c r="HK16" s="74">
        <v>4.22</v>
      </c>
      <c r="HL16" s="512">
        <v>1</v>
      </c>
      <c r="HM16" s="74">
        <v>32.11</v>
      </c>
      <c r="HN16" s="512">
        <v>1</v>
      </c>
      <c r="HO16" s="74">
        <v>-9.09</v>
      </c>
      <c r="HP16" s="512">
        <v>0</v>
      </c>
      <c r="HQ16" s="74">
        <v>0.70000000000000195</v>
      </c>
      <c r="HR16" s="453">
        <v>0.4</v>
      </c>
      <c r="HS16" s="74"/>
      <c r="HT16" s="512"/>
      <c r="HU16" s="74"/>
      <c r="HV16" s="512"/>
      <c r="HW16" s="74"/>
      <c r="HX16" s="512"/>
    </row>
    <row r="17" spans="2:235" x14ac:dyDescent="0.25">
      <c r="D17" s="797"/>
      <c r="BQ17" s="86"/>
      <c r="BR17" s="387">
        <v>3.6</v>
      </c>
      <c r="BS17" s="86"/>
      <c r="BT17" s="387">
        <v>3</v>
      </c>
      <c r="BU17" s="86"/>
      <c r="BV17" s="387">
        <v>3.6</v>
      </c>
      <c r="BW17" s="86"/>
      <c r="BX17" s="387"/>
      <c r="BY17" s="86"/>
      <c r="BZ17" s="387">
        <v>0.6</v>
      </c>
      <c r="CA17" s="6"/>
      <c r="CB17" s="387"/>
      <c r="CC17" s="86"/>
      <c r="CD17" s="387"/>
      <c r="CE17" s="86"/>
      <c r="CF17" s="387"/>
      <c r="CG17" s="86"/>
      <c r="CH17" s="387">
        <v>2.4</v>
      </c>
      <c r="CI17" s="86"/>
      <c r="CJ17" s="387">
        <v>2.4</v>
      </c>
      <c r="CK17" s="86"/>
      <c r="CL17" s="396">
        <v>2.4</v>
      </c>
      <c r="CM17" s="86"/>
      <c r="CN17" s="398"/>
      <c r="CO17" s="86"/>
      <c r="CP17" s="402">
        <v>1.2</v>
      </c>
      <c r="CQ17" s="86"/>
      <c r="CR17" s="402">
        <v>1.2</v>
      </c>
      <c r="CS17" s="86"/>
      <c r="CT17" s="411">
        <v>5.3999999999999995</v>
      </c>
      <c r="CU17" s="86"/>
      <c r="CV17" s="411">
        <v>4.2</v>
      </c>
      <c r="CW17" s="86"/>
      <c r="CX17" s="416">
        <v>2.4</v>
      </c>
      <c r="CY17" s="86"/>
      <c r="CZ17" s="420">
        <v>5.3999999999999995</v>
      </c>
      <c r="DA17" s="86"/>
      <c r="DB17" s="423">
        <v>1.2</v>
      </c>
      <c r="DC17" s="86"/>
      <c r="DD17" s="430">
        <v>1.2</v>
      </c>
      <c r="DE17" s="86"/>
      <c r="DF17" s="111">
        <v>5.3999999999999995</v>
      </c>
      <c r="DG17" s="6"/>
      <c r="DH17" s="430">
        <v>1.7999999999999998</v>
      </c>
      <c r="DI17" s="86"/>
      <c r="DJ17" s="430">
        <v>3</v>
      </c>
      <c r="DK17" s="86"/>
      <c r="DL17" s="430">
        <v>7.1999999999999993</v>
      </c>
      <c r="DM17" s="86"/>
      <c r="DN17" s="430">
        <v>7.9999999999999991</v>
      </c>
      <c r="DO17" s="86"/>
      <c r="DP17" s="430">
        <v>1.6</v>
      </c>
      <c r="DQ17" s="86"/>
      <c r="DR17" s="430">
        <v>2.4000000000000004</v>
      </c>
      <c r="DS17" s="86"/>
      <c r="DT17" s="430">
        <v>2.4000000000000004</v>
      </c>
      <c r="DU17" s="86"/>
      <c r="DV17" s="430">
        <v>2</v>
      </c>
      <c r="DW17" s="86"/>
      <c r="DX17" s="430">
        <v>3</v>
      </c>
      <c r="DY17" s="86"/>
      <c r="DZ17" s="430">
        <v>2</v>
      </c>
      <c r="EA17" s="86"/>
      <c r="EB17" s="430">
        <v>2</v>
      </c>
      <c r="EC17" s="86"/>
      <c r="ED17" s="430">
        <v>3</v>
      </c>
      <c r="EE17" s="86"/>
      <c r="EF17" s="430">
        <v>3</v>
      </c>
      <c r="EG17" s="86"/>
      <c r="EH17" s="498">
        <v>1</v>
      </c>
      <c r="EI17" s="86"/>
      <c r="EJ17" s="111">
        <v>4</v>
      </c>
      <c r="EK17" s="86"/>
      <c r="EL17" s="498">
        <v>5</v>
      </c>
      <c r="EM17" s="86"/>
      <c r="EN17" s="510">
        <v>2</v>
      </c>
      <c r="EO17" s="86"/>
      <c r="EP17" s="514">
        <v>2</v>
      </c>
      <c r="EQ17" s="86"/>
      <c r="ER17" s="517">
        <v>7</v>
      </c>
      <c r="ES17" s="86"/>
      <c r="ET17" s="520">
        <v>5</v>
      </c>
      <c r="EU17" s="86"/>
      <c r="EV17" s="523">
        <v>2</v>
      </c>
      <c r="EW17" s="86"/>
      <c r="EX17" s="526">
        <v>4</v>
      </c>
      <c r="EY17" s="86"/>
      <c r="EZ17" s="529">
        <v>4</v>
      </c>
      <c r="FA17" s="86"/>
      <c r="FB17" s="532">
        <v>4</v>
      </c>
      <c r="FC17" s="86"/>
      <c r="FD17" s="535">
        <v>3</v>
      </c>
      <c r="FE17" s="86"/>
      <c r="FF17" s="535">
        <v>2</v>
      </c>
      <c r="FG17" s="86"/>
      <c r="FH17" s="538">
        <v>5</v>
      </c>
      <c r="FI17" s="86"/>
      <c r="FJ17" s="542">
        <v>3</v>
      </c>
      <c r="FK17" s="86"/>
      <c r="FL17" s="111">
        <v>2</v>
      </c>
      <c r="FM17" s="86"/>
      <c r="FN17" s="549">
        <v>4</v>
      </c>
      <c r="FO17" s="86"/>
      <c r="FP17" s="561">
        <v>2</v>
      </c>
      <c r="FQ17" s="86"/>
      <c r="FR17" s="565">
        <v>3</v>
      </c>
      <c r="FS17" s="86"/>
      <c r="FT17" s="571">
        <v>2</v>
      </c>
      <c r="FU17" s="86"/>
      <c r="FV17" s="575">
        <v>4</v>
      </c>
      <c r="FW17" s="86"/>
      <c r="FX17" s="579">
        <v>4</v>
      </c>
      <c r="FY17" s="86"/>
      <c r="FZ17" s="583">
        <v>1</v>
      </c>
      <c r="GA17" s="86"/>
      <c r="GB17" s="587">
        <v>2</v>
      </c>
      <c r="GC17" s="86"/>
      <c r="GD17" s="592">
        <v>2</v>
      </c>
      <c r="GE17" s="86"/>
      <c r="GF17" s="596">
        <v>2</v>
      </c>
      <c r="GG17" s="86"/>
      <c r="GH17" s="600">
        <v>5</v>
      </c>
      <c r="GI17" s="86"/>
      <c r="GJ17" s="606">
        <v>3</v>
      </c>
      <c r="GK17" s="86"/>
      <c r="GL17" s="606">
        <v>2</v>
      </c>
      <c r="GM17" s="86"/>
      <c r="GN17" s="612">
        <v>1</v>
      </c>
      <c r="GO17" s="86"/>
      <c r="GP17" s="616"/>
      <c r="GQ17" s="86"/>
      <c r="GR17" s="111">
        <v>1</v>
      </c>
      <c r="GS17" s="6"/>
      <c r="GT17" s="635">
        <v>2</v>
      </c>
      <c r="GU17" s="86"/>
      <c r="GV17" s="629">
        <v>2</v>
      </c>
      <c r="GW17" s="86"/>
      <c r="GX17" s="635">
        <v>4</v>
      </c>
      <c r="GY17" s="86"/>
      <c r="GZ17" s="641">
        <v>2</v>
      </c>
      <c r="HA17" s="86"/>
      <c r="HB17" s="645">
        <v>1</v>
      </c>
      <c r="HC17" s="86"/>
      <c r="HD17" s="111">
        <v>1</v>
      </c>
      <c r="HE17" s="86"/>
      <c r="HF17" s="657">
        <v>2</v>
      </c>
      <c r="HG17" s="86"/>
      <c r="HH17" s="657">
        <v>6</v>
      </c>
      <c r="HI17" s="86"/>
      <c r="HJ17" s="671">
        <v>2</v>
      </c>
      <c r="HK17" s="86"/>
      <c r="HL17" s="676">
        <v>1</v>
      </c>
      <c r="HM17" s="86"/>
      <c r="HN17" s="680">
        <v>2</v>
      </c>
      <c r="HO17" s="86"/>
      <c r="HP17" s="686">
        <v>1</v>
      </c>
      <c r="HQ17" s="86"/>
      <c r="HR17" s="111">
        <v>5</v>
      </c>
      <c r="HS17" s="86"/>
      <c r="HT17" s="694"/>
      <c r="HU17" s="86"/>
      <c r="HV17" s="699"/>
      <c r="HW17" s="86"/>
      <c r="HX17" s="704"/>
    </row>
    <row r="18" spans="2:235" x14ac:dyDescent="0.25">
      <c r="BY18" s="6"/>
      <c r="BZ18" s="87"/>
      <c r="DF18" s="455"/>
      <c r="DG18" s="6"/>
      <c r="DH18" s="6"/>
      <c r="DI18" s="86"/>
      <c r="DJ18" s="87"/>
      <c r="DK18" s="86"/>
      <c r="DL18" s="6"/>
      <c r="DM18" s="86"/>
      <c r="DN18" s="6"/>
      <c r="DO18" s="86"/>
      <c r="DP18" s="6"/>
      <c r="DQ18" s="86"/>
      <c r="DR18" s="6"/>
      <c r="DS18" s="86"/>
      <c r="DT18" s="6"/>
      <c r="DU18" s="86"/>
      <c r="DV18" s="87"/>
      <c r="DW18" s="86"/>
      <c r="DX18" s="6"/>
      <c r="DY18" s="86"/>
      <c r="DZ18" s="6"/>
      <c r="EA18" s="86"/>
      <c r="EB18" s="6"/>
      <c r="EC18" s="86"/>
      <c r="ED18" s="6"/>
      <c r="EE18" s="86"/>
      <c r="EF18" s="6"/>
      <c r="EG18" s="86"/>
      <c r="EH18" s="6"/>
      <c r="EI18" s="86"/>
      <c r="EJ18" s="455"/>
      <c r="EK18" s="86"/>
      <c r="EL18" s="6"/>
      <c r="EM18" s="86"/>
      <c r="EN18" s="6"/>
      <c r="EO18" s="86"/>
      <c r="EP18" s="6"/>
      <c r="EQ18" s="86"/>
      <c r="ER18" s="6"/>
      <c r="ES18" s="86"/>
      <c r="ET18" s="6"/>
      <c r="EU18" s="86"/>
      <c r="EV18" s="6"/>
      <c r="EW18" s="86"/>
      <c r="EX18" s="6"/>
      <c r="EY18" s="86"/>
      <c r="EZ18" s="6"/>
      <c r="FA18" s="86"/>
      <c r="FB18" s="6"/>
      <c r="FC18" s="86"/>
      <c r="FD18" s="6"/>
      <c r="FE18" s="86"/>
      <c r="FF18" s="6"/>
      <c r="FG18" s="86"/>
      <c r="FH18" s="6"/>
      <c r="FI18" s="86"/>
      <c r="FJ18" s="6"/>
      <c r="FK18" s="86"/>
      <c r="FL18" s="455"/>
      <c r="FM18" s="86"/>
      <c r="FN18" s="6"/>
      <c r="FO18" s="86"/>
      <c r="FP18" s="6"/>
      <c r="FQ18" s="86"/>
      <c r="FR18" s="6"/>
      <c r="FS18" s="86"/>
      <c r="FT18" s="6"/>
      <c r="FU18" s="86"/>
      <c r="FV18" s="6"/>
      <c r="FW18" s="86"/>
      <c r="FX18" s="6"/>
      <c r="FY18" s="86"/>
      <c r="FZ18" s="6"/>
      <c r="GA18" s="86"/>
      <c r="GB18" s="6"/>
      <c r="GC18" s="86"/>
      <c r="GD18" s="6"/>
      <c r="GE18" s="86"/>
      <c r="GF18" s="6"/>
      <c r="GG18" s="86"/>
      <c r="GH18" s="6"/>
      <c r="GI18" s="86"/>
      <c r="GJ18" s="6"/>
      <c r="GK18" s="86"/>
      <c r="GL18" s="6"/>
      <c r="GM18" s="86"/>
      <c r="GN18" s="6"/>
      <c r="GO18" s="86"/>
      <c r="GP18" s="6"/>
      <c r="GQ18" s="86"/>
      <c r="GR18" s="455"/>
      <c r="GS18" s="6"/>
      <c r="GT18" s="6"/>
      <c r="GU18" s="86"/>
      <c r="GV18" s="6"/>
      <c r="GW18" s="86"/>
      <c r="GX18" s="6"/>
      <c r="GY18" s="86"/>
      <c r="GZ18" s="6"/>
      <c r="HA18" s="86"/>
      <c r="HB18" s="6"/>
      <c r="HC18" s="86"/>
      <c r="HD18" s="455"/>
      <c r="HE18" s="86"/>
      <c r="HF18" s="6"/>
      <c r="HG18" s="86"/>
      <c r="HH18" s="6"/>
      <c r="HI18" s="86"/>
      <c r="HJ18" s="6"/>
      <c r="HK18" s="86"/>
      <c r="HL18" s="6"/>
      <c r="HM18" s="86"/>
      <c r="HN18" s="6"/>
      <c r="HO18" s="86"/>
      <c r="HP18" s="6"/>
      <c r="HQ18" s="86"/>
      <c r="HR18" s="455"/>
      <c r="HS18" s="86"/>
      <c r="HT18" s="6"/>
      <c r="HU18" s="86"/>
      <c r="HV18" s="6"/>
      <c r="HW18" s="86"/>
      <c r="HX18" s="6"/>
    </row>
    <row r="19" spans="2:235" x14ac:dyDescent="0.25">
      <c r="D19" s="797" t="s">
        <v>71</v>
      </c>
      <c r="BQ19" s="74"/>
      <c r="BR19" s="75"/>
      <c r="BS19" s="74">
        <v>14.64</v>
      </c>
      <c r="BT19" s="75">
        <v>1</v>
      </c>
      <c r="BU19" s="74">
        <v>-5.6199999999999983</v>
      </c>
      <c r="BV19" s="75">
        <v>0.5</v>
      </c>
      <c r="BW19" s="74">
        <v>-8.4499999999999993</v>
      </c>
      <c r="BX19" s="75">
        <v>0</v>
      </c>
      <c r="BY19" s="74"/>
      <c r="BZ19" s="75"/>
      <c r="CA19" s="90"/>
      <c r="CB19" s="75"/>
      <c r="CC19" s="74"/>
      <c r="CD19" s="75"/>
      <c r="CE19" s="74"/>
      <c r="CF19" s="75"/>
      <c r="CG19" s="74">
        <v>12.18</v>
      </c>
      <c r="CH19" s="75">
        <v>1</v>
      </c>
      <c r="CI19" s="74">
        <v>-11.41</v>
      </c>
      <c r="CJ19" s="75">
        <v>0.5</v>
      </c>
      <c r="CK19" s="74">
        <v>-3.8400000000000003</v>
      </c>
      <c r="CL19" s="75">
        <v>0</v>
      </c>
      <c r="CM19" s="74"/>
      <c r="CN19" s="75"/>
      <c r="CO19" s="74"/>
      <c r="CP19" s="75"/>
      <c r="CQ19" s="74"/>
      <c r="CR19" s="75"/>
      <c r="CS19" s="74"/>
      <c r="CT19" s="75"/>
      <c r="CU19" s="74">
        <v>1.77</v>
      </c>
      <c r="CV19" s="75">
        <v>1</v>
      </c>
      <c r="CW19" s="74">
        <v>11.75</v>
      </c>
      <c r="CX19" s="75">
        <v>1</v>
      </c>
      <c r="CY19" s="74">
        <v>-9.9999999999999645E-2</v>
      </c>
      <c r="CZ19" s="75">
        <v>0.66666666666666663</v>
      </c>
      <c r="DA19" s="74">
        <v>6.3900000000000032</v>
      </c>
      <c r="DB19" s="75">
        <v>0.75</v>
      </c>
      <c r="DC19" s="74">
        <v>-16.45</v>
      </c>
      <c r="DD19" s="434">
        <v>0</v>
      </c>
      <c r="DE19" s="74">
        <v>20.21</v>
      </c>
      <c r="DF19" s="453">
        <v>1</v>
      </c>
      <c r="DG19" s="90">
        <v>-60.42</v>
      </c>
      <c r="DH19" s="75">
        <v>0.2857142857142857</v>
      </c>
      <c r="DI19" s="74">
        <v>-30.55</v>
      </c>
      <c r="DJ19" s="75">
        <v>0.16666666666666666</v>
      </c>
      <c r="DK19" s="74">
        <v>-55.86999999999999</v>
      </c>
      <c r="DL19" s="75">
        <v>0.42857142857142855</v>
      </c>
      <c r="DM19" s="74">
        <v>26.05</v>
      </c>
      <c r="DN19" s="75">
        <v>0.9</v>
      </c>
      <c r="DO19" s="74">
        <v>-24.050000000000004</v>
      </c>
      <c r="DP19" s="75">
        <v>0.41666666666666669</v>
      </c>
      <c r="DQ19" s="74">
        <v>-36.83</v>
      </c>
      <c r="DR19" s="75">
        <v>0.33333333333333331</v>
      </c>
      <c r="DS19" s="74">
        <v>-48.26</v>
      </c>
      <c r="DT19" s="75">
        <v>0.3</v>
      </c>
      <c r="DU19" s="74">
        <v>-32.58</v>
      </c>
      <c r="DV19" s="75">
        <v>0.4375</v>
      </c>
      <c r="DW19" s="74">
        <v>-31.659999999999997</v>
      </c>
      <c r="DX19" s="75">
        <v>0.33333333333333331</v>
      </c>
      <c r="DY19" s="74">
        <v>-73.919999999999987</v>
      </c>
      <c r="DZ19" s="75">
        <v>0.25</v>
      </c>
      <c r="EA19" s="74">
        <v>-35.489999999999995</v>
      </c>
      <c r="EB19" s="75">
        <v>0.25</v>
      </c>
      <c r="EC19" s="74">
        <v>-74.899999999999991</v>
      </c>
      <c r="ED19" s="75">
        <v>0.33333333333333331</v>
      </c>
      <c r="EE19" s="74">
        <v>-2.330000000000001</v>
      </c>
      <c r="EF19" s="75">
        <v>0.6</v>
      </c>
      <c r="EG19" s="74">
        <v>23.9</v>
      </c>
      <c r="EH19" s="512">
        <v>1</v>
      </c>
      <c r="EI19" s="74">
        <v>-27.5</v>
      </c>
      <c r="EJ19" s="453">
        <v>0.5</v>
      </c>
      <c r="EK19" s="74">
        <v>25.6</v>
      </c>
      <c r="EL19" s="512">
        <v>1</v>
      </c>
      <c r="EM19" s="74">
        <v>-27.120000000000005</v>
      </c>
      <c r="EN19" s="512">
        <v>0.4</v>
      </c>
      <c r="EO19" s="74">
        <v>-48.69</v>
      </c>
      <c r="EP19" s="512">
        <v>0.33333333333333331</v>
      </c>
      <c r="EQ19" s="74">
        <v>-75.080000000000013</v>
      </c>
      <c r="ER19" s="512">
        <v>0.5</v>
      </c>
      <c r="ES19" s="74">
        <v>-33.33</v>
      </c>
      <c r="ET19" s="512">
        <v>0.4</v>
      </c>
      <c r="EU19" s="74">
        <v>-74.89</v>
      </c>
      <c r="EV19" s="512">
        <v>0.125</v>
      </c>
      <c r="EW19" s="74">
        <v>-38.790000000000006</v>
      </c>
      <c r="EX19" s="512">
        <v>0.5</v>
      </c>
      <c r="EY19" s="74">
        <v>-74.73</v>
      </c>
      <c r="EZ19" s="512">
        <v>0.14285714285714285</v>
      </c>
      <c r="FA19" s="74">
        <v>25.32</v>
      </c>
      <c r="FB19" s="512">
        <v>0.8</v>
      </c>
      <c r="FC19" s="74">
        <v>25.020000000000003</v>
      </c>
      <c r="FD19" s="512">
        <v>1</v>
      </c>
      <c r="FE19" s="74">
        <v>24.849999999999998</v>
      </c>
      <c r="FF19" s="512">
        <v>1</v>
      </c>
      <c r="FG19" s="74">
        <v>-36.21</v>
      </c>
      <c r="FH19" s="512">
        <v>0.375</v>
      </c>
      <c r="FI19" s="74">
        <v>25.560000000000002</v>
      </c>
      <c r="FJ19" s="512">
        <v>1</v>
      </c>
      <c r="FK19" s="74">
        <v>25.39</v>
      </c>
      <c r="FL19" s="453">
        <v>0.8</v>
      </c>
      <c r="FM19" s="74">
        <v>25.32</v>
      </c>
      <c r="FN19" s="512">
        <v>1</v>
      </c>
      <c r="FO19" s="74">
        <v>-75.64</v>
      </c>
      <c r="FP19" s="512">
        <v>0.16666666666666666</v>
      </c>
      <c r="FQ19" s="74">
        <v>24.41</v>
      </c>
      <c r="FR19" s="512">
        <v>0.58333333333333337</v>
      </c>
      <c r="FS19" s="74">
        <v>-75.34999999999998</v>
      </c>
      <c r="FT19" s="512">
        <v>0</v>
      </c>
      <c r="FU19" s="74">
        <v>-36.39</v>
      </c>
      <c r="FV19" s="512">
        <v>0.53846153846153844</v>
      </c>
      <c r="FW19" s="74">
        <v>10.730000000000002</v>
      </c>
      <c r="FX19" s="512">
        <v>0.5714285714285714</v>
      </c>
      <c r="FY19" s="74">
        <v>4.009999999999998</v>
      </c>
      <c r="FZ19" s="512">
        <v>0.6</v>
      </c>
      <c r="GA19" s="74">
        <v>8.379999999999999</v>
      </c>
      <c r="GB19" s="512">
        <v>0.625</v>
      </c>
      <c r="GC19" s="74">
        <v>-52.07</v>
      </c>
      <c r="GD19" s="512">
        <v>0</v>
      </c>
      <c r="GE19" s="74">
        <v>29.550000000000004</v>
      </c>
      <c r="GF19" s="512">
        <v>1</v>
      </c>
      <c r="GG19" s="74">
        <v>29.31</v>
      </c>
      <c r="GH19" s="512">
        <v>1</v>
      </c>
      <c r="GI19" s="74">
        <v>-69.19</v>
      </c>
      <c r="GJ19" s="512">
        <v>0.16666666666666666</v>
      </c>
      <c r="GK19" s="74">
        <v>22.689999999999998</v>
      </c>
      <c r="GL19" s="512">
        <v>0.55555555555555558</v>
      </c>
      <c r="GM19" s="74">
        <v>-69.149999999999991</v>
      </c>
      <c r="GN19" s="512">
        <v>0</v>
      </c>
      <c r="GO19" s="74">
        <v>29.23</v>
      </c>
      <c r="GP19" s="512">
        <v>1</v>
      </c>
      <c r="GQ19" s="74">
        <v>-69.210000000000008</v>
      </c>
      <c r="GR19" s="453">
        <v>0.33333333333333331</v>
      </c>
      <c r="GS19" s="90">
        <v>-68.55</v>
      </c>
      <c r="GT19" s="512">
        <v>0.16666666666666666</v>
      </c>
      <c r="GU19" s="74">
        <v>-71.2</v>
      </c>
      <c r="GV19" s="512">
        <v>0</v>
      </c>
      <c r="GW19" s="74">
        <v>-14.579999999999998</v>
      </c>
      <c r="GX19" s="512">
        <v>0.42857142857142855</v>
      </c>
      <c r="GY19" s="74">
        <v>-7.1300000000000008</v>
      </c>
      <c r="GZ19" s="512">
        <v>0.75</v>
      </c>
      <c r="HA19" s="74">
        <v>28.990000000000002</v>
      </c>
      <c r="HB19" s="512">
        <v>1</v>
      </c>
      <c r="HC19" s="74">
        <v>-71.790000000000006</v>
      </c>
      <c r="HD19" s="453">
        <v>0</v>
      </c>
      <c r="HE19" s="74">
        <v>27.19</v>
      </c>
      <c r="HF19" s="512">
        <v>1</v>
      </c>
      <c r="HG19" s="74">
        <v>19.18</v>
      </c>
      <c r="HH19" s="512">
        <v>0.38461538461538464</v>
      </c>
      <c r="HI19" s="74">
        <v>32.090000000000003</v>
      </c>
      <c r="HJ19" s="512">
        <v>0.8571428571428571</v>
      </c>
      <c r="HK19" s="74">
        <v>-72.03</v>
      </c>
      <c r="HL19" s="512">
        <v>0</v>
      </c>
      <c r="HM19" s="74">
        <v>-19.68</v>
      </c>
      <c r="HN19" s="512">
        <v>0.44444444444444442</v>
      </c>
      <c r="HO19" s="74">
        <v>30.96</v>
      </c>
      <c r="HP19" s="512">
        <v>0.83333333333333337</v>
      </c>
      <c r="HQ19" s="74">
        <v>18.45</v>
      </c>
      <c r="HR19" s="453">
        <v>0.63636363636363635</v>
      </c>
      <c r="HS19" s="74"/>
      <c r="HT19" s="512"/>
      <c r="HU19" s="74"/>
      <c r="HV19" s="512"/>
      <c r="HW19" s="74"/>
      <c r="HX19" s="512"/>
    </row>
    <row r="20" spans="2:235" x14ac:dyDescent="0.25">
      <c r="D20" s="797"/>
      <c r="BQ20" s="86"/>
      <c r="BR20" s="387"/>
      <c r="BS20" s="86"/>
      <c r="BT20" s="387">
        <v>1.2</v>
      </c>
      <c r="BU20" s="86"/>
      <c r="BV20" s="387">
        <v>2.4</v>
      </c>
      <c r="BW20" s="86"/>
      <c r="BX20" s="387"/>
      <c r="BY20" s="86"/>
      <c r="BZ20" s="387"/>
      <c r="CA20" s="6"/>
      <c r="CB20" s="387"/>
      <c r="CC20" s="86"/>
      <c r="CD20" s="387"/>
      <c r="CE20" s="86"/>
      <c r="CF20" s="387"/>
      <c r="CG20" s="86"/>
      <c r="CH20" s="387">
        <v>1.2</v>
      </c>
      <c r="CI20" s="86"/>
      <c r="CJ20" s="387">
        <v>1.2</v>
      </c>
      <c r="CK20" s="86"/>
      <c r="CL20" s="396">
        <v>0.6</v>
      </c>
      <c r="CM20" s="86"/>
      <c r="CN20" s="398"/>
      <c r="CO20" s="86"/>
      <c r="CP20" s="402"/>
      <c r="CQ20" s="86"/>
      <c r="CR20" s="402"/>
      <c r="CS20" s="86"/>
      <c r="CT20" s="411"/>
      <c r="CU20" s="86"/>
      <c r="CV20" s="411">
        <v>1.2</v>
      </c>
      <c r="CW20" s="86"/>
      <c r="CX20" s="416">
        <v>1.2</v>
      </c>
      <c r="CY20" s="86"/>
      <c r="CZ20" s="420">
        <v>1.7999999999999998</v>
      </c>
      <c r="DA20" s="86"/>
      <c r="DB20" s="423">
        <v>2.4</v>
      </c>
      <c r="DC20" s="86"/>
      <c r="DD20" s="431">
        <v>1.2</v>
      </c>
      <c r="DE20" s="86"/>
      <c r="DF20" s="111">
        <v>2.4</v>
      </c>
      <c r="DG20" s="6"/>
      <c r="DH20" s="430">
        <v>4.2</v>
      </c>
      <c r="DI20" s="86"/>
      <c r="DJ20" s="430">
        <v>3.6</v>
      </c>
      <c r="DK20" s="86"/>
      <c r="DL20" s="430">
        <v>11.200000000000001</v>
      </c>
      <c r="DM20" s="86"/>
      <c r="DN20" s="430">
        <v>7.9999999999999991</v>
      </c>
      <c r="DO20" s="86"/>
      <c r="DP20" s="430">
        <v>9.6</v>
      </c>
      <c r="DQ20" s="86"/>
      <c r="DR20" s="430">
        <v>7.1999999999999993</v>
      </c>
      <c r="DS20" s="86"/>
      <c r="DT20" s="430">
        <v>7.9999999999999991</v>
      </c>
      <c r="DU20" s="86"/>
      <c r="DV20" s="430">
        <v>16</v>
      </c>
      <c r="DW20" s="86"/>
      <c r="DX20" s="430">
        <v>15</v>
      </c>
      <c r="DY20" s="86"/>
      <c r="DZ20" s="430">
        <v>8</v>
      </c>
      <c r="EA20" s="86"/>
      <c r="EB20" s="430">
        <v>4</v>
      </c>
      <c r="EC20" s="86"/>
      <c r="ED20" s="430">
        <v>6</v>
      </c>
      <c r="EE20" s="86"/>
      <c r="EF20" s="430">
        <v>5</v>
      </c>
      <c r="EG20" s="86"/>
      <c r="EH20" s="498">
        <v>4</v>
      </c>
      <c r="EI20" s="86"/>
      <c r="EJ20" s="111">
        <v>8</v>
      </c>
      <c r="EK20" s="86"/>
      <c r="EL20" s="498">
        <v>4</v>
      </c>
      <c r="EM20" s="86"/>
      <c r="EN20" s="510">
        <v>5</v>
      </c>
      <c r="EO20" s="86"/>
      <c r="EP20" s="514">
        <v>9</v>
      </c>
      <c r="EQ20" s="86"/>
      <c r="ER20" s="517">
        <v>8</v>
      </c>
      <c r="ES20" s="86"/>
      <c r="ET20" s="520">
        <v>10</v>
      </c>
      <c r="EU20" s="86"/>
      <c r="EV20" s="523">
        <v>8</v>
      </c>
      <c r="EW20" s="86"/>
      <c r="EX20" s="526">
        <v>8</v>
      </c>
      <c r="EY20" s="86"/>
      <c r="EZ20" s="529">
        <v>7</v>
      </c>
      <c r="FA20" s="86"/>
      <c r="FB20" s="532">
        <v>5</v>
      </c>
      <c r="FC20" s="86"/>
      <c r="FD20" s="535">
        <v>4</v>
      </c>
      <c r="FE20" s="86"/>
      <c r="FF20" s="535">
        <v>4</v>
      </c>
      <c r="FG20" s="86"/>
      <c r="FH20" s="538">
        <v>8</v>
      </c>
      <c r="FI20" s="86"/>
      <c r="FJ20" s="542">
        <v>5</v>
      </c>
      <c r="FK20" s="86"/>
      <c r="FL20" s="111">
        <v>5</v>
      </c>
      <c r="FM20" s="86"/>
      <c r="FN20" s="549">
        <v>3</v>
      </c>
      <c r="FO20" s="86"/>
      <c r="FP20" s="561">
        <v>6</v>
      </c>
      <c r="FQ20" s="86"/>
      <c r="FR20" s="565">
        <v>12</v>
      </c>
      <c r="FS20" s="86"/>
      <c r="FT20" s="571">
        <v>4</v>
      </c>
      <c r="FU20" s="86"/>
      <c r="FV20" s="575">
        <v>13</v>
      </c>
      <c r="FW20" s="86"/>
      <c r="FX20" s="579">
        <v>7</v>
      </c>
      <c r="FY20" s="86"/>
      <c r="FZ20" s="583">
        <v>5</v>
      </c>
      <c r="GA20" s="86"/>
      <c r="GB20" s="587">
        <v>8</v>
      </c>
      <c r="GC20" s="86"/>
      <c r="GD20" s="592">
        <v>3</v>
      </c>
      <c r="GE20" s="86"/>
      <c r="GF20" s="596">
        <v>4</v>
      </c>
      <c r="GG20" s="86"/>
      <c r="GH20" s="600">
        <v>4</v>
      </c>
      <c r="GI20" s="86"/>
      <c r="GJ20" s="606">
        <v>6</v>
      </c>
      <c r="GK20" s="86"/>
      <c r="GL20" s="606">
        <v>9</v>
      </c>
      <c r="GM20" s="86"/>
      <c r="GN20" s="612">
        <v>6</v>
      </c>
      <c r="GO20" s="86"/>
      <c r="GP20" s="616">
        <v>4</v>
      </c>
      <c r="GQ20" s="86"/>
      <c r="GR20" s="111">
        <v>6</v>
      </c>
      <c r="GS20" s="6"/>
      <c r="GT20" s="635">
        <v>6</v>
      </c>
      <c r="GU20" s="86"/>
      <c r="GV20" s="629">
        <v>4</v>
      </c>
      <c r="GW20" s="86"/>
      <c r="GX20" s="635">
        <v>7</v>
      </c>
      <c r="GY20" s="86"/>
      <c r="GZ20" s="641">
        <v>8</v>
      </c>
      <c r="HA20" s="86"/>
      <c r="HB20" s="645">
        <v>3</v>
      </c>
      <c r="HC20" s="86"/>
      <c r="HD20" s="111">
        <v>3</v>
      </c>
      <c r="HE20" s="86"/>
      <c r="HF20" s="657">
        <v>3</v>
      </c>
      <c r="HG20" s="86"/>
      <c r="HH20" s="657">
        <v>13</v>
      </c>
      <c r="HI20" s="86"/>
      <c r="HJ20" s="671">
        <v>7</v>
      </c>
      <c r="HK20" s="86"/>
      <c r="HL20" s="676">
        <v>4</v>
      </c>
      <c r="HM20" s="86"/>
      <c r="HN20" s="680">
        <v>9</v>
      </c>
      <c r="HO20" s="86"/>
      <c r="HP20" s="686">
        <v>6</v>
      </c>
      <c r="HQ20" s="86"/>
      <c r="HR20" s="111">
        <v>11</v>
      </c>
      <c r="HS20" s="86"/>
      <c r="HT20" s="694"/>
      <c r="HU20" s="86"/>
      <c r="HV20" s="699"/>
      <c r="HW20" s="86"/>
      <c r="HX20" s="704"/>
    </row>
    <row r="21" spans="2:235" x14ac:dyDescent="0.25">
      <c r="BY21" s="6"/>
      <c r="BZ21" s="87"/>
      <c r="CA21" s="6"/>
      <c r="DF21" s="455"/>
      <c r="DG21" s="6"/>
      <c r="DH21" s="6"/>
      <c r="DI21" s="86"/>
      <c r="DJ21" s="87"/>
      <c r="DK21" s="86"/>
      <c r="DL21" s="6"/>
      <c r="DM21" s="86"/>
      <c r="DN21" s="6"/>
      <c r="DO21" s="86"/>
      <c r="DP21" s="6"/>
      <c r="DQ21" s="86"/>
      <c r="DR21" s="6"/>
      <c r="DS21" s="86"/>
      <c r="DT21" s="6"/>
      <c r="DU21" s="86"/>
      <c r="DV21" s="87"/>
      <c r="DW21" s="86"/>
      <c r="DX21" s="6"/>
      <c r="DY21" s="86"/>
      <c r="DZ21" s="6"/>
      <c r="EA21" s="86"/>
      <c r="EB21" s="6"/>
      <c r="EC21" s="86"/>
      <c r="ED21" s="6"/>
      <c r="EE21" s="86"/>
      <c r="EF21" s="6"/>
      <c r="EG21" s="86"/>
      <c r="EH21" s="6"/>
      <c r="EI21" s="86"/>
      <c r="EJ21" s="455"/>
      <c r="EK21" s="86"/>
      <c r="EL21" s="6"/>
      <c r="EM21" s="86"/>
      <c r="EN21" s="6"/>
      <c r="EO21" s="86"/>
      <c r="EP21" s="6"/>
      <c r="EQ21" s="86"/>
      <c r="ER21" s="6"/>
      <c r="ES21" s="86"/>
      <c r="ET21" s="6"/>
      <c r="EU21" s="86"/>
      <c r="EV21" s="6"/>
      <c r="EW21" s="86"/>
      <c r="EX21" s="6"/>
      <c r="EY21" s="86"/>
      <c r="EZ21" s="6"/>
      <c r="FA21" s="86"/>
      <c r="FB21" s="6"/>
      <c r="FC21" s="86"/>
      <c r="FD21" s="6"/>
      <c r="FE21" s="86"/>
      <c r="FF21" s="6"/>
      <c r="FG21" s="86"/>
      <c r="FH21" s="6"/>
      <c r="FI21" s="86"/>
      <c r="FJ21" s="6"/>
      <c r="FK21" s="86"/>
      <c r="FL21" s="455"/>
      <c r="FM21" s="86"/>
      <c r="FN21" s="6"/>
      <c r="FO21" s="86"/>
      <c r="FP21" s="6"/>
      <c r="FQ21" s="86"/>
      <c r="FR21" s="6"/>
      <c r="FS21" s="86"/>
      <c r="FT21" s="6"/>
      <c r="FU21" s="86"/>
      <c r="FV21" s="6"/>
      <c r="FW21" s="86"/>
      <c r="FX21" s="6"/>
      <c r="FY21" s="86"/>
      <c r="FZ21" s="6"/>
      <c r="GA21" s="86"/>
      <c r="GB21" s="6"/>
      <c r="GC21" s="86"/>
      <c r="GD21" s="6"/>
      <c r="GE21" s="86"/>
      <c r="GF21" s="6"/>
      <c r="GG21" s="86"/>
      <c r="GH21" s="6"/>
      <c r="GI21" s="86"/>
      <c r="GJ21" s="6"/>
      <c r="GK21" s="86"/>
      <c r="GL21" s="6"/>
      <c r="GM21" s="86"/>
      <c r="GN21" s="6"/>
      <c r="GO21" s="86"/>
      <c r="GP21" s="6"/>
      <c r="GQ21" s="86"/>
      <c r="GR21" s="455"/>
      <c r="GS21" s="6"/>
      <c r="GT21" s="6"/>
      <c r="GU21" s="86"/>
      <c r="GV21" s="6"/>
      <c r="GW21" s="86"/>
      <c r="GX21" s="6"/>
      <c r="GY21" s="86"/>
      <c r="GZ21" s="6"/>
      <c r="HA21" s="86"/>
      <c r="HB21" s="6"/>
      <c r="HC21" s="86"/>
      <c r="HD21" s="455"/>
      <c r="HE21" s="86"/>
      <c r="HF21" s="6"/>
      <c r="HG21" s="86"/>
      <c r="HH21" s="6"/>
      <c r="HI21" s="86"/>
      <c r="HJ21" s="6"/>
      <c r="HK21" s="86"/>
      <c r="HL21" s="6"/>
      <c r="HM21" s="86"/>
      <c r="HN21" s="6"/>
      <c r="HO21" s="86"/>
      <c r="HP21" s="6"/>
      <c r="HQ21" s="86"/>
      <c r="HR21" s="455"/>
      <c r="HS21" s="86"/>
      <c r="HT21" s="6"/>
      <c r="HU21" s="86"/>
      <c r="HV21" s="6"/>
      <c r="HW21" s="86"/>
      <c r="HX21" s="6"/>
    </row>
    <row r="22" spans="2:235" x14ac:dyDescent="0.25">
      <c r="D22" s="797" t="s">
        <v>64</v>
      </c>
      <c r="BY22" s="6"/>
      <c r="BZ22" s="87"/>
      <c r="CA22" s="6"/>
      <c r="DE22" s="74">
        <v>20.2</v>
      </c>
      <c r="DF22" s="453">
        <v>1</v>
      </c>
      <c r="DG22" s="90">
        <v>5.67</v>
      </c>
      <c r="DH22" s="75">
        <v>0.63636363636363635</v>
      </c>
      <c r="DI22" s="74">
        <v>-10.59</v>
      </c>
      <c r="DJ22" s="75">
        <v>0.25</v>
      </c>
      <c r="DK22" s="74">
        <v>26.6</v>
      </c>
      <c r="DL22" s="75">
        <v>0.875</v>
      </c>
      <c r="DM22" s="74">
        <v>26.129999999999995</v>
      </c>
      <c r="DN22" s="75">
        <v>1</v>
      </c>
      <c r="DO22" s="74">
        <v>-13.87</v>
      </c>
      <c r="DP22" s="75">
        <v>0.375</v>
      </c>
      <c r="DQ22" s="74">
        <v>-43.3</v>
      </c>
      <c r="DR22" s="75">
        <v>0.16666666666666666</v>
      </c>
      <c r="DS22" s="74">
        <v>-20.61</v>
      </c>
      <c r="DT22" s="75">
        <v>0.33333333333333331</v>
      </c>
      <c r="DU22" s="74">
        <v>-35.31</v>
      </c>
      <c r="DV22" s="75">
        <v>0.36363636363636365</v>
      </c>
      <c r="DW22" s="74">
        <v>2.0199999999999996</v>
      </c>
      <c r="DX22" s="75">
        <v>0.375</v>
      </c>
      <c r="DY22" s="74">
        <v>-41</v>
      </c>
      <c r="DZ22" s="75">
        <v>0</v>
      </c>
      <c r="EA22" s="74">
        <v>-30.240000000000002</v>
      </c>
      <c r="EB22" s="75">
        <v>0</v>
      </c>
      <c r="EC22" s="74">
        <v>-41.38</v>
      </c>
      <c r="ED22" s="75">
        <v>0</v>
      </c>
      <c r="EE22" s="74">
        <v>-2.2700000000000005</v>
      </c>
      <c r="EF22" s="75">
        <v>0.5</v>
      </c>
      <c r="EG22" s="74">
        <v>7.9600000000000009</v>
      </c>
      <c r="EH22" s="512">
        <v>1</v>
      </c>
      <c r="EI22" s="74">
        <v>-36.89</v>
      </c>
      <c r="EJ22" s="453">
        <v>0.25</v>
      </c>
      <c r="EK22" s="74">
        <v>-8.139999999999997</v>
      </c>
      <c r="EL22" s="512">
        <v>0.5</v>
      </c>
      <c r="EM22" s="74">
        <v>-6.9</v>
      </c>
      <c r="EN22" s="512">
        <v>0.5</v>
      </c>
      <c r="EO22" s="74">
        <v>-6.99</v>
      </c>
      <c r="EP22" s="512">
        <v>0.5</v>
      </c>
      <c r="EQ22" s="74">
        <v>-40.799999999999997</v>
      </c>
      <c r="ER22" s="512">
        <v>0.2857142857142857</v>
      </c>
      <c r="ES22" s="74">
        <v>-5.6199999999999992</v>
      </c>
      <c r="ET22" s="512">
        <v>0.6</v>
      </c>
      <c r="EU22" s="74">
        <v>-43.14</v>
      </c>
      <c r="EV22" s="512">
        <v>0.2</v>
      </c>
      <c r="EW22" s="74">
        <v>-5.2700000000000014</v>
      </c>
      <c r="EX22" s="512">
        <v>0.66666666666666663</v>
      </c>
      <c r="EY22" s="74">
        <v>-3.0000000000000004</v>
      </c>
      <c r="EZ22" s="512">
        <v>0.25</v>
      </c>
      <c r="FA22" s="74">
        <v>1.2899999999999991</v>
      </c>
      <c r="FB22" s="512">
        <v>0.66666666666666663</v>
      </c>
      <c r="FC22" s="74">
        <v>16.16</v>
      </c>
      <c r="FD22" s="512">
        <v>1</v>
      </c>
      <c r="FE22" s="74">
        <v>25.800000000000004</v>
      </c>
      <c r="FF22" s="512">
        <v>0.83333333333333337</v>
      </c>
      <c r="FG22" s="74">
        <v>-19.55</v>
      </c>
      <c r="FH22" s="512">
        <v>0.4</v>
      </c>
      <c r="FI22" s="74">
        <v>18.140000000000004</v>
      </c>
      <c r="FJ22" s="512">
        <v>0.8</v>
      </c>
      <c r="FK22" s="74">
        <v>16.09</v>
      </c>
      <c r="FL22" s="453">
        <v>1</v>
      </c>
      <c r="FM22" s="74">
        <v>25.86</v>
      </c>
      <c r="FN22" s="512">
        <v>1</v>
      </c>
      <c r="FO22" s="74">
        <v>6.1300000000000034</v>
      </c>
      <c r="FP22" s="512">
        <v>0.625</v>
      </c>
      <c r="FQ22" s="74">
        <v>16.770000000000003</v>
      </c>
      <c r="FR22" s="512">
        <v>0.5</v>
      </c>
      <c r="FS22" s="74">
        <v>-41.730000000000004</v>
      </c>
      <c r="FT22" s="512">
        <v>0.25</v>
      </c>
      <c r="FU22" s="74">
        <v>-16.63</v>
      </c>
      <c r="FV22" s="512">
        <v>0.55555555555555558</v>
      </c>
      <c r="FW22" s="74">
        <v>6.16</v>
      </c>
      <c r="FX22" s="512">
        <v>0.66666666666666663</v>
      </c>
      <c r="FY22" s="74">
        <v>3.3600000000000003</v>
      </c>
      <c r="FZ22" s="512">
        <v>1</v>
      </c>
      <c r="GA22" s="74">
        <v>-12.2</v>
      </c>
      <c r="GB22" s="512">
        <v>0.6</v>
      </c>
      <c r="GC22" s="74">
        <v>-37.85</v>
      </c>
      <c r="GD22" s="512">
        <v>0</v>
      </c>
      <c r="GE22" s="74">
        <v>21.66</v>
      </c>
      <c r="GF22" s="512">
        <v>0.66666666666666663</v>
      </c>
      <c r="GG22" s="74">
        <v>-34.72</v>
      </c>
      <c r="GH22" s="512">
        <v>0.16666666666666666</v>
      </c>
      <c r="GI22" s="74">
        <v>-37.269999999999996</v>
      </c>
      <c r="GJ22" s="512">
        <v>0</v>
      </c>
      <c r="GK22" s="74">
        <v>-36.67</v>
      </c>
      <c r="GL22" s="512">
        <v>0</v>
      </c>
      <c r="GM22" s="74">
        <v>-6.2200000000000024</v>
      </c>
      <c r="GN22" s="512">
        <v>0.6</v>
      </c>
      <c r="GO22" s="74"/>
      <c r="GP22" s="512"/>
      <c r="GQ22" s="74">
        <v>-4.91</v>
      </c>
      <c r="GR22" s="453">
        <v>0.5</v>
      </c>
      <c r="GS22" s="90">
        <v>-37.729999999999997</v>
      </c>
      <c r="GT22" s="512">
        <v>0</v>
      </c>
      <c r="GU22" s="74">
        <v>-38.36</v>
      </c>
      <c r="GV22" s="512">
        <v>0</v>
      </c>
      <c r="GW22" s="74">
        <v>12.669999999999998</v>
      </c>
      <c r="GX22" s="512">
        <v>0.75</v>
      </c>
      <c r="GY22" s="74">
        <v>0.67999999999999972</v>
      </c>
      <c r="GZ22" s="512">
        <v>0.83333333333333337</v>
      </c>
      <c r="HA22" s="74">
        <v>9.4700000000000006</v>
      </c>
      <c r="HB22" s="512">
        <v>1</v>
      </c>
      <c r="HC22" s="74">
        <v>-22.68</v>
      </c>
      <c r="HD22" s="453">
        <v>0.4</v>
      </c>
      <c r="HE22" s="74">
        <v>5.330000000000001</v>
      </c>
      <c r="HF22" s="512">
        <v>0.5</v>
      </c>
      <c r="HG22" s="74">
        <v>-32.67</v>
      </c>
      <c r="HH22" s="512">
        <v>0.25</v>
      </c>
      <c r="HI22" s="74">
        <v>24.03</v>
      </c>
      <c r="HJ22" s="512">
        <v>0.66666666666666663</v>
      </c>
      <c r="HK22" s="74">
        <v>9.02</v>
      </c>
      <c r="HL22" s="512">
        <v>1</v>
      </c>
      <c r="HM22" s="74">
        <v>-7.030000000000002</v>
      </c>
      <c r="HN22" s="512">
        <v>0.5</v>
      </c>
      <c r="HO22" s="74">
        <v>9.48</v>
      </c>
      <c r="HP22" s="512">
        <v>1</v>
      </c>
      <c r="HQ22" s="74">
        <v>30.810000000000002</v>
      </c>
      <c r="HR22" s="453">
        <v>1</v>
      </c>
      <c r="HS22" s="74"/>
      <c r="HT22" s="512"/>
      <c r="HU22" s="74"/>
      <c r="HV22" s="512"/>
      <c r="HW22" s="74"/>
      <c r="HX22" s="512"/>
    </row>
    <row r="23" spans="2:235" x14ac:dyDescent="0.25">
      <c r="D23" s="797"/>
      <c r="BW23" s="67"/>
      <c r="BY23" s="381"/>
      <c r="BZ23" s="87"/>
      <c r="CA23" s="6"/>
      <c r="CF23" s="67"/>
      <c r="DE23" s="86"/>
      <c r="DF23" s="111">
        <v>2.4</v>
      </c>
      <c r="DG23" s="6"/>
      <c r="DH23" s="430">
        <v>6.5999999999999988</v>
      </c>
      <c r="DI23" s="86"/>
      <c r="DJ23" s="430">
        <v>2.4</v>
      </c>
      <c r="DK23" s="86"/>
      <c r="DL23" s="430">
        <v>6.3999999999999995</v>
      </c>
      <c r="DM23" s="86"/>
      <c r="DN23" s="430">
        <v>5.6</v>
      </c>
      <c r="DO23" s="86"/>
      <c r="DP23" s="430">
        <v>6.3999999999999995</v>
      </c>
      <c r="DQ23" s="86"/>
      <c r="DR23" s="430">
        <v>4.8</v>
      </c>
      <c r="DS23" s="86"/>
      <c r="DT23" s="430">
        <v>4.8</v>
      </c>
      <c r="DU23" s="86"/>
      <c r="DV23" s="430">
        <v>11</v>
      </c>
      <c r="DW23" s="86"/>
      <c r="DX23" s="430">
        <v>8</v>
      </c>
      <c r="DY23" s="86"/>
      <c r="DZ23" s="430">
        <v>3</v>
      </c>
      <c r="EA23" s="86"/>
      <c r="EB23" s="430">
        <v>2</v>
      </c>
      <c r="EC23" s="86"/>
      <c r="ED23" s="430">
        <v>3</v>
      </c>
      <c r="EE23" s="86"/>
      <c r="EF23" s="430">
        <v>4</v>
      </c>
      <c r="EG23" s="86"/>
      <c r="EH23" s="498">
        <v>1</v>
      </c>
      <c r="EI23" s="86"/>
      <c r="EJ23" s="111">
        <v>4</v>
      </c>
      <c r="EK23" s="86"/>
      <c r="EL23" s="498">
        <v>4</v>
      </c>
      <c r="EM23" s="86"/>
      <c r="EN23" s="510">
        <v>2</v>
      </c>
      <c r="EO23" s="86"/>
      <c r="EP23" s="514">
        <v>2</v>
      </c>
      <c r="EQ23" s="86"/>
      <c r="ER23" s="517">
        <v>7</v>
      </c>
      <c r="ES23" s="86"/>
      <c r="ET23" s="520">
        <v>5</v>
      </c>
      <c r="EU23" s="86"/>
      <c r="EV23" s="523">
        <v>5</v>
      </c>
      <c r="EW23" s="86"/>
      <c r="EX23" s="526">
        <v>6</v>
      </c>
      <c r="EY23" s="86"/>
      <c r="EZ23" s="529">
        <v>4</v>
      </c>
      <c r="FA23" s="86"/>
      <c r="FB23" s="532">
        <v>3</v>
      </c>
      <c r="FC23" s="86"/>
      <c r="FD23" s="535">
        <v>2</v>
      </c>
      <c r="FE23" s="86"/>
      <c r="FF23" s="535">
        <v>6</v>
      </c>
      <c r="FG23" s="86"/>
      <c r="FH23" s="538">
        <v>5</v>
      </c>
      <c r="FI23" s="86"/>
      <c r="FJ23" s="542">
        <v>5</v>
      </c>
      <c r="FK23" s="86"/>
      <c r="FL23" s="111">
        <v>2</v>
      </c>
      <c r="FM23" s="86"/>
      <c r="FN23" s="549">
        <v>2</v>
      </c>
      <c r="FO23" s="86"/>
      <c r="FP23" s="561">
        <v>8</v>
      </c>
      <c r="FQ23" s="86"/>
      <c r="FR23" s="565">
        <v>8</v>
      </c>
      <c r="FS23" s="86"/>
      <c r="FT23" s="571">
        <v>4</v>
      </c>
      <c r="FU23" s="86"/>
      <c r="FV23" s="575">
        <v>9</v>
      </c>
      <c r="FW23" s="86"/>
      <c r="FX23" s="579">
        <v>3</v>
      </c>
      <c r="FY23" s="86"/>
      <c r="FZ23" s="583">
        <v>1</v>
      </c>
      <c r="GA23" s="86"/>
      <c r="GB23" s="587">
        <v>5</v>
      </c>
      <c r="GC23" s="86"/>
      <c r="GD23" s="592">
        <v>3</v>
      </c>
      <c r="GE23" s="86"/>
      <c r="GF23" s="596">
        <v>6</v>
      </c>
      <c r="GG23" s="86"/>
      <c r="GH23" s="600">
        <v>6</v>
      </c>
      <c r="GI23" s="86"/>
      <c r="GJ23" s="606">
        <v>4</v>
      </c>
      <c r="GK23" s="86"/>
      <c r="GL23" s="606">
        <v>5</v>
      </c>
      <c r="GM23" s="86"/>
      <c r="GN23" s="612">
        <v>5</v>
      </c>
      <c r="GO23" s="86"/>
      <c r="GP23" s="616"/>
      <c r="GQ23" s="86"/>
      <c r="GR23" s="111">
        <v>6</v>
      </c>
      <c r="GS23" s="6"/>
      <c r="GT23" s="635">
        <v>4</v>
      </c>
      <c r="GU23" s="86"/>
      <c r="GV23" s="629">
        <v>3</v>
      </c>
      <c r="GW23" s="86"/>
      <c r="GX23" s="635">
        <v>4</v>
      </c>
      <c r="GY23" s="86"/>
      <c r="GZ23" s="641">
        <v>6</v>
      </c>
      <c r="HA23" s="86"/>
      <c r="HB23" s="645">
        <v>1</v>
      </c>
      <c r="HC23" s="86"/>
      <c r="HD23" s="111">
        <v>5</v>
      </c>
      <c r="HE23" s="86"/>
      <c r="HF23" s="657">
        <v>2</v>
      </c>
      <c r="HG23" s="86"/>
      <c r="HH23" s="657">
        <v>8</v>
      </c>
      <c r="HI23" s="86"/>
      <c r="HJ23" s="671">
        <v>9</v>
      </c>
      <c r="HK23" s="86"/>
      <c r="HL23" s="676">
        <v>1</v>
      </c>
      <c r="HM23" s="86"/>
      <c r="HN23" s="680">
        <v>6</v>
      </c>
      <c r="HO23" s="86"/>
      <c r="HP23" s="686">
        <v>1</v>
      </c>
      <c r="HQ23" s="86"/>
      <c r="HR23" s="111">
        <v>5</v>
      </c>
      <c r="HS23" s="86"/>
      <c r="HT23" s="694"/>
      <c r="HU23" s="86"/>
      <c r="HV23" s="699"/>
      <c r="HW23" s="86"/>
      <c r="HX23" s="704"/>
    </row>
    <row r="24" spans="2:235" x14ac:dyDescent="0.25">
      <c r="BW24" s="67"/>
      <c r="BY24" s="425"/>
      <c r="BZ24" s="87"/>
      <c r="CA24" s="6"/>
      <c r="CF24" s="67"/>
      <c r="DF24" s="455"/>
      <c r="EJ24" s="6"/>
      <c r="GR24" s="455"/>
      <c r="GS24" s="6"/>
      <c r="GT24" s="6"/>
      <c r="HC24" s="6"/>
      <c r="HD24" s="455"/>
      <c r="HR24" s="455"/>
      <c r="HS24" s="6"/>
    </row>
    <row r="25" spans="2:235" x14ac:dyDescent="0.25">
      <c r="BW25" s="67"/>
      <c r="BY25" s="425"/>
      <c r="BZ25" s="87"/>
      <c r="CA25" s="6"/>
      <c r="CF25" s="67"/>
      <c r="GR25" s="455"/>
      <c r="GS25" s="6"/>
      <c r="GT25" s="6"/>
      <c r="HC25" s="6"/>
      <c r="HD25" s="455"/>
      <c r="HR25" s="455"/>
      <c r="HS25" s="6"/>
    </row>
    <row r="26" spans="2:235" x14ac:dyDescent="0.25">
      <c r="C26" s="538" t="s">
        <v>60</v>
      </c>
      <c r="D26" s="538" t="s">
        <v>76</v>
      </c>
      <c r="BH26" s="181"/>
      <c r="BW26" s="381" t="s">
        <v>30</v>
      </c>
      <c r="BX26" s="381" t="s">
        <v>60</v>
      </c>
      <c r="BY26" s="381" t="s">
        <v>22</v>
      </c>
      <c r="BZ26" s="109" t="s">
        <v>23</v>
      </c>
      <c r="CY26" s="390"/>
      <c r="DA26" s="381" t="s">
        <v>30</v>
      </c>
      <c r="DB26" s="381" t="s">
        <v>60</v>
      </c>
      <c r="DC26" s="381" t="s">
        <v>22</v>
      </c>
      <c r="DD26" s="382" t="s">
        <v>23</v>
      </c>
      <c r="ED26" s="390"/>
      <c r="EF26" s="439" t="s">
        <v>30</v>
      </c>
      <c r="EG26" s="439" t="s">
        <v>60</v>
      </c>
      <c r="EH26" s="439" t="s">
        <v>22</v>
      </c>
      <c r="EI26" s="437" t="s">
        <v>23</v>
      </c>
      <c r="FE26" s="390"/>
      <c r="FG26" s="498" t="s">
        <v>30</v>
      </c>
      <c r="FH26" s="498" t="s">
        <v>60</v>
      </c>
      <c r="FI26" s="498" t="s">
        <v>22</v>
      </c>
      <c r="FJ26" s="496" t="s">
        <v>23</v>
      </c>
      <c r="GM26" s="390"/>
      <c r="GO26" s="549" t="s">
        <v>30</v>
      </c>
      <c r="GP26" s="549" t="s">
        <v>60</v>
      </c>
      <c r="GQ26" s="549" t="s">
        <v>22</v>
      </c>
      <c r="GR26" s="548" t="s">
        <v>23</v>
      </c>
      <c r="GY26" s="390"/>
      <c r="HA26" s="635" t="s">
        <v>30</v>
      </c>
      <c r="HB26" s="635" t="s">
        <v>60</v>
      </c>
      <c r="HC26" s="635" t="s">
        <v>22</v>
      </c>
      <c r="HD26" s="634" t="s">
        <v>23</v>
      </c>
      <c r="HH26" s="390"/>
      <c r="HJ26" s="671" t="s">
        <v>30</v>
      </c>
      <c r="HK26" s="671" t="s">
        <v>60</v>
      </c>
      <c r="HL26" s="671" t="s">
        <v>22</v>
      </c>
      <c r="HM26" s="670" t="s">
        <v>23</v>
      </c>
      <c r="HR26" s="455"/>
      <c r="HS26" s="6"/>
      <c r="HX26" s="714" t="s">
        <v>30</v>
      </c>
      <c r="HY26" s="714" t="s">
        <v>60</v>
      </c>
      <c r="HZ26" s="714" t="s">
        <v>22</v>
      </c>
      <c r="IA26" s="713" t="s">
        <v>23</v>
      </c>
    </row>
    <row r="27" spans="2:235" x14ac:dyDescent="0.25">
      <c r="B27" s="441" t="s">
        <v>58</v>
      </c>
      <c r="C27" s="90">
        <f>+BX31+DB31+EG27+FH27+GP27+HB27+HK27</f>
        <v>-110.77000000000004</v>
      </c>
      <c r="D27" s="392">
        <v>2</v>
      </c>
      <c r="BH27" s="181"/>
      <c r="BI27" s="336"/>
      <c r="BU27" s="814">
        <v>43983</v>
      </c>
      <c r="BV27" s="384" t="s">
        <v>59</v>
      </c>
      <c r="BW27" s="90">
        <f>+BY3+BW3+BU3+BS3+BQ3+BO3+BM3+BK3+BI3+BG3+BE3+BC3+BA3+AY3+AW3+AU3</f>
        <v>-125.25000000000001</v>
      </c>
      <c r="BX27" s="90">
        <f>+BW27+BZ4+BX4+BV4+BT4+BR4+BP4+BN4+BL4+BJ4+BH4+BF4+BD4+BB4+AZ4+AX4+AV4</f>
        <v>-57.450000000000017</v>
      </c>
      <c r="BY27" s="384">
        <f>+COUNTIF(AU3:BZ3, "&gt;=0")-BZ27</f>
        <v>9</v>
      </c>
      <c r="BZ27" s="392">
        <f>+COUNT(AU3:BZ3)/2</f>
        <v>16</v>
      </c>
      <c r="CY27" s="814">
        <v>44013</v>
      </c>
      <c r="CZ27" s="441" t="s">
        <v>71</v>
      </c>
      <c r="DA27" s="90">
        <f>+CA3+CC3+CE3+CG3+CI3+CK3+CM3+CO3+CQ3+CS3+CU3+CW3+CY3+DA3+DC3+DE19</f>
        <v>-160.02000000000001</v>
      </c>
      <c r="DB27" s="90">
        <f>+DA27+CB4+CD4+CF4+CH4+CJ4+CL4+CN4+CP4+CR4+CT4+CV4+CX4+CZ4+DB4+DD4+DF20</f>
        <v>-92.220000000000013</v>
      </c>
      <c r="DC27" s="424">
        <f>+COUNTIF(CA3:DD3, "&gt;=0")-DD27</f>
        <v>6</v>
      </c>
      <c r="DD27" s="392">
        <f>+COUNT(CA3:DD3)/2</f>
        <v>14</v>
      </c>
      <c r="EA27" s="67"/>
      <c r="ED27" s="814">
        <v>44044</v>
      </c>
      <c r="EE27" s="441" t="s">
        <v>58</v>
      </c>
      <c r="EF27" s="90">
        <f>+DG3+DI3+DK3+DM3+DO3+DQ3+DS3+DU3+DW3+DY3+EA3+EC3+EE3+EG3+EI3</f>
        <v>-72.940000000000012</v>
      </c>
      <c r="EG27" s="90">
        <f>+EF27+DH4+DJ4+DL4+DN4+DP4+DR4+DT4+DV4+DX4+DZ4+EB4+ED4+EF4+EH4+EJ4</f>
        <v>-48.74000000000003</v>
      </c>
      <c r="EH27" s="438">
        <f>+COUNTIF(DG3:EJ3, "&gt;=0")-EI27</f>
        <v>5</v>
      </c>
      <c r="EI27" s="392">
        <f>+COUNT(DG3:EJ3)/2</f>
        <v>11</v>
      </c>
      <c r="EJ27" s="67"/>
      <c r="FE27" s="814">
        <v>44075</v>
      </c>
      <c r="FF27" s="441" t="s">
        <v>58</v>
      </c>
      <c r="FG27" s="90">
        <f>+EK3+EM3+EO3+EQ3+ES3+EU3+EW3+EY3+FA3+FC3+FE3+FG3+FI3+FK3</f>
        <v>-29.83</v>
      </c>
      <c r="FH27" s="90">
        <f>+FG27+EL4+EN4+EP4+ER4+ET4+EV4+EX4+EZ4+FB4+FD4+FF4+FH4+FJ4+FL4</f>
        <v>-24.83</v>
      </c>
      <c r="FI27" s="499">
        <f>+COUNTIF(EK3:FL3, "&gt;=0")-FJ27</f>
        <v>1</v>
      </c>
      <c r="FJ27" s="392">
        <f>+COUNT(EK3:FL3)/2</f>
        <v>4</v>
      </c>
      <c r="FK27" s="67"/>
      <c r="GM27" s="814">
        <v>44105</v>
      </c>
      <c r="GN27" s="441" t="s">
        <v>58</v>
      </c>
      <c r="GO27" s="90">
        <f>+FM3+FO3+FQ3+FS3+FU3+FW3+FY3+GA3+GC3+GE3+GG3+GI3+GK3+GM3+GO3+GQ3</f>
        <v>-91.13000000000001</v>
      </c>
      <c r="GP27" s="90">
        <f>+GO27+FN4+FP4+FR4+FT4+FV4+FX4+FZ4+GB4+GD4+GF4+GH4+GJ4+GL4+GN4+GP4+GR4</f>
        <v>-55.13000000000001</v>
      </c>
      <c r="GQ27" s="547">
        <f>+COUNTIF(FM3:GR3, "&gt;=0")-GR27</f>
        <v>7</v>
      </c>
      <c r="GR27" s="392">
        <f>+COUNT(FM3:GR3)/2</f>
        <v>14</v>
      </c>
      <c r="GY27" s="814">
        <v>44136</v>
      </c>
      <c r="GZ27" s="441" t="s">
        <v>58</v>
      </c>
      <c r="HA27" s="90">
        <f>+GS3+GU3+GW3+GY3+HA3+HC3</f>
        <v>-43.93</v>
      </c>
      <c r="HB27" s="90">
        <f>+HA27+GT4+GV4+GX4+GZ4+HB4+HD4</f>
        <v>-35.93</v>
      </c>
      <c r="HC27" s="633">
        <f>+COUNTIF(GS3:HD3, "&gt;=0")-HD27</f>
        <v>1</v>
      </c>
      <c r="HD27" s="392">
        <f>+COUNT(GS3:HD3)/2</f>
        <v>4</v>
      </c>
      <c r="HH27" s="814">
        <v>44166</v>
      </c>
      <c r="HI27" s="441" t="s">
        <v>58</v>
      </c>
      <c r="HJ27" s="90">
        <f>+HE3+HG3+HI3+HK3+HM3+HO3+HQ3</f>
        <v>24.93</v>
      </c>
      <c r="HK27" s="90">
        <f>+HJ27+HF4+HH4+HJ4+HL4+HN4+HP4+HR4</f>
        <v>30.93</v>
      </c>
      <c r="HL27" s="669">
        <f>+COUNTIF(HE3:HR3, "&gt;=0")-HM27</f>
        <v>4</v>
      </c>
      <c r="HM27" s="392">
        <f>+COUNT(HE3:HR3)/2</f>
        <v>5</v>
      </c>
      <c r="HW27" s="441" t="s">
        <v>90</v>
      </c>
      <c r="HX27" s="90">
        <f>+HS3+HU3+HW3+HY3+IA3+IC3+IE3+IG3+II3+IK3</f>
        <v>-21.17</v>
      </c>
      <c r="HY27" s="90">
        <f>+HX27+HT4+HV4+HX4+HZ4+IB4+ID4+IF4+IH4+IJ4+IL4</f>
        <v>-17.470000000000002</v>
      </c>
      <c r="HZ27" s="712">
        <f>+COUNTIF(HS3:IL3, "&gt;=0")-IA27</f>
        <v>4</v>
      </c>
      <c r="IA27" s="392">
        <f>+COUNT(HS3:IL3)/2</f>
        <v>10</v>
      </c>
    </row>
    <row r="28" spans="2:235" x14ac:dyDescent="0.25">
      <c r="B28" s="651" t="s">
        <v>63</v>
      </c>
      <c r="C28" s="388">
        <f>+BX28+DB28+EG28+FH28+GP28+HB28+HK28</f>
        <v>-218.02000000000004</v>
      </c>
      <c r="D28" s="430">
        <v>1</v>
      </c>
      <c r="BH28" s="181"/>
      <c r="BI28" s="336"/>
      <c r="BU28" s="815"/>
      <c r="BV28" s="381" t="s">
        <v>63</v>
      </c>
      <c r="BW28" s="388">
        <f>+BY10+BW10+BU10+BS10+BQ10+BO10+BM10</f>
        <v>-28.32</v>
      </c>
      <c r="BX28" s="388">
        <f>+BW28+BZ11+BX11+BV11+BT11+BR11+BP11+BN11</f>
        <v>-12.119999999999997</v>
      </c>
      <c r="BY28" s="381">
        <f>+COUNTIF(BM10:BZ10, "&gt;=0")-BZ28</f>
        <v>4</v>
      </c>
      <c r="BZ28" s="387">
        <f>+COUNT(BM10:BZ10)/2</f>
        <v>6</v>
      </c>
      <c r="CY28" s="815"/>
      <c r="CZ28" s="425" t="s">
        <v>63</v>
      </c>
      <c r="DA28" s="388">
        <f>+CA10+CC10+CE10+CG10+CI10+CK10+CM10+CO10+CQ10+CS10+CU10+CW10+CY10+DA10+DC10+DE10</f>
        <v>-72.140000000000015</v>
      </c>
      <c r="DB28" s="388">
        <f>+DA28+CB11+CD11+CF11+CH11+CJ11+CL11+CN11+CP11+CR11+CT11+CV11+CX11+CZ11+DB11+DD11+DF11</f>
        <v>-31.340000000000003</v>
      </c>
      <c r="DC28" s="425">
        <f>+COUNTIF(CA10:DF10, "&gt;=0")-DD28</f>
        <v>6</v>
      </c>
      <c r="DD28" s="428">
        <f>+COUNT(CA10:DF10)/2</f>
        <v>13</v>
      </c>
      <c r="ED28" s="815"/>
      <c r="EE28" s="439" t="s">
        <v>63</v>
      </c>
      <c r="EF28" s="388">
        <f>+DG10+DI10+DK10+DM10+DO10+DQ10+DS10+DU10+DW10+DY10+EA10+EC10+EE10+EG10+EI10</f>
        <v>-256.85999999999996</v>
      </c>
      <c r="EG28" s="388">
        <f>+EF28+DH11+DJ11+DL11+DN11+DP11+DR11+DT11+DV11+DX11+DZ11+EB11+ED11+EF11+EH11+EJ11</f>
        <v>-178.45999999999992</v>
      </c>
      <c r="EH28" s="439">
        <f>+COUNTIF(DG10:EJ10, "&gt;=0")-EI28</f>
        <v>4</v>
      </c>
      <c r="EI28" s="430">
        <f>+COUNT(DG10:EJ10)/2</f>
        <v>15</v>
      </c>
      <c r="FE28" s="815"/>
      <c r="FF28" s="498" t="s">
        <v>63</v>
      </c>
      <c r="FG28" s="388">
        <f>+EK10+EM10+EO10+EQ10+ES10+EU10+EW10+EY10+FA10+FC10+FE10+FG10+FI10+FK10</f>
        <v>4.8800000000000026</v>
      </c>
      <c r="FH28" s="388">
        <f>+FG28+EL11+EN11+EP11+ER11+ET11+EV11+EX11+EZ11+FB11+FD11+FF11+FH11+FJ11+FL11</f>
        <v>64.88</v>
      </c>
      <c r="FI28" s="498">
        <f>+COUNTIF(EK10:FL10, "&gt;=0")-FJ28</f>
        <v>6</v>
      </c>
      <c r="FJ28" s="430">
        <f>+COUNT(EK10:FL10)/2</f>
        <v>14</v>
      </c>
      <c r="GM28" s="815"/>
      <c r="GN28" s="549" t="s">
        <v>63</v>
      </c>
      <c r="GO28" s="388">
        <f>+FM10+FO10+FQ10+FS10+FU10+FW10+FY10+GA10+GC10+GE10+GG10+GI10+GK10+GM10+GO10+GQ10</f>
        <v>-212.57000000000005</v>
      </c>
      <c r="GP28" s="388">
        <f>+GO28+FN11+FP11+FR11+FT11+FV11+FX11+FZ11+GB11+GD11+GF11+GH11+GJ11+GL11+GN11+GP11+GR11</f>
        <v>-122.57000000000005</v>
      </c>
      <c r="GQ28" s="549">
        <f>+COUNTIF(FM10:GR10, "&gt;=0")-GR28</f>
        <v>6</v>
      </c>
      <c r="GR28" s="430">
        <f>+COUNT(FM10:GR10)/2</f>
        <v>15</v>
      </c>
      <c r="GY28" s="815"/>
      <c r="GZ28" s="635" t="s">
        <v>63</v>
      </c>
      <c r="HA28" s="388">
        <f>+GS10+GU10+GW10+GY10+HA10+HC10</f>
        <v>-116.21000000000001</v>
      </c>
      <c r="HB28" s="388">
        <f>+HA28+GT11+GV11+GX11+GZ11+HB11+HD11</f>
        <v>-87.210000000000008</v>
      </c>
      <c r="HC28" s="635">
        <f>+COUNTIF(GS10:HD10, "&gt;=0")-HD28</f>
        <v>3</v>
      </c>
      <c r="HD28" s="430">
        <f>+COUNT(GS10:HD10)/2</f>
        <v>6</v>
      </c>
      <c r="HH28" s="815"/>
      <c r="HI28" s="671" t="s">
        <v>63</v>
      </c>
      <c r="HJ28" s="388">
        <f>+HE10+HG10+HI10+HK10+HM10+HO10+HQ10</f>
        <v>118.80000000000001</v>
      </c>
      <c r="HK28" s="388">
        <f>+HJ28+HF11+HH11+HJ11+HL11+HN11+HP11+HR11</f>
        <v>148.80000000000001</v>
      </c>
      <c r="HL28" s="671">
        <f>+COUNTIF(HE10:HR10, "&gt;=0")-HM28</f>
        <v>7</v>
      </c>
      <c r="HM28" s="430">
        <f>+COUNT(HE10:HR10)/2</f>
        <v>7</v>
      </c>
    </row>
    <row r="29" spans="2:235" x14ac:dyDescent="0.25">
      <c r="B29" s="651" t="s">
        <v>56</v>
      </c>
      <c r="C29" s="388">
        <f>+BX29+DB29+EG29+FH29+GP29+HB29+HK29</f>
        <v>-180.05000000000007</v>
      </c>
      <c r="D29" s="430">
        <v>1</v>
      </c>
      <c r="BU29" s="815"/>
      <c r="BV29" s="381" t="s">
        <v>56</v>
      </c>
      <c r="BW29" s="388">
        <f>+BY13+BW13+BU13+BS13+BQ13+BO13+BM13</f>
        <v>-48.970000000000013</v>
      </c>
      <c r="BX29" s="388">
        <f>+BW29+BZ14+BX14+BV14+BT14+BR14+BP14+BN14</f>
        <v>-27.97000000000001</v>
      </c>
      <c r="BY29" s="381">
        <f>+COUNTIF(BM13:BZ13, "&gt;=0")-BZ29</f>
        <v>3</v>
      </c>
      <c r="BZ29" s="387">
        <f>+COUNT(BM13:BZ13)/2</f>
        <v>6</v>
      </c>
      <c r="CA29" s="6"/>
      <c r="CY29" s="815"/>
      <c r="CZ29" s="425" t="s">
        <v>56</v>
      </c>
      <c r="DA29" s="388">
        <f>+CA13+CC13+CE13+CG13+CI13+CK13+CM13+CO13+CQ13+CS13+CU13+CW13+CY13+DA13+DC13+DE13</f>
        <v>-45.520000000000017</v>
      </c>
      <c r="DB29" s="388">
        <f>+DA29+CB14+CD14+CF14+CH14+CJ14+CL14+CN14+CP14+CR14+CT14+CV14+CX14+CZ14+DB14+DD14+DF14</f>
        <v>-5.3200000000000163</v>
      </c>
      <c r="DC29" s="425">
        <f>+COUNTIF(CA13:DF13, "&gt;=0")-DD29</f>
        <v>7</v>
      </c>
      <c r="DD29" s="428">
        <f>+COUNT(CA13:DF13)/2</f>
        <v>13</v>
      </c>
      <c r="ED29" s="815"/>
      <c r="EE29" s="439" t="s">
        <v>56</v>
      </c>
      <c r="EF29" s="388">
        <f>+DG13+DI13+DK13+DM13+DO13+DQ13+DS13+DU13+DW13+DY13+EA13+EC13+EE13+EG13+EI13</f>
        <v>-205.76</v>
      </c>
      <c r="EG29" s="388">
        <f>+EF29+DH14+DJ14+DL14+DN14+DP14+DR14+DT14+DV14+DX14+DZ14+EB14+ED14+EF14+EH14+EJ14</f>
        <v>-130.75999999999996</v>
      </c>
      <c r="EH29" s="439">
        <f>+COUNTIF(DG13:EJ13, "&gt;=0")-EI29</f>
        <v>5</v>
      </c>
      <c r="EI29" s="430">
        <f>+COUNT(DG13:EJ13)/2</f>
        <v>15</v>
      </c>
      <c r="FE29" s="815"/>
      <c r="FF29" s="498" t="s">
        <v>56</v>
      </c>
      <c r="FG29" s="388">
        <f>+EK13+EM13+EO13+EQ13+ES13+EU13+EW13+EY13+FA13+FC13+FE13+FG13+FI13+FK13</f>
        <v>7.6799999999999837</v>
      </c>
      <c r="FH29" s="388">
        <f>+FG29+EL14+EN14+EP14+ER14+ET14+EV14+EX14+EZ14+FB14+FD14+FF14+FH14+FJ14+FL14</f>
        <v>62.679999999999986</v>
      </c>
      <c r="FI29" s="498">
        <f>+COUNTIF(EK13:FL13, "&gt;=0")-FJ29</f>
        <v>6</v>
      </c>
      <c r="FJ29" s="430">
        <f>+COUNT(EK13:FL13)/2</f>
        <v>14</v>
      </c>
      <c r="GM29" s="815"/>
      <c r="GN29" s="549" t="s">
        <v>56</v>
      </c>
      <c r="GO29" s="388">
        <f>+FM13+FO13+FQ13+FS13+FU13+FW13+FY13+GA13+GC13+GE13+GG13+GI13+GK13+GM13+GO13+GQ13</f>
        <v>-216.23000000000005</v>
      </c>
      <c r="GP29" s="388">
        <f>+GO29+FN14+FP14+FR14+FT14+FV14+FX14+FZ14+GB14+GD14+GF14+GH14+GJ14+GL14+GN14+GP14+GR14</f>
        <v>-132.23000000000005</v>
      </c>
      <c r="GQ29" s="549">
        <f>+COUNTIF(FM13:GR13, "&gt;=0")-GR29</f>
        <v>6</v>
      </c>
      <c r="GR29" s="430">
        <f>+COUNT(FM13:GR13)/2</f>
        <v>15</v>
      </c>
      <c r="GY29" s="815"/>
      <c r="GZ29" s="635" t="s">
        <v>56</v>
      </c>
      <c r="HA29" s="388">
        <f>+GS13+GU13+GW13+GY13+HA13+HC13</f>
        <v>-114.66000000000001</v>
      </c>
      <c r="HB29" s="388">
        <f>+HA29+GT14+GV14+GX14+GZ14+HB14+HD14</f>
        <v>-85.660000000000011</v>
      </c>
      <c r="HC29" s="635">
        <f>+COUNTIF(GS13:HD13, "&gt;=0")-HD29</f>
        <v>3</v>
      </c>
      <c r="HD29" s="430">
        <f>+COUNT(GS13:HD13)/2</f>
        <v>6</v>
      </c>
      <c r="HH29" s="815"/>
      <c r="HI29" s="671" t="s">
        <v>56</v>
      </c>
      <c r="HJ29" s="388">
        <f>+HE13+HG13+HI13+HK13+HM13+HO13+HQ13</f>
        <v>110.21</v>
      </c>
      <c r="HK29" s="388">
        <f>+HJ29+HF14+HH14+HJ14+HL14+HN14+HP14+HR14</f>
        <v>139.20999999999998</v>
      </c>
      <c r="HL29" s="671">
        <f>+COUNTIF(HE13:HR13, "&gt;=0")-HM29</f>
        <v>7</v>
      </c>
      <c r="HM29" s="430">
        <f>+COUNT(HE13:HR13)/2</f>
        <v>7</v>
      </c>
    </row>
    <row r="30" spans="2:235" x14ac:dyDescent="0.25">
      <c r="B30" s="651" t="s">
        <v>57</v>
      </c>
      <c r="C30" s="388">
        <f>+BX30+DB30+EG30+FH30+GP30+HB30+HK30</f>
        <v>-155.14000000000001</v>
      </c>
      <c r="D30" s="430">
        <v>3</v>
      </c>
      <c r="BU30" s="815"/>
      <c r="BV30" s="381" t="s">
        <v>57</v>
      </c>
      <c r="BW30" s="388">
        <f>+BY16+BW16+BU16+BS16+BQ16</f>
        <v>-4.9700000000000024</v>
      </c>
      <c r="BX30" s="388">
        <f>+BW30+BZ17+BX17+BV17+BT17+BR17</f>
        <v>5.8299999999999974</v>
      </c>
      <c r="BY30" s="381">
        <f>+COUNTIF(BQ16:BZ16, "&gt;=0")-BZ30</f>
        <v>3</v>
      </c>
      <c r="BZ30" s="387">
        <f>+COUNT(BQ16:BZ16)/2</f>
        <v>5</v>
      </c>
      <c r="CA30" s="6"/>
      <c r="CY30" s="815"/>
      <c r="CZ30" s="425" t="s">
        <v>57</v>
      </c>
      <c r="DA30" s="388">
        <f>+CA16+CC16+CE16+CG16+CI16+CK16+CM16+CO16+CQ16+CS16+CU16+CW16+CY16+DA16+DC16+DE16</f>
        <v>-7.6400000000000361</v>
      </c>
      <c r="DB30" s="388">
        <f>+DA30+CB17+CD17+CF17+CH17+CJ17+CL17+CN17+CP17+CR17+CT17+CV17+CX17+CZ17+DB17+DD17+DF17</f>
        <v>27.159999999999961</v>
      </c>
      <c r="DC30" s="425">
        <f>+COUNTIF(CA16:DF16, "&gt;=0")-DD30</f>
        <v>4</v>
      </c>
      <c r="DD30" s="428">
        <f>+COUNT(CA16:DF16)/2</f>
        <v>12</v>
      </c>
      <c r="ED30" s="815"/>
      <c r="EE30" s="439" t="s">
        <v>57</v>
      </c>
      <c r="EF30" s="388">
        <f>+DG16+DI16+DK16+DM16+DO16+DQ16+DS16+DU16+DW16+DY16+EA16+EC16+EE16+EG16+EI16</f>
        <v>-181.84</v>
      </c>
      <c r="EG30" s="388">
        <f>+EF30+DH17+DJ17+DL17+DN17+DP17+DR17+DT17+DV17+DX17+DZ17+EB17+ED17+EF17+EH17+EJ17</f>
        <v>-135.44</v>
      </c>
      <c r="EH30" s="439">
        <f>+COUNTIF(DG16:EJ16, "&gt;=0")-EI30</f>
        <v>2</v>
      </c>
      <c r="EI30" s="430">
        <f>+COUNT(DG16:EJ16)/2</f>
        <v>15</v>
      </c>
      <c r="FE30" s="815"/>
      <c r="FF30" s="498" t="s">
        <v>57</v>
      </c>
      <c r="FG30" s="388">
        <f>+EK16+EM16+EO16+EQ16+ES16+EU16+EW16+EY16+FA16+FC16+FE16+FG16+FI16+FK16</f>
        <v>-38.089999999999989</v>
      </c>
      <c r="FH30" s="388">
        <f>+FG30+EL17+EN17+EP17+ER17+ET17+EV17+EX17+EZ17+FB17+FD17+FF17+FH17+FJ17+FL17</f>
        <v>11.910000000000011</v>
      </c>
      <c r="FI30" s="498">
        <f>+COUNTIF(EK16:FL16, "&gt;=0")-FJ30</f>
        <v>5</v>
      </c>
      <c r="FJ30" s="430">
        <f>+COUNT(EK16:FL16)/2</f>
        <v>14</v>
      </c>
      <c r="GM30" s="815"/>
      <c r="GN30" s="549" t="s">
        <v>57</v>
      </c>
      <c r="GO30" s="388">
        <f>+FM16+FO16+FQ16+FS16+FU16+FW16+FY16+GA16+GC16+GE16+GG16+GI16+GK16+GM16+GO16+GQ16</f>
        <v>-125.5</v>
      </c>
      <c r="GP30" s="388">
        <f>+GO30+FN17+FP17+FR17+FT17+FV17+FX17+FZ17+GB17+GD17+GF17+GH17+GJ17+GL17+GN17+GP17+GR17</f>
        <v>-87.5</v>
      </c>
      <c r="GQ30" s="549">
        <f>+COUNTIF(FM16:GR16, "&gt;=0")-GR30</f>
        <v>2</v>
      </c>
      <c r="GR30" s="430">
        <f>+COUNT(FM16:GR16)/2</f>
        <v>15</v>
      </c>
      <c r="GY30" s="815"/>
      <c r="GZ30" s="635" t="s">
        <v>57</v>
      </c>
      <c r="HA30" s="388">
        <f>+GS16+GU16+GW16+GY16+HA16+HC16</f>
        <v>-15.98</v>
      </c>
      <c r="HB30" s="388">
        <f>+HA30+GT17+GV17+GX17+GZ17+HB17+HD17</f>
        <v>-3.9800000000000004</v>
      </c>
      <c r="HC30" s="635">
        <f>+COUNTIF(GS16:HD16, "&gt;=0")-HD30</f>
        <v>1</v>
      </c>
      <c r="HD30" s="430">
        <f>+COUNT(GS16:HD16)/2</f>
        <v>6</v>
      </c>
      <c r="HH30" s="815"/>
      <c r="HI30" s="671" t="s">
        <v>57</v>
      </c>
      <c r="HJ30" s="388">
        <f>+HE16+HG16+HI16+HK16+HM16+HO16+HQ16</f>
        <v>7.8799999999999981</v>
      </c>
      <c r="HK30" s="388">
        <f>+HJ30+HF17+HH17+HJ17+HL17+HN17+HP17+HR17</f>
        <v>26.88</v>
      </c>
      <c r="HL30" s="671">
        <f>+COUNTIF(HE16:HR16, "&gt;=0")-HM30</f>
        <v>3</v>
      </c>
      <c r="HM30" s="430">
        <f>+COUNT(HE16:HR16)/2</f>
        <v>7</v>
      </c>
    </row>
    <row r="31" spans="2:235" x14ac:dyDescent="0.25">
      <c r="B31" s="651" t="s">
        <v>71</v>
      </c>
      <c r="C31" s="388">
        <f>+BX27+DB27+EG31+FH31+GP31+HB31+HK31</f>
        <v>-930.85</v>
      </c>
      <c r="D31" s="430">
        <v>0</v>
      </c>
      <c r="BU31" s="816"/>
      <c r="BV31" s="385" t="s">
        <v>58</v>
      </c>
      <c r="BW31" s="393">
        <f>+BY19+BW19+BU19+BS19+BQ19</f>
        <v>0.57000000000000384</v>
      </c>
      <c r="BX31" s="393">
        <f>+BZ20+BX20+BV20+BT20+BR20</f>
        <v>3.5999999999999996</v>
      </c>
      <c r="BY31" s="385">
        <f>+COUNTIF(BQ19:BZ19, "&gt;=0")-BZ31</f>
        <v>1</v>
      </c>
      <c r="BZ31" s="77">
        <f>+COUNT(BQ19:BZ19)/2</f>
        <v>3</v>
      </c>
      <c r="CY31" s="815"/>
      <c r="CZ31" s="425" t="s">
        <v>58</v>
      </c>
      <c r="DA31" s="388">
        <f>+CA19+CC19+CE19+CG19+CI19+CK19+CM19+CO19+CQ19+CS19+CU19+CW19+CY19+DA19+DC19+DE3</f>
        <v>7.9300000000000033</v>
      </c>
      <c r="DB31" s="388">
        <f>+DA31+CB20+CD20+CF20+CH20+CJ20+CL20+CN20+CP20+CR20+CT20+CV20+CX20+CZ20+DB20+DD20+DF4</f>
        <v>19.329999999999998</v>
      </c>
      <c r="DC31" s="425">
        <f>+COUNTIF(CA19:DF19, "&gt;=0")-DD31</f>
        <v>5</v>
      </c>
      <c r="DD31" s="428">
        <f>+COUNT(CA19:DF19)/2</f>
        <v>9</v>
      </c>
      <c r="ED31" s="815"/>
      <c r="EE31" s="439" t="s">
        <v>71</v>
      </c>
      <c r="EF31" s="388">
        <f>+DG19+DI19+DK19+DM19+DO19+DQ19+DS19+DU19+DW19+DY19+EA19+EC19+EE19+EG19+EI19</f>
        <v>-484.40999999999991</v>
      </c>
      <c r="EG31" s="388">
        <f>+EF31+DH20+DJ20+DL20+DN20+DP20+DR20+DT20+DV20+DX20+DZ20+EB20+ED20+EF20+EH20+EJ20</f>
        <v>-366.6099999999999</v>
      </c>
      <c r="EH31" s="439">
        <f>+COUNTIF(DG19:EJ19, "&gt;=0")-EI31</f>
        <v>2</v>
      </c>
      <c r="EI31" s="430">
        <f>+COUNT(DG19:EJ19)/2</f>
        <v>15</v>
      </c>
      <c r="FE31" s="815"/>
      <c r="FF31" s="498" t="s">
        <v>71</v>
      </c>
      <c r="FG31" s="388">
        <f>+EK19+EM19+EO19+EQ19+ES19+EU19+EW19+EY19+FA19+FC19+FE19+FG19+FI19+FK19</f>
        <v>-257.10000000000002</v>
      </c>
      <c r="FH31" s="388">
        <f>+FG31+EL20+EN20+EP20+ER20+ET20+EV20+EX20+EZ20+FB20+FD20+FF20+FH20+FJ20+FL20</f>
        <v>-167.10000000000002</v>
      </c>
      <c r="FI31" s="498">
        <f>+COUNTIF(EK19:FL19, "&gt;=0")-FJ31</f>
        <v>6</v>
      </c>
      <c r="FJ31" s="430">
        <f>+COUNT(EK19:FL19)/2</f>
        <v>14</v>
      </c>
      <c r="GM31" s="815"/>
      <c r="GN31" s="549" t="s">
        <v>71</v>
      </c>
      <c r="GO31" s="388">
        <f>+FM19+FO19+FQ19+FS19+FU19+FW19+FY19+GA19+GC19+GE19+GG19+GI19+GK19+GM19+GO19+GQ19</f>
        <v>-263.36999999999995</v>
      </c>
      <c r="GP31" s="388">
        <f>+GO31+FN20+FP20+FR20+FT20+FV20+FX20+FZ20+GB20+GD20+GF20+GH20+GJ20+GL20+GN20+GP20+GR20</f>
        <v>-163.36999999999995</v>
      </c>
      <c r="GQ31" s="549">
        <f>+COUNTIF(FM19:GR19, "&gt;=0")-GR31</f>
        <v>9</v>
      </c>
      <c r="GR31" s="430">
        <f>+COUNT(FM19:GR19)/2</f>
        <v>16</v>
      </c>
      <c r="GY31" s="815"/>
      <c r="GZ31" s="635" t="s">
        <v>71</v>
      </c>
      <c r="HA31" s="388">
        <f>+GS19+GU19+GW19+GY19+HA19+HC19</f>
        <v>-204.26</v>
      </c>
      <c r="HB31" s="388">
        <f>+HA31+GT20+GV20+GX20+GZ20+HB20+HD20</f>
        <v>-173.26</v>
      </c>
      <c r="HC31" s="635">
        <f>+COUNTIF(GS19:HD19, "&gt;=0")-HD31</f>
        <v>1</v>
      </c>
      <c r="HD31" s="430">
        <f>+COUNT(GS19:HD19)/2</f>
        <v>6</v>
      </c>
      <c r="HH31" s="815"/>
      <c r="HI31" s="671" t="s">
        <v>71</v>
      </c>
      <c r="HJ31" s="388">
        <f>+HE19+HG19+HI19+HK19+HM19+HO19+HQ19</f>
        <v>36.160000000000011</v>
      </c>
      <c r="HK31" s="388">
        <f>+HJ31+HF20+HH20+HJ20+HL20+HN20+HP20+HR20</f>
        <v>89.160000000000011</v>
      </c>
      <c r="HL31" s="671">
        <f>+COUNTIF(HE19:HR19, "&gt;=0")-HM31</f>
        <v>5</v>
      </c>
      <c r="HM31" s="430">
        <f>+COUNT(HE19:HR19)/2</f>
        <v>7</v>
      </c>
    </row>
    <row r="32" spans="2:235" x14ac:dyDescent="0.25">
      <c r="B32" s="649" t="s">
        <v>65</v>
      </c>
      <c r="C32" s="393">
        <f>+BX31+DB32+EG32+FH32+GP32+HB32+HK32</f>
        <v>-167.04999999999993</v>
      </c>
      <c r="D32" s="77">
        <v>2</v>
      </c>
      <c r="CY32" s="816"/>
      <c r="CZ32" s="426" t="s">
        <v>65</v>
      </c>
      <c r="DA32" s="393">
        <f>+CA22+CC22+CE22+CG22+CI22+CK22+CM22+CO22+CQ22+CS22+CU22+CW22+CY22+DA22+DC22+DE22</f>
        <v>20.2</v>
      </c>
      <c r="DB32" s="393">
        <f>+DA32+CB23+CD23+CF23+CH23+CJ23+CL23+CN23+CP23+CR23+CT23+CV23+CX23+CZ23+DB23+DD23+DF23</f>
        <v>22.599999999999998</v>
      </c>
      <c r="DC32" s="426">
        <f>+COUNTIF(CA22:DF22, "&gt;=0")-DD32</f>
        <v>1</v>
      </c>
      <c r="DD32" s="77">
        <f>+COUNT(CA22:DF22)/2</f>
        <v>1</v>
      </c>
      <c r="ED32" s="816"/>
      <c r="EE32" s="440" t="s">
        <v>65</v>
      </c>
      <c r="EF32" s="393">
        <f>+DG22+DI22+DK22+DM22+DO22+DQ22+DS22+DU22+DW22+DY22+EA22+EC22+EE22+EG22+EI22</f>
        <v>-207.07999999999998</v>
      </c>
      <c r="EG32" s="393">
        <f>+EF32+DH23+DJ23+DL23+DN23+DP23+DR23+DT23+DV23+DX23+DZ23+EB23+ED23+EF23+EH23+EJ23</f>
        <v>-134.07999999999996</v>
      </c>
      <c r="EH32" s="440">
        <f>+COUNTIF(DG22:EJ22, "&gt;=0")-EI32</f>
        <v>5</v>
      </c>
      <c r="EI32" s="77">
        <f>+COUNT(DG22:EJ22)/2</f>
        <v>15</v>
      </c>
      <c r="FE32" s="816"/>
      <c r="FF32" s="497" t="s">
        <v>65</v>
      </c>
      <c r="FG32" s="393">
        <f>+EK22+EM22+EO22+EQ22+ES22+EU22+EW22+EY22+FA22+FC22+FE22+FG22+FI22+FK22</f>
        <v>-61.929999999999978</v>
      </c>
      <c r="FH32" s="393">
        <f>+FG32+EL23+EN23+EP23+ER23+ET23+EV23+EX23+EZ23+FB23+FD23+FF23+FH23+FJ23+FL23</f>
        <v>-3.9299999999999784</v>
      </c>
      <c r="FI32" s="497">
        <f>+COUNTIF(EK22:FL22, "&gt;=0")-FJ32</f>
        <v>5</v>
      </c>
      <c r="FJ32" s="77">
        <f>+COUNT(EK22:FL22)/2</f>
        <v>14</v>
      </c>
      <c r="GM32" s="816"/>
      <c r="GN32" s="546" t="s">
        <v>65</v>
      </c>
      <c r="GO32" s="393">
        <f>+FM22+FO22+FQ22+FS22+FU22+FW22+FY22+GA22+GC22+GE22+GG22+GI22+GK22+GM22+GO22+GQ22</f>
        <v>-148.26</v>
      </c>
      <c r="GP32" s="393">
        <f>+GO32+FN23+FP23+FR23+FT23+FV23+FX23+FZ23+GB23+GD23+GF23+GH23+GJ23+GL23+GN23+GP23+GR23</f>
        <v>-73.259999999999991</v>
      </c>
      <c r="GQ32" s="546">
        <f>+COUNTIF(FM22:GR22, "&gt;=0")-GR32</f>
        <v>6</v>
      </c>
      <c r="GR32" s="77">
        <f>+COUNT(FM22:GR22)/2</f>
        <v>15</v>
      </c>
      <c r="GY32" s="816"/>
      <c r="GZ32" s="632" t="s">
        <v>65</v>
      </c>
      <c r="HA32" s="393">
        <f>+GS22+GU22+GW22+GY22+HA22+HC22</f>
        <v>-75.95</v>
      </c>
      <c r="HB32" s="393">
        <f>+HA32+GT23+GV23+GX23+GZ23+HB23+HD23</f>
        <v>-52.95</v>
      </c>
      <c r="HC32" s="632">
        <f>+COUNTIF(GS22:HD22, "&gt;=0")-HD32</f>
        <v>3</v>
      </c>
      <c r="HD32" s="77">
        <f>+COUNT(GS22:HD22)/2</f>
        <v>6</v>
      </c>
      <c r="HH32" s="816"/>
      <c r="HI32" s="668" t="s">
        <v>65</v>
      </c>
      <c r="HJ32" s="393">
        <f>+HE22+HG22+HI22+HK22+HM22+HO22+HQ22</f>
        <v>38.97</v>
      </c>
      <c r="HK32" s="393">
        <f>+HJ32+HF23+HH23+HJ23+HL23+HN23+HP23+HR23</f>
        <v>70.97</v>
      </c>
      <c r="HL32" s="668">
        <f>+COUNTIF(HE22:HR22, "&gt;=0")-HM32</f>
        <v>5</v>
      </c>
      <c r="HM32" s="77">
        <f>+COUNT(HE22:HR22)/2</f>
        <v>7</v>
      </c>
    </row>
    <row r="34" spans="1:127" x14ac:dyDescent="0.25">
      <c r="DW34" s="67"/>
    </row>
    <row r="37" spans="1:127" x14ac:dyDescent="0.25">
      <c r="A37" s="806" t="s">
        <v>80</v>
      </c>
      <c r="B37" s="807"/>
      <c r="C37" s="807"/>
      <c r="D37" s="808"/>
    </row>
    <row r="38" spans="1:127" ht="15" customHeight="1" x14ac:dyDescent="0.25">
      <c r="A38" s="803" t="s">
        <v>81</v>
      </c>
      <c r="B38" s="809"/>
      <c r="C38" s="809"/>
      <c r="D38" s="810"/>
    </row>
    <row r="39" spans="1:127" x14ac:dyDescent="0.25">
      <c r="A39" s="804"/>
      <c r="B39" s="811"/>
      <c r="C39" s="811"/>
      <c r="D39" s="812"/>
    </row>
    <row r="40" spans="1:127" x14ac:dyDescent="0.25">
      <c r="A40" s="805"/>
      <c r="B40" s="748"/>
      <c r="C40" s="748"/>
      <c r="D40" s="813"/>
    </row>
    <row r="41" spans="1:127" ht="15" customHeight="1" x14ac:dyDescent="0.25">
      <c r="A41" s="803" t="s">
        <v>83</v>
      </c>
      <c r="B41" s="662" t="s">
        <v>85</v>
      </c>
      <c r="C41" s="660" t="s">
        <v>58</v>
      </c>
      <c r="D41" s="653">
        <v>-141.70000000000005</v>
      </c>
    </row>
    <row r="42" spans="1:127" x14ac:dyDescent="0.25">
      <c r="A42" s="804"/>
      <c r="B42" s="650" t="s">
        <v>82</v>
      </c>
      <c r="C42" s="660" t="s">
        <v>63</v>
      </c>
      <c r="D42" s="653">
        <v>-366.82000000000005</v>
      </c>
    </row>
    <row r="43" spans="1:127" x14ac:dyDescent="0.25">
      <c r="A43" s="804"/>
      <c r="B43" s="663" t="s">
        <v>86</v>
      </c>
      <c r="C43" s="660" t="s">
        <v>56</v>
      </c>
      <c r="D43" s="653">
        <v>-319.26000000000005</v>
      </c>
    </row>
    <row r="44" spans="1:127" x14ac:dyDescent="0.25">
      <c r="A44" s="804"/>
      <c r="B44" s="666" t="s">
        <v>88</v>
      </c>
      <c r="C44" s="660" t="s">
        <v>57</v>
      </c>
      <c r="D44" s="653">
        <v>-182.02</v>
      </c>
    </row>
    <row r="45" spans="1:127" x14ac:dyDescent="0.25">
      <c r="A45" s="804"/>
      <c r="B45" s="663" t="s">
        <v>87</v>
      </c>
      <c r="C45" s="651" t="s">
        <v>71</v>
      </c>
      <c r="D45" s="653">
        <v>-1020.01</v>
      </c>
    </row>
    <row r="46" spans="1:127" x14ac:dyDescent="0.25">
      <c r="A46" s="805"/>
      <c r="B46" s="665">
        <v>3000</v>
      </c>
      <c r="C46" s="649" t="s">
        <v>65</v>
      </c>
      <c r="D46" s="661">
        <v>-238.01999999999992</v>
      </c>
    </row>
    <row r="47" spans="1:127" x14ac:dyDescent="0.25">
      <c r="A47" s="803" t="s">
        <v>89</v>
      </c>
      <c r="B47" s="663" t="s">
        <v>85</v>
      </c>
      <c r="C47" s="660" t="s">
        <v>58</v>
      </c>
      <c r="AD47" s="181"/>
    </row>
    <row r="48" spans="1:127" x14ac:dyDescent="0.25">
      <c r="A48" s="804"/>
      <c r="B48" s="650" t="s">
        <v>84</v>
      </c>
      <c r="C48" s="660" t="s">
        <v>63</v>
      </c>
      <c r="AD48" s="181"/>
    </row>
    <row r="49" spans="1:30" x14ac:dyDescent="0.25">
      <c r="A49" s="804"/>
      <c r="B49" s="663" t="s">
        <v>86</v>
      </c>
      <c r="C49" s="660" t="s">
        <v>56</v>
      </c>
      <c r="AD49" s="181"/>
    </row>
    <row r="50" spans="1:30" x14ac:dyDescent="0.25">
      <c r="A50" s="804"/>
      <c r="B50" s="664">
        <v>1500</v>
      </c>
      <c r="C50" s="660" t="s">
        <v>57</v>
      </c>
    </row>
    <row r="51" spans="1:30" x14ac:dyDescent="0.25">
      <c r="A51" s="804"/>
      <c r="B51" s="663" t="s">
        <v>87</v>
      </c>
      <c r="C51" s="651" t="s">
        <v>71</v>
      </c>
    </row>
    <row r="52" spans="1:30" x14ac:dyDescent="0.25">
      <c r="A52" s="805"/>
      <c r="B52" s="665">
        <v>6000</v>
      </c>
      <c r="C52" s="649" t="s">
        <v>65</v>
      </c>
      <c r="D52" s="73"/>
    </row>
  </sheetData>
  <mergeCells count="170">
    <mergeCell ref="IG1:IH1"/>
    <mergeCell ref="II1:IJ1"/>
    <mergeCell ref="IK1:IL1"/>
    <mergeCell ref="BU27:BU31"/>
    <mergeCell ref="CI1:CJ1"/>
    <mergeCell ref="CC1:CD1"/>
    <mergeCell ref="CA1:CB1"/>
    <mergeCell ref="CK1:CL1"/>
    <mergeCell ref="BY1:BZ1"/>
    <mergeCell ref="IA1:IB1"/>
    <mergeCell ref="IC1:ID1"/>
    <mergeCell ref="IE1:IF1"/>
    <mergeCell ref="HH27:HH32"/>
    <mergeCell ref="EO1:EP1"/>
    <mergeCell ref="FA1:FB1"/>
    <mergeCell ref="EA1:EB1"/>
    <mergeCell ref="EC1:ED1"/>
    <mergeCell ref="DW1:DX1"/>
    <mergeCell ref="DQ1:DR1"/>
    <mergeCell ref="ED27:ED32"/>
    <mergeCell ref="DS1:DT1"/>
    <mergeCell ref="DY6:DZ6"/>
    <mergeCell ref="EM1:EN1"/>
    <mergeCell ref="GY27:GY32"/>
    <mergeCell ref="GM27:GM32"/>
    <mergeCell ref="CY27:CY32"/>
    <mergeCell ref="CS1:CT1"/>
    <mergeCell ref="CU1:CV1"/>
    <mergeCell ref="CQ1:CR1"/>
    <mergeCell ref="EY1:EZ1"/>
    <mergeCell ref="EW1:EX1"/>
    <mergeCell ref="EU1:EV1"/>
    <mergeCell ref="DY1:DZ1"/>
    <mergeCell ref="DO1:DP1"/>
    <mergeCell ref="DI1:DJ1"/>
    <mergeCell ref="GE1:GF1"/>
    <mergeCell ref="FC1:FD1"/>
    <mergeCell ref="FE1:FF1"/>
    <mergeCell ref="DK1:DL1"/>
    <mergeCell ref="FE27:FE32"/>
    <mergeCell ref="ES1:ET1"/>
    <mergeCell ref="EQ1:ER1"/>
    <mergeCell ref="FG1:FH1"/>
    <mergeCell ref="FM1:FN1"/>
    <mergeCell ref="FI1:FJ1"/>
    <mergeCell ref="K6:L6"/>
    <mergeCell ref="K1:L1"/>
    <mergeCell ref="AC1:AD1"/>
    <mergeCell ref="AE6:AF6"/>
    <mergeCell ref="AG6:AH6"/>
    <mergeCell ref="AM1:AN1"/>
    <mergeCell ref="AM6:AN6"/>
    <mergeCell ref="A41:A46"/>
    <mergeCell ref="A47:A52"/>
    <mergeCell ref="A37:D37"/>
    <mergeCell ref="A38:D40"/>
    <mergeCell ref="D7:D8"/>
    <mergeCell ref="B3:B4"/>
    <mergeCell ref="C3:C4"/>
    <mergeCell ref="D3:D4"/>
    <mergeCell ref="E1:F1"/>
    <mergeCell ref="G1:H1"/>
    <mergeCell ref="BA1:BB1"/>
    <mergeCell ref="BU1:BV1"/>
    <mergeCell ref="BS1:BT1"/>
    <mergeCell ref="BQ1:BR1"/>
    <mergeCell ref="AA6:AB6"/>
    <mergeCell ref="S1:T1"/>
    <mergeCell ref="U1:V1"/>
    <mergeCell ref="M6:N6"/>
    <mergeCell ref="O1:P1"/>
    <mergeCell ref="N12:N13"/>
    <mergeCell ref="BW1:BX1"/>
    <mergeCell ref="CE1:CF1"/>
    <mergeCell ref="CG1:CH1"/>
    <mergeCell ref="BK6:BL6"/>
    <mergeCell ref="AK6:AL6"/>
    <mergeCell ref="AI1:AJ1"/>
    <mergeCell ref="AI6:AJ6"/>
    <mergeCell ref="AG1:AH1"/>
    <mergeCell ref="AQ1:AR1"/>
    <mergeCell ref="AQ6:AR6"/>
    <mergeCell ref="D22:D23"/>
    <mergeCell ref="I6:J6"/>
    <mergeCell ref="AO1:AP1"/>
    <mergeCell ref="AO6:AP6"/>
    <mergeCell ref="D10:D11"/>
    <mergeCell ref="G6:H6"/>
    <mergeCell ref="I1:J1"/>
    <mergeCell ref="AC6:AD6"/>
    <mergeCell ref="W1:X1"/>
    <mergeCell ref="AA1:AB1"/>
    <mergeCell ref="Y1:Z1"/>
    <mergeCell ref="Y6:Z6"/>
    <mergeCell ref="E6:F6"/>
    <mergeCell ref="D19:D20"/>
    <mergeCell ref="D16:D17"/>
    <mergeCell ref="Q1:R1"/>
    <mergeCell ref="D13:D14"/>
    <mergeCell ref="W6:X6"/>
    <mergeCell ref="M12:M15"/>
    <mergeCell ref="Q6:R6"/>
    <mergeCell ref="O6:P6"/>
    <mergeCell ref="U6:V6"/>
    <mergeCell ref="M1:N1"/>
    <mergeCell ref="S6:T6"/>
    <mergeCell ref="BO1:BP1"/>
    <mergeCell ref="BK1:BL1"/>
    <mergeCell ref="BI1:BJ1"/>
    <mergeCell ref="BM1:BN1"/>
    <mergeCell ref="BG1:BH1"/>
    <mergeCell ref="BC1:BD1"/>
    <mergeCell ref="BE1:BF1"/>
    <mergeCell ref="AS12:AS15"/>
    <mergeCell ref="AK12:AK15"/>
    <mergeCell ref="AY1:AZ1"/>
    <mergeCell ref="AW1:AX1"/>
    <mergeCell ref="AU1:AV1"/>
    <mergeCell ref="AT12:AT13"/>
    <mergeCell ref="AS6:AT6"/>
    <mergeCell ref="AS1:AT1"/>
    <mergeCell ref="AE1:AF1"/>
    <mergeCell ref="AL12:AL13"/>
    <mergeCell ref="AK1:AL1"/>
    <mergeCell ref="CO1:CP1"/>
    <mergeCell ref="CW1:CX1"/>
    <mergeCell ref="CM1:CN1"/>
    <mergeCell ref="DA1:DB1"/>
    <mergeCell ref="DG1:DH1"/>
    <mergeCell ref="EK1:EL1"/>
    <mergeCell ref="DC1:DD1"/>
    <mergeCell ref="DE1:DF1"/>
    <mergeCell ref="DM1:DN1"/>
    <mergeCell ref="EE1:EF1"/>
    <mergeCell ref="EG1:EH1"/>
    <mergeCell ref="EI1:EJ1"/>
    <mergeCell ref="DU1:DV1"/>
    <mergeCell ref="CY1:CZ1"/>
    <mergeCell ref="FK1:FL1"/>
    <mergeCell ref="HK1:HL1"/>
    <mergeCell ref="HE1:HF1"/>
    <mergeCell ref="HG1:HH1"/>
    <mergeCell ref="HA1:HB1"/>
    <mergeCell ref="GU1:GV1"/>
    <mergeCell ref="GQ1:GR1"/>
    <mergeCell ref="GC1:GD1"/>
    <mergeCell ref="GA1:GB1"/>
    <mergeCell ref="GS1:GT1"/>
    <mergeCell ref="GY1:GZ1"/>
    <mergeCell ref="GW1:GX1"/>
    <mergeCell ref="HI1:HJ1"/>
    <mergeCell ref="FO1:FP1"/>
    <mergeCell ref="FS1:FT1"/>
    <mergeCell ref="FQ1:FR1"/>
    <mergeCell ref="FY1:FZ1"/>
    <mergeCell ref="HC1:HD1"/>
    <mergeCell ref="HY1:HZ1"/>
    <mergeCell ref="HU1:HV1"/>
    <mergeCell ref="HQ1:HR1"/>
    <mergeCell ref="FW1:FX1"/>
    <mergeCell ref="FU1:FV1"/>
    <mergeCell ref="GO1:GP1"/>
    <mergeCell ref="GM1:GN1"/>
    <mergeCell ref="GI1:GJ1"/>
    <mergeCell ref="GK1:GL1"/>
    <mergeCell ref="GG1:GH1"/>
    <mergeCell ref="HS1:HT1"/>
    <mergeCell ref="HW1:HX1"/>
    <mergeCell ref="HO1:HP1"/>
    <mergeCell ref="HM1:HN1"/>
  </mergeCells>
  <conditionalFormatting sqref="E3">
    <cfRule type="cellIs" dxfId="1317" priority="1643" operator="lessThan">
      <formula>0</formula>
    </cfRule>
    <cfRule type="cellIs" dxfId="1316" priority="1644" operator="greaterThan">
      <formula>0</formula>
    </cfRule>
  </conditionalFormatting>
  <conditionalFormatting sqref="E6:E9">
    <cfRule type="cellIs" dxfId="1315" priority="1641" operator="lessThan">
      <formula>0</formula>
    </cfRule>
    <cfRule type="cellIs" dxfId="1314" priority="1642" operator="greaterThan">
      <formula>0</formula>
    </cfRule>
  </conditionalFormatting>
  <conditionalFormatting sqref="G3">
    <cfRule type="cellIs" dxfId="1313" priority="1639" operator="lessThan">
      <formula>0</formula>
    </cfRule>
    <cfRule type="cellIs" dxfId="1312" priority="1640" operator="greaterThan">
      <formula>0</formula>
    </cfRule>
  </conditionalFormatting>
  <conditionalFormatting sqref="G6:G9">
    <cfRule type="cellIs" dxfId="1311" priority="1637" operator="lessThan">
      <formula>0</formula>
    </cfRule>
    <cfRule type="cellIs" dxfId="1310" priority="1638" operator="greaterThan">
      <formula>0</formula>
    </cfRule>
  </conditionalFormatting>
  <conditionalFormatting sqref="I3">
    <cfRule type="cellIs" dxfId="1309" priority="1635" operator="lessThan">
      <formula>0</formula>
    </cfRule>
    <cfRule type="cellIs" dxfId="1308" priority="1636" operator="greaterThan">
      <formula>0</formula>
    </cfRule>
  </conditionalFormatting>
  <conditionalFormatting sqref="I6:I9">
    <cfRule type="cellIs" dxfId="1307" priority="1633" operator="lessThan">
      <formula>0</formula>
    </cfRule>
    <cfRule type="cellIs" dxfId="1306" priority="1634" operator="greaterThan">
      <formula>0</formula>
    </cfRule>
  </conditionalFormatting>
  <conditionalFormatting sqref="K3">
    <cfRule type="cellIs" dxfId="1305" priority="1631" operator="lessThan">
      <formula>0</formula>
    </cfRule>
    <cfRule type="cellIs" dxfId="1304" priority="1632" operator="greaterThan">
      <formula>0</formula>
    </cfRule>
  </conditionalFormatting>
  <conditionalFormatting sqref="K6:K9">
    <cfRule type="cellIs" dxfId="1303" priority="1629" operator="lessThan">
      <formula>0</formula>
    </cfRule>
    <cfRule type="cellIs" dxfId="1302" priority="1630" operator="greaterThan">
      <formula>0</formula>
    </cfRule>
  </conditionalFormatting>
  <conditionalFormatting sqref="M3">
    <cfRule type="cellIs" dxfId="1301" priority="1627" operator="lessThan">
      <formula>0</formula>
    </cfRule>
    <cfRule type="cellIs" dxfId="1300" priority="1628" operator="greaterThan">
      <formula>0</formula>
    </cfRule>
  </conditionalFormatting>
  <conditionalFormatting sqref="M6:M9">
    <cfRule type="cellIs" dxfId="1299" priority="1625" operator="lessThan">
      <formula>0</formula>
    </cfRule>
    <cfRule type="cellIs" dxfId="1298" priority="1626" operator="greaterThan">
      <formula>0</formula>
    </cfRule>
  </conditionalFormatting>
  <conditionalFormatting sqref="O3">
    <cfRule type="cellIs" dxfId="1297" priority="1623" operator="lessThan">
      <formula>0</formula>
    </cfRule>
    <cfRule type="cellIs" dxfId="1296" priority="1624" operator="greaterThan">
      <formula>0</formula>
    </cfRule>
  </conditionalFormatting>
  <conditionalFormatting sqref="O6:O9">
    <cfRule type="cellIs" dxfId="1295" priority="1621" operator="lessThan">
      <formula>0</formula>
    </cfRule>
    <cfRule type="cellIs" dxfId="1294" priority="1622" operator="greaterThan">
      <formula>0</formula>
    </cfRule>
  </conditionalFormatting>
  <conditionalFormatting sqref="Q3">
    <cfRule type="cellIs" dxfId="1293" priority="1619" operator="lessThan">
      <formula>0</formula>
    </cfRule>
    <cfRule type="cellIs" dxfId="1292" priority="1620" operator="greaterThan">
      <formula>0</formula>
    </cfRule>
  </conditionalFormatting>
  <conditionalFormatting sqref="Q6:Q9">
    <cfRule type="cellIs" dxfId="1291" priority="1617" operator="lessThan">
      <formula>0</formula>
    </cfRule>
    <cfRule type="cellIs" dxfId="1290" priority="1618" operator="greaterThan">
      <formula>0</formula>
    </cfRule>
  </conditionalFormatting>
  <conditionalFormatting sqref="S3">
    <cfRule type="cellIs" dxfId="1289" priority="1615" operator="lessThan">
      <formula>0</formula>
    </cfRule>
    <cfRule type="cellIs" dxfId="1288" priority="1616" operator="greaterThan">
      <formula>0</formula>
    </cfRule>
  </conditionalFormatting>
  <conditionalFormatting sqref="S6:S9">
    <cfRule type="cellIs" dxfId="1287" priority="1613" operator="lessThan">
      <formula>0</formula>
    </cfRule>
    <cfRule type="cellIs" dxfId="1286" priority="1614" operator="greaterThan">
      <formula>0</formula>
    </cfRule>
  </conditionalFormatting>
  <conditionalFormatting sqref="U3">
    <cfRule type="cellIs" dxfId="1285" priority="1611" operator="lessThan">
      <formula>0</formula>
    </cfRule>
    <cfRule type="cellIs" dxfId="1284" priority="1612" operator="greaterThan">
      <formula>0</formula>
    </cfRule>
  </conditionalFormatting>
  <conditionalFormatting sqref="U6:U9">
    <cfRule type="cellIs" dxfId="1283" priority="1609" operator="lessThan">
      <formula>0</formula>
    </cfRule>
    <cfRule type="cellIs" dxfId="1282" priority="1610" operator="greaterThan">
      <formula>0</formula>
    </cfRule>
  </conditionalFormatting>
  <conditionalFormatting sqref="W3">
    <cfRule type="cellIs" dxfId="1281" priority="1607" operator="lessThan">
      <formula>0</formula>
    </cfRule>
    <cfRule type="cellIs" dxfId="1280" priority="1608" operator="greaterThan">
      <formula>0</formula>
    </cfRule>
  </conditionalFormatting>
  <conditionalFormatting sqref="W6:W9">
    <cfRule type="cellIs" dxfId="1279" priority="1605" operator="lessThan">
      <formula>0</formula>
    </cfRule>
    <cfRule type="cellIs" dxfId="1278" priority="1606" operator="greaterThan">
      <formula>0</formula>
    </cfRule>
  </conditionalFormatting>
  <conditionalFormatting sqref="Y3">
    <cfRule type="cellIs" dxfId="1277" priority="1603" operator="lessThan">
      <formula>0</formula>
    </cfRule>
    <cfRule type="cellIs" dxfId="1276" priority="1604" operator="greaterThan">
      <formula>0</formula>
    </cfRule>
  </conditionalFormatting>
  <conditionalFormatting sqref="Y6:Y9">
    <cfRule type="cellIs" dxfId="1275" priority="1601" operator="lessThan">
      <formula>0</formula>
    </cfRule>
    <cfRule type="cellIs" dxfId="1274" priority="1602" operator="greaterThan">
      <formula>0</formula>
    </cfRule>
  </conditionalFormatting>
  <conditionalFormatting sqref="AA3">
    <cfRule type="cellIs" dxfId="1273" priority="1599" operator="lessThan">
      <formula>0</formula>
    </cfRule>
    <cfRule type="cellIs" dxfId="1272" priority="1600" operator="greaterThan">
      <formula>0</formula>
    </cfRule>
  </conditionalFormatting>
  <conditionalFormatting sqref="AA6:AA9">
    <cfRule type="cellIs" dxfId="1271" priority="1597" operator="lessThan">
      <formula>0</formula>
    </cfRule>
    <cfRule type="cellIs" dxfId="1270" priority="1598" operator="greaterThan">
      <formula>0</formula>
    </cfRule>
  </conditionalFormatting>
  <conditionalFormatting sqref="AC3">
    <cfRule type="cellIs" dxfId="1269" priority="1595" operator="lessThan">
      <formula>0</formula>
    </cfRule>
    <cfRule type="cellIs" dxfId="1268" priority="1596" operator="greaterThan">
      <formula>0</formula>
    </cfRule>
  </conditionalFormatting>
  <conditionalFormatting sqref="AC6:AC9">
    <cfRule type="cellIs" dxfId="1267" priority="1593" operator="lessThan">
      <formula>0</formula>
    </cfRule>
    <cfRule type="cellIs" dxfId="1266" priority="1594" operator="greaterThan">
      <formula>0</formula>
    </cfRule>
  </conditionalFormatting>
  <conditionalFormatting sqref="AE3">
    <cfRule type="cellIs" dxfId="1265" priority="1591" operator="lessThan">
      <formula>0</formula>
    </cfRule>
    <cfRule type="cellIs" dxfId="1264" priority="1592" operator="greaterThan">
      <formula>0</formula>
    </cfRule>
  </conditionalFormatting>
  <conditionalFormatting sqref="AE6:AE9">
    <cfRule type="cellIs" dxfId="1263" priority="1589" operator="lessThan">
      <formula>0</formula>
    </cfRule>
    <cfRule type="cellIs" dxfId="1262" priority="1590" operator="greaterThan">
      <formula>0</formula>
    </cfRule>
  </conditionalFormatting>
  <conditionalFormatting sqref="AG3">
    <cfRule type="cellIs" dxfId="1261" priority="1587" operator="lessThan">
      <formula>0</formula>
    </cfRule>
    <cfRule type="cellIs" dxfId="1260" priority="1588" operator="greaterThan">
      <formula>0</formula>
    </cfRule>
  </conditionalFormatting>
  <conditionalFormatting sqref="AG6:AG9">
    <cfRule type="cellIs" dxfId="1259" priority="1585" operator="lessThan">
      <formula>0</formula>
    </cfRule>
    <cfRule type="cellIs" dxfId="1258" priority="1586" operator="greaterThan">
      <formula>0</formula>
    </cfRule>
  </conditionalFormatting>
  <conditionalFormatting sqref="AI3">
    <cfRule type="cellIs" dxfId="1257" priority="1583" operator="lessThan">
      <formula>0</formula>
    </cfRule>
    <cfRule type="cellIs" dxfId="1256" priority="1584" operator="greaterThan">
      <formula>0</formula>
    </cfRule>
  </conditionalFormatting>
  <conditionalFormatting sqref="AI6:AI9">
    <cfRule type="cellIs" dxfId="1255" priority="1581" operator="lessThan">
      <formula>0</formula>
    </cfRule>
    <cfRule type="cellIs" dxfId="1254" priority="1582" operator="greaterThan">
      <formula>0</formula>
    </cfRule>
  </conditionalFormatting>
  <conditionalFormatting sqref="AK3">
    <cfRule type="cellIs" dxfId="1253" priority="1579" operator="lessThan">
      <formula>0</formula>
    </cfRule>
    <cfRule type="cellIs" dxfId="1252" priority="1580" operator="greaterThan">
      <formula>0</formula>
    </cfRule>
  </conditionalFormatting>
  <conditionalFormatting sqref="AK6:AK9">
    <cfRule type="cellIs" dxfId="1251" priority="1577" operator="lessThan">
      <formula>0</formula>
    </cfRule>
    <cfRule type="cellIs" dxfId="1250" priority="1578" operator="greaterThan">
      <formula>0</formula>
    </cfRule>
  </conditionalFormatting>
  <conditionalFormatting sqref="N12">
    <cfRule type="cellIs" dxfId="1249" priority="1575" operator="lessThan">
      <formula>0</formula>
    </cfRule>
    <cfRule type="cellIs" dxfId="1248" priority="1576" operator="greaterThan">
      <formula>0</formula>
    </cfRule>
  </conditionalFormatting>
  <conditionalFormatting sqref="N15">
    <cfRule type="cellIs" dxfId="1247" priority="1573" operator="lessThan">
      <formula>0</formula>
    </cfRule>
    <cfRule type="cellIs" dxfId="1246" priority="1574" operator="greaterThan">
      <formula>0</formula>
    </cfRule>
  </conditionalFormatting>
  <conditionalFormatting sqref="AL12">
    <cfRule type="cellIs" dxfId="1245" priority="1571" operator="lessThan">
      <formula>0</formula>
    </cfRule>
    <cfRule type="cellIs" dxfId="1244" priority="1572" operator="greaterThan">
      <formula>0</formula>
    </cfRule>
  </conditionalFormatting>
  <conditionalFormatting sqref="AL15">
    <cfRule type="cellIs" dxfId="1243" priority="1569" operator="lessThan">
      <formula>0</formula>
    </cfRule>
    <cfRule type="cellIs" dxfId="1242" priority="1570" operator="greaterThan">
      <formula>0</formula>
    </cfRule>
  </conditionalFormatting>
  <conditionalFormatting sqref="AM3">
    <cfRule type="cellIs" dxfId="1241" priority="1567" operator="lessThan">
      <formula>0</formula>
    </cfRule>
    <cfRule type="cellIs" dxfId="1240" priority="1568" operator="greaterThan">
      <formula>0</formula>
    </cfRule>
  </conditionalFormatting>
  <conditionalFormatting sqref="AM6:AM9">
    <cfRule type="cellIs" dxfId="1239" priority="1565" operator="lessThan">
      <formula>0</formula>
    </cfRule>
    <cfRule type="cellIs" dxfId="1238" priority="1566" operator="greaterThan">
      <formula>0</formula>
    </cfRule>
  </conditionalFormatting>
  <conditionalFormatting sqref="AO6:AO9">
    <cfRule type="cellIs" dxfId="1237" priority="1561" operator="lessThan">
      <formula>0</formula>
    </cfRule>
    <cfRule type="cellIs" dxfId="1236" priority="1562" operator="greaterThan">
      <formula>0</formula>
    </cfRule>
  </conditionalFormatting>
  <conditionalFormatting sqref="AO3">
    <cfRule type="cellIs" dxfId="1235" priority="1559" operator="lessThan">
      <formula>0</formula>
    </cfRule>
    <cfRule type="cellIs" dxfId="1234" priority="1560" operator="greaterThan">
      <formula>0</formula>
    </cfRule>
  </conditionalFormatting>
  <conditionalFormatting sqref="AQ6:AQ9">
    <cfRule type="cellIs" dxfId="1233" priority="1557" operator="lessThan">
      <formula>0</formula>
    </cfRule>
    <cfRule type="cellIs" dxfId="1232" priority="1558" operator="greaterThan">
      <formula>0</formula>
    </cfRule>
  </conditionalFormatting>
  <conditionalFormatting sqref="AQ3">
    <cfRule type="cellIs" dxfId="1231" priority="1555" operator="lessThan">
      <formula>0</formula>
    </cfRule>
    <cfRule type="cellIs" dxfId="1230" priority="1556" operator="greaterThan">
      <formula>0</formula>
    </cfRule>
  </conditionalFormatting>
  <conditionalFormatting sqref="AS6:AS9">
    <cfRule type="cellIs" dxfId="1229" priority="1553" operator="lessThan">
      <formula>0</formula>
    </cfRule>
    <cfRule type="cellIs" dxfId="1228" priority="1554" operator="greaterThan">
      <formula>0</formula>
    </cfRule>
  </conditionalFormatting>
  <conditionalFormatting sqref="AS3">
    <cfRule type="cellIs" dxfId="1227" priority="1551" operator="lessThan">
      <formula>0</formula>
    </cfRule>
    <cfRule type="cellIs" dxfId="1226" priority="1552" operator="greaterThan">
      <formula>0</formula>
    </cfRule>
  </conditionalFormatting>
  <conditionalFormatting sqref="AU3">
    <cfRule type="cellIs" dxfId="1225" priority="1547" operator="lessThan">
      <formula>0</formula>
    </cfRule>
    <cfRule type="cellIs" dxfId="1224" priority="1548" operator="greaterThan">
      <formula>0</formula>
    </cfRule>
  </conditionalFormatting>
  <conditionalFormatting sqref="AT12">
    <cfRule type="cellIs" dxfId="1223" priority="1545" operator="lessThan">
      <formula>0</formula>
    </cfRule>
    <cfRule type="cellIs" dxfId="1222" priority="1546" operator="greaterThan">
      <formula>0</formula>
    </cfRule>
  </conditionalFormatting>
  <conditionalFormatting sqref="AT15">
    <cfRule type="cellIs" dxfId="1221" priority="1543" operator="lessThan">
      <formula>0</formula>
    </cfRule>
    <cfRule type="cellIs" dxfId="1220" priority="1544" operator="greaterThan">
      <formula>0</formula>
    </cfRule>
  </conditionalFormatting>
  <conditionalFormatting sqref="AW3">
    <cfRule type="cellIs" dxfId="1219" priority="1539" operator="lessThan">
      <formula>0</formula>
    </cfRule>
    <cfRule type="cellIs" dxfId="1218" priority="1540" operator="greaterThan">
      <formula>0</formula>
    </cfRule>
  </conditionalFormatting>
  <conditionalFormatting sqref="AY3">
    <cfRule type="cellIs" dxfId="1217" priority="1535" operator="lessThan">
      <formula>0</formula>
    </cfRule>
    <cfRule type="cellIs" dxfId="1216" priority="1536" operator="greaterThan">
      <formula>0</formula>
    </cfRule>
  </conditionalFormatting>
  <conditionalFormatting sqref="BA3">
    <cfRule type="cellIs" dxfId="1215" priority="1531" operator="lessThan">
      <formula>0</formula>
    </cfRule>
    <cfRule type="cellIs" dxfId="1214" priority="1532" operator="greaterThan">
      <formula>0</formula>
    </cfRule>
  </conditionalFormatting>
  <conditionalFormatting sqref="BC3">
    <cfRule type="cellIs" dxfId="1213" priority="1527" operator="lessThan">
      <formula>0</formula>
    </cfRule>
    <cfRule type="cellIs" dxfId="1212" priority="1528" operator="greaterThan">
      <formula>0</formula>
    </cfRule>
  </conditionalFormatting>
  <conditionalFormatting sqref="BE3">
    <cfRule type="cellIs" dxfId="1211" priority="1523" operator="lessThan">
      <formula>0</formula>
    </cfRule>
    <cfRule type="cellIs" dxfId="1210" priority="1524" operator="greaterThan">
      <formula>0</formula>
    </cfRule>
  </conditionalFormatting>
  <conditionalFormatting sqref="BG3">
    <cfRule type="cellIs" dxfId="1209" priority="1519" operator="lessThan">
      <formula>0</formula>
    </cfRule>
    <cfRule type="cellIs" dxfId="1208" priority="1520" operator="greaterThan">
      <formula>0</formula>
    </cfRule>
  </conditionalFormatting>
  <conditionalFormatting sqref="BI3">
    <cfRule type="cellIs" dxfId="1207" priority="1515" operator="lessThan">
      <formula>0</formula>
    </cfRule>
    <cfRule type="cellIs" dxfId="1206" priority="1516" operator="greaterThan">
      <formula>0</formula>
    </cfRule>
  </conditionalFormatting>
  <conditionalFormatting sqref="BW27">
    <cfRule type="cellIs" dxfId="1205" priority="1513" operator="lessThan">
      <formula>0</formula>
    </cfRule>
    <cfRule type="cellIs" dxfId="1204" priority="1514" operator="greaterThan">
      <formula>0</formula>
    </cfRule>
  </conditionalFormatting>
  <conditionalFormatting sqref="BK3">
    <cfRule type="cellIs" dxfId="1203" priority="1507" operator="lessThan">
      <formula>0</formula>
    </cfRule>
    <cfRule type="cellIs" dxfId="1202" priority="1508" operator="greaterThan">
      <formula>0</formula>
    </cfRule>
  </conditionalFormatting>
  <conditionalFormatting sqref="BM3">
    <cfRule type="cellIs" dxfId="1201" priority="1503" operator="lessThan">
      <formula>0</formula>
    </cfRule>
    <cfRule type="cellIs" dxfId="1200" priority="1504" operator="greaterThan">
      <formula>0</formula>
    </cfRule>
  </conditionalFormatting>
  <conditionalFormatting sqref="BM10">
    <cfRule type="cellIs" dxfId="1199" priority="1501" operator="lessThan">
      <formula>0</formula>
    </cfRule>
    <cfRule type="cellIs" dxfId="1198" priority="1502" operator="greaterThan">
      <formula>0</formula>
    </cfRule>
  </conditionalFormatting>
  <conditionalFormatting sqref="BO3">
    <cfRule type="cellIs" dxfId="1197" priority="1497" operator="lessThan">
      <formula>0</formula>
    </cfRule>
    <cfRule type="cellIs" dxfId="1196" priority="1498" operator="greaterThan">
      <formula>0</formula>
    </cfRule>
  </conditionalFormatting>
  <conditionalFormatting sqref="BO10">
    <cfRule type="cellIs" dxfId="1195" priority="1495" operator="lessThan">
      <formula>0</formula>
    </cfRule>
    <cfRule type="cellIs" dxfId="1194" priority="1496" operator="greaterThan">
      <formula>0</formula>
    </cfRule>
  </conditionalFormatting>
  <conditionalFormatting sqref="BM13">
    <cfRule type="cellIs" dxfId="1193" priority="1493" operator="lessThan">
      <formula>0</formula>
    </cfRule>
    <cfRule type="cellIs" dxfId="1192" priority="1494" operator="greaterThan">
      <formula>0</formula>
    </cfRule>
  </conditionalFormatting>
  <conditionalFormatting sqref="BO13">
    <cfRule type="cellIs" dxfId="1191" priority="1491" operator="lessThan">
      <formula>0</formula>
    </cfRule>
    <cfRule type="cellIs" dxfId="1190" priority="1492" operator="greaterThan">
      <formula>0</formula>
    </cfRule>
  </conditionalFormatting>
  <conditionalFormatting sqref="BQ3">
    <cfRule type="cellIs" dxfId="1189" priority="1487" operator="lessThan">
      <formula>0</formula>
    </cfRule>
    <cfRule type="cellIs" dxfId="1188" priority="1488" operator="greaterThan">
      <formula>0</formula>
    </cfRule>
  </conditionalFormatting>
  <conditionalFormatting sqref="BQ10">
    <cfRule type="cellIs" dxfId="1187" priority="1485" operator="lessThan">
      <formula>0</formula>
    </cfRule>
    <cfRule type="cellIs" dxfId="1186" priority="1486" operator="greaterThan">
      <formula>0</formula>
    </cfRule>
  </conditionalFormatting>
  <conditionalFormatting sqref="BQ13">
    <cfRule type="cellIs" dxfId="1185" priority="1483" operator="lessThan">
      <formula>0</formula>
    </cfRule>
    <cfRule type="cellIs" dxfId="1184" priority="1484" operator="greaterThan">
      <formula>0</formula>
    </cfRule>
  </conditionalFormatting>
  <conditionalFormatting sqref="BQ16">
    <cfRule type="cellIs" dxfId="1183" priority="1481" operator="lessThan">
      <formula>0</formula>
    </cfRule>
    <cfRule type="cellIs" dxfId="1182" priority="1482" operator="greaterThan">
      <formula>0</formula>
    </cfRule>
  </conditionalFormatting>
  <conditionalFormatting sqref="BQ19">
    <cfRule type="cellIs" dxfId="1181" priority="1479" operator="lessThan">
      <formula>0</formula>
    </cfRule>
    <cfRule type="cellIs" dxfId="1180" priority="1480" operator="greaterThan">
      <formula>0</formula>
    </cfRule>
  </conditionalFormatting>
  <conditionalFormatting sqref="BS3">
    <cfRule type="cellIs" dxfId="1179" priority="1475" operator="lessThan">
      <formula>0</formula>
    </cfRule>
    <cfRule type="cellIs" dxfId="1178" priority="1476" operator="greaterThan">
      <formula>0</formula>
    </cfRule>
  </conditionalFormatting>
  <conditionalFormatting sqref="BS10">
    <cfRule type="cellIs" dxfId="1177" priority="1473" operator="lessThan">
      <formula>0</formula>
    </cfRule>
    <cfRule type="cellIs" dxfId="1176" priority="1474" operator="greaterThan">
      <formula>0</formula>
    </cfRule>
  </conditionalFormatting>
  <conditionalFormatting sqref="BS13">
    <cfRule type="cellIs" dxfId="1175" priority="1471" operator="lessThan">
      <formula>0</formula>
    </cfRule>
    <cfRule type="cellIs" dxfId="1174" priority="1472" operator="greaterThan">
      <formula>0</formula>
    </cfRule>
  </conditionalFormatting>
  <conditionalFormatting sqref="BS16">
    <cfRule type="cellIs" dxfId="1173" priority="1469" operator="lessThan">
      <formula>0</formula>
    </cfRule>
    <cfRule type="cellIs" dxfId="1172" priority="1470" operator="greaterThan">
      <formula>0</formula>
    </cfRule>
  </conditionalFormatting>
  <conditionalFormatting sqref="BS19">
    <cfRule type="cellIs" dxfId="1171" priority="1467" operator="lessThan">
      <formula>0</formula>
    </cfRule>
    <cfRule type="cellIs" dxfId="1170" priority="1468" operator="greaterThan">
      <formula>0</formula>
    </cfRule>
  </conditionalFormatting>
  <conditionalFormatting sqref="BU3">
    <cfRule type="cellIs" dxfId="1169" priority="1463" operator="lessThan">
      <formula>0</formula>
    </cfRule>
    <cfRule type="cellIs" dxfId="1168" priority="1464" operator="greaterThan">
      <formula>0</formula>
    </cfRule>
  </conditionalFormatting>
  <conditionalFormatting sqref="BU10">
    <cfRule type="cellIs" dxfId="1167" priority="1461" operator="lessThan">
      <formula>0</formula>
    </cfRule>
    <cfRule type="cellIs" dxfId="1166" priority="1462" operator="greaterThan">
      <formula>0</formula>
    </cfRule>
  </conditionalFormatting>
  <conditionalFormatting sqref="BU13">
    <cfRule type="cellIs" dxfId="1165" priority="1459" operator="lessThan">
      <formula>0</formula>
    </cfRule>
    <cfRule type="cellIs" dxfId="1164" priority="1460" operator="greaterThan">
      <formula>0</formula>
    </cfRule>
  </conditionalFormatting>
  <conditionalFormatting sqref="BU16">
    <cfRule type="cellIs" dxfId="1163" priority="1457" operator="lessThan">
      <formula>0</formula>
    </cfRule>
    <cfRule type="cellIs" dxfId="1162" priority="1458" operator="greaterThan">
      <formula>0</formula>
    </cfRule>
  </conditionalFormatting>
  <conditionalFormatting sqref="BU19">
    <cfRule type="cellIs" dxfId="1161" priority="1455" operator="lessThan">
      <formula>0</formula>
    </cfRule>
    <cfRule type="cellIs" dxfId="1160" priority="1456" operator="greaterThan">
      <formula>0</formula>
    </cfRule>
  </conditionalFormatting>
  <conditionalFormatting sqref="BW3">
    <cfRule type="cellIs" dxfId="1159" priority="1451" operator="lessThan">
      <formula>0</formula>
    </cfRule>
    <cfRule type="cellIs" dxfId="1158" priority="1452" operator="greaterThan">
      <formula>0</formula>
    </cfRule>
  </conditionalFormatting>
  <conditionalFormatting sqref="BW10">
    <cfRule type="cellIs" dxfId="1157" priority="1449" operator="lessThan">
      <formula>0</formula>
    </cfRule>
    <cfRule type="cellIs" dxfId="1156" priority="1450" operator="greaterThan">
      <formula>0</formula>
    </cfRule>
  </conditionalFormatting>
  <conditionalFormatting sqref="BW13">
    <cfRule type="cellIs" dxfId="1155" priority="1447" operator="lessThan">
      <formula>0</formula>
    </cfRule>
    <cfRule type="cellIs" dxfId="1154" priority="1448" operator="greaterThan">
      <formula>0</formula>
    </cfRule>
  </conditionalFormatting>
  <conditionalFormatting sqref="BW16">
    <cfRule type="cellIs" dxfId="1153" priority="1445" operator="lessThan">
      <formula>0</formula>
    </cfRule>
    <cfRule type="cellIs" dxfId="1152" priority="1446" operator="greaterThan">
      <formula>0</formula>
    </cfRule>
  </conditionalFormatting>
  <conditionalFormatting sqref="BY3">
    <cfRule type="cellIs" dxfId="1151" priority="1439" operator="lessThan">
      <formula>0</formula>
    </cfRule>
    <cfRule type="cellIs" dxfId="1150" priority="1440" operator="greaterThan">
      <formula>0</formula>
    </cfRule>
  </conditionalFormatting>
  <conditionalFormatting sqref="BY10">
    <cfRule type="cellIs" dxfId="1149" priority="1437" operator="lessThan">
      <formula>0</formula>
    </cfRule>
    <cfRule type="cellIs" dxfId="1148" priority="1438" operator="greaterThan">
      <formula>0</formula>
    </cfRule>
  </conditionalFormatting>
  <conditionalFormatting sqref="BY13">
    <cfRule type="cellIs" dxfId="1147" priority="1435" operator="lessThan">
      <formula>0</formula>
    </cfRule>
    <cfRule type="cellIs" dxfId="1146" priority="1436" operator="greaterThan">
      <formula>0</formula>
    </cfRule>
  </conditionalFormatting>
  <conditionalFormatting sqref="BY16">
    <cfRule type="cellIs" dxfId="1145" priority="1433" operator="lessThan">
      <formula>0</formula>
    </cfRule>
    <cfRule type="cellIs" dxfId="1144" priority="1434" operator="greaterThan">
      <formula>0</formula>
    </cfRule>
  </conditionalFormatting>
  <conditionalFormatting sqref="BY19">
    <cfRule type="cellIs" dxfId="1143" priority="1431" operator="lessThan">
      <formula>0</formula>
    </cfRule>
    <cfRule type="cellIs" dxfId="1142" priority="1432" operator="greaterThan">
      <formula>0</formula>
    </cfRule>
  </conditionalFormatting>
  <conditionalFormatting sqref="BW19">
    <cfRule type="cellIs" dxfId="1141" priority="1429" operator="lessThan">
      <formula>0</formula>
    </cfRule>
    <cfRule type="cellIs" dxfId="1140" priority="1430" operator="greaterThan">
      <formula>0</formula>
    </cfRule>
  </conditionalFormatting>
  <conditionalFormatting sqref="CA3">
    <cfRule type="cellIs" dxfId="1139" priority="1425" operator="lessThan">
      <formula>0</formula>
    </cfRule>
    <cfRule type="cellIs" dxfId="1138" priority="1426" operator="greaterThan">
      <formula>0</formula>
    </cfRule>
  </conditionalFormatting>
  <conditionalFormatting sqref="CA10">
    <cfRule type="cellIs" dxfId="1137" priority="1423" operator="lessThan">
      <formula>0</formula>
    </cfRule>
    <cfRule type="cellIs" dxfId="1136" priority="1424" operator="greaterThan">
      <formula>0</formula>
    </cfRule>
  </conditionalFormatting>
  <conditionalFormatting sqref="CA13">
    <cfRule type="cellIs" dxfId="1135" priority="1421" operator="lessThan">
      <formula>0</formula>
    </cfRule>
    <cfRule type="cellIs" dxfId="1134" priority="1422" operator="greaterThan">
      <formula>0</formula>
    </cfRule>
  </conditionalFormatting>
  <conditionalFormatting sqref="CA16">
    <cfRule type="cellIs" dxfId="1133" priority="1419" operator="lessThan">
      <formula>0</formula>
    </cfRule>
    <cfRule type="cellIs" dxfId="1132" priority="1420" operator="greaterThan">
      <formula>0</formula>
    </cfRule>
  </conditionalFormatting>
  <conditionalFormatting sqref="CA19">
    <cfRule type="cellIs" dxfId="1131" priority="1417" operator="lessThan">
      <formula>0</formula>
    </cfRule>
    <cfRule type="cellIs" dxfId="1130" priority="1418" operator="greaterThan">
      <formula>0</formula>
    </cfRule>
  </conditionalFormatting>
  <conditionalFormatting sqref="DA27">
    <cfRule type="cellIs" dxfId="1129" priority="1415" operator="lessThan">
      <formula>0</formula>
    </cfRule>
    <cfRule type="cellIs" dxfId="1128" priority="1416" operator="greaterThan">
      <formula>0</formula>
    </cfRule>
  </conditionalFormatting>
  <conditionalFormatting sqref="CC3">
    <cfRule type="cellIs" dxfId="1127" priority="1409" operator="lessThan">
      <formula>0</formula>
    </cfRule>
    <cfRule type="cellIs" dxfId="1126" priority="1410" operator="greaterThan">
      <formula>0</formula>
    </cfRule>
  </conditionalFormatting>
  <conditionalFormatting sqref="CC10">
    <cfRule type="cellIs" dxfId="1125" priority="1407" operator="lessThan">
      <formula>0</formula>
    </cfRule>
    <cfRule type="cellIs" dxfId="1124" priority="1408" operator="greaterThan">
      <formula>0</formula>
    </cfRule>
  </conditionalFormatting>
  <conditionalFormatting sqref="CC13">
    <cfRule type="cellIs" dxfId="1123" priority="1405" operator="lessThan">
      <formula>0</formula>
    </cfRule>
    <cfRule type="cellIs" dxfId="1122" priority="1406" operator="greaterThan">
      <formula>0</formula>
    </cfRule>
  </conditionalFormatting>
  <conditionalFormatting sqref="CC16">
    <cfRule type="cellIs" dxfId="1121" priority="1403" operator="lessThan">
      <formula>0</formula>
    </cfRule>
    <cfRule type="cellIs" dxfId="1120" priority="1404" operator="greaterThan">
      <formula>0</formula>
    </cfRule>
  </conditionalFormatting>
  <conditionalFormatting sqref="CC19">
    <cfRule type="cellIs" dxfId="1119" priority="1401" operator="lessThan">
      <formula>0</formula>
    </cfRule>
    <cfRule type="cellIs" dxfId="1118" priority="1402" operator="greaterThan">
      <formula>0</formula>
    </cfRule>
  </conditionalFormatting>
  <conditionalFormatting sqref="CE3">
    <cfRule type="cellIs" dxfId="1117" priority="1397" operator="lessThan">
      <formula>0</formula>
    </cfRule>
    <cfRule type="cellIs" dxfId="1116" priority="1398" operator="greaterThan">
      <formula>0</formula>
    </cfRule>
  </conditionalFormatting>
  <conditionalFormatting sqref="CE10">
    <cfRule type="cellIs" dxfId="1115" priority="1395" operator="lessThan">
      <formula>0</formula>
    </cfRule>
    <cfRule type="cellIs" dxfId="1114" priority="1396" operator="greaterThan">
      <formula>0</formula>
    </cfRule>
  </conditionalFormatting>
  <conditionalFormatting sqref="CE13">
    <cfRule type="cellIs" dxfId="1113" priority="1393" operator="lessThan">
      <formula>0</formula>
    </cfRule>
    <cfRule type="cellIs" dxfId="1112" priority="1394" operator="greaterThan">
      <formula>0</formula>
    </cfRule>
  </conditionalFormatting>
  <conditionalFormatting sqref="CE16">
    <cfRule type="cellIs" dxfId="1111" priority="1391" operator="lessThan">
      <formula>0</formula>
    </cfRule>
    <cfRule type="cellIs" dxfId="1110" priority="1392" operator="greaterThan">
      <formula>0</formula>
    </cfRule>
  </conditionalFormatting>
  <conditionalFormatting sqref="CE19">
    <cfRule type="cellIs" dxfId="1109" priority="1389" operator="lessThan">
      <formula>0</formula>
    </cfRule>
    <cfRule type="cellIs" dxfId="1108" priority="1390" operator="greaterThan">
      <formula>0</formula>
    </cfRule>
  </conditionalFormatting>
  <conditionalFormatting sqref="CG3">
    <cfRule type="cellIs" dxfId="1107" priority="1385" operator="lessThan">
      <formula>0</formula>
    </cfRule>
    <cfRule type="cellIs" dxfId="1106" priority="1386" operator="greaterThan">
      <formula>0</formula>
    </cfRule>
  </conditionalFormatting>
  <conditionalFormatting sqref="CG10">
    <cfRule type="cellIs" dxfId="1105" priority="1383" operator="lessThan">
      <formula>0</formula>
    </cfRule>
    <cfRule type="cellIs" dxfId="1104" priority="1384" operator="greaterThan">
      <formula>0</formula>
    </cfRule>
  </conditionalFormatting>
  <conditionalFormatting sqref="CG13">
    <cfRule type="cellIs" dxfId="1103" priority="1381" operator="lessThan">
      <formula>0</formula>
    </cfRule>
    <cfRule type="cellIs" dxfId="1102" priority="1382" operator="greaterThan">
      <formula>0</formula>
    </cfRule>
  </conditionalFormatting>
  <conditionalFormatting sqref="CG16">
    <cfRule type="cellIs" dxfId="1101" priority="1379" operator="lessThan">
      <formula>0</formula>
    </cfRule>
    <cfRule type="cellIs" dxfId="1100" priority="1380" operator="greaterThan">
      <formula>0</formula>
    </cfRule>
  </conditionalFormatting>
  <conditionalFormatting sqref="CG19">
    <cfRule type="cellIs" dxfId="1099" priority="1377" operator="lessThan">
      <formula>0</formula>
    </cfRule>
    <cfRule type="cellIs" dxfId="1098" priority="1378" operator="greaterThan">
      <formula>0</formula>
    </cfRule>
  </conditionalFormatting>
  <conditionalFormatting sqref="CI3">
    <cfRule type="cellIs" dxfId="1097" priority="1373" operator="lessThan">
      <formula>0</formula>
    </cfRule>
    <cfRule type="cellIs" dxfId="1096" priority="1374" operator="greaterThan">
      <formula>0</formula>
    </cfRule>
  </conditionalFormatting>
  <conditionalFormatting sqref="CI10">
    <cfRule type="cellIs" dxfId="1095" priority="1371" operator="lessThan">
      <formula>0</formula>
    </cfRule>
    <cfRule type="cellIs" dxfId="1094" priority="1372" operator="greaterThan">
      <formula>0</formula>
    </cfRule>
  </conditionalFormatting>
  <conditionalFormatting sqref="CI13">
    <cfRule type="cellIs" dxfId="1093" priority="1369" operator="lessThan">
      <formula>0</formula>
    </cfRule>
    <cfRule type="cellIs" dxfId="1092" priority="1370" operator="greaterThan">
      <formula>0</formula>
    </cfRule>
  </conditionalFormatting>
  <conditionalFormatting sqref="CI16">
    <cfRule type="cellIs" dxfId="1091" priority="1367" operator="lessThan">
      <formula>0</formula>
    </cfRule>
    <cfRule type="cellIs" dxfId="1090" priority="1368" operator="greaterThan">
      <formula>0</formula>
    </cfRule>
  </conditionalFormatting>
  <conditionalFormatting sqref="CI19">
    <cfRule type="cellIs" dxfId="1089" priority="1365" operator="lessThan">
      <formula>0</formula>
    </cfRule>
    <cfRule type="cellIs" dxfId="1088" priority="1366" operator="greaterThan">
      <formula>0</formula>
    </cfRule>
  </conditionalFormatting>
  <conditionalFormatting sqref="BX27">
    <cfRule type="cellIs" dxfId="1087" priority="1357" operator="lessThan">
      <formula>0</formula>
    </cfRule>
    <cfRule type="cellIs" dxfId="1086" priority="1358" operator="greaterThan">
      <formula>0</formula>
    </cfRule>
  </conditionalFormatting>
  <conditionalFormatting sqref="DB27">
    <cfRule type="cellIs" dxfId="1085" priority="1355" operator="lessThan">
      <formula>0</formula>
    </cfRule>
    <cfRule type="cellIs" dxfId="1084" priority="1356" operator="greaterThan">
      <formula>0</formula>
    </cfRule>
  </conditionalFormatting>
  <conditionalFormatting sqref="BW28">
    <cfRule type="cellIs" dxfId="1083" priority="1353" operator="lessThan">
      <formula>0</formula>
    </cfRule>
    <cfRule type="cellIs" dxfId="1082" priority="1354" operator="greaterThan">
      <formula>0</formula>
    </cfRule>
  </conditionalFormatting>
  <conditionalFormatting sqref="BX28">
    <cfRule type="cellIs" dxfId="1081" priority="1351" operator="lessThan">
      <formula>0</formula>
    </cfRule>
    <cfRule type="cellIs" dxfId="1080" priority="1352" operator="greaterThan">
      <formula>0</formula>
    </cfRule>
  </conditionalFormatting>
  <conditionalFormatting sqref="BW29:BW31">
    <cfRule type="cellIs" dxfId="1079" priority="1349" operator="lessThan">
      <formula>0</formula>
    </cfRule>
    <cfRule type="cellIs" dxfId="1078" priority="1350" operator="greaterThan">
      <formula>0</formula>
    </cfRule>
  </conditionalFormatting>
  <conditionalFormatting sqref="BX29:BX31">
    <cfRule type="cellIs" dxfId="1077" priority="1347" operator="lessThan">
      <formula>0</formula>
    </cfRule>
    <cfRule type="cellIs" dxfId="1076" priority="1348" operator="greaterThan">
      <formula>0</formula>
    </cfRule>
  </conditionalFormatting>
  <conditionalFormatting sqref="DA28">
    <cfRule type="cellIs" dxfId="1075" priority="1345" operator="lessThan">
      <formula>0</formula>
    </cfRule>
    <cfRule type="cellIs" dxfId="1074" priority="1346" operator="greaterThan">
      <formula>0</formula>
    </cfRule>
  </conditionalFormatting>
  <conditionalFormatting sqref="DB28">
    <cfRule type="cellIs" dxfId="1073" priority="1343" operator="lessThan">
      <formula>0</formula>
    </cfRule>
    <cfRule type="cellIs" dxfId="1072" priority="1344" operator="greaterThan">
      <formula>0</formula>
    </cfRule>
  </conditionalFormatting>
  <conditionalFormatting sqref="DA29">
    <cfRule type="cellIs" dxfId="1071" priority="1341" operator="lessThan">
      <formula>0</formula>
    </cfRule>
    <cfRule type="cellIs" dxfId="1070" priority="1342" operator="greaterThan">
      <formula>0</formula>
    </cfRule>
  </conditionalFormatting>
  <conditionalFormatting sqref="DB29">
    <cfRule type="cellIs" dxfId="1069" priority="1339" operator="lessThan">
      <formula>0</formula>
    </cfRule>
    <cfRule type="cellIs" dxfId="1068" priority="1340" operator="greaterThan">
      <formula>0</formula>
    </cfRule>
  </conditionalFormatting>
  <conditionalFormatting sqref="DA30">
    <cfRule type="cellIs" dxfId="1067" priority="1337" operator="lessThan">
      <formula>0</formula>
    </cfRule>
    <cfRule type="cellIs" dxfId="1066" priority="1338" operator="greaterThan">
      <formula>0</formula>
    </cfRule>
  </conditionalFormatting>
  <conditionalFormatting sqref="DB30">
    <cfRule type="cellIs" dxfId="1065" priority="1335" operator="lessThan">
      <formula>0</formula>
    </cfRule>
    <cfRule type="cellIs" dxfId="1064" priority="1336" operator="greaterThan">
      <formula>0</formula>
    </cfRule>
  </conditionalFormatting>
  <conditionalFormatting sqref="CK3">
    <cfRule type="cellIs" dxfId="1063" priority="1329" operator="lessThan">
      <formula>0</formula>
    </cfRule>
    <cfRule type="cellIs" dxfId="1062" priority="1330" operator="greaterThan">
      <formula>0</formula>
    </cfRule>
  </conditionalFormatting>
  <conditionalFormatting sqref="CK10">
    <cfRule type="cellIs" dxfId="1061" priority="1327" operator="lessThan">
      <formula>0</formula>
    </cfRule>
    <cfRule type="cellIs" dxfId="1060" priority="1328" operator="greaterThan">
      <formula>0</formula>
    </cfRule>
  </conditionalFormatting>
  <conditionalFormatting sqref="CK13">
    <cfRule type="cellIs" dxfId="1059" priority="1325" operator="lessThan">
      <formula>0</formula>
    </cfRule>
    <cfRule type="cellIs" dxfId="1058" priority="1326" operator="greaterThan">
      <formula>0</formula>
    </cfRule>
  </conditionalFormatting>
  <conditionalFormatting sqref="CK16">
    <cfRule type="cellIs" dxfId="1057" priority="1323" operator="lessThan">
      <formula>0</formula>
    </cfRule>
    <cfRule type="cellIs" dxfId="1056" priority="1324" operator="greaterThan">
      <formula>0</formula>
    </cfRule>
  </conditionalFormatting>
  <conditionalFormatting sqref="CK19">
    <cfRule type="cellIs" dxfId="1055" priority="1321" operator="lessThan">
      <formula>0</formula>
    </cfRule>
    <cfRule type="cellIs" dxfId="1054" priority="1322" operator="greaterThan">
      <formula>0</formula>
    </cfRule>
  </conditionalFormatting>
  <conditionalFormatting sqref="CM3">
    <cfRule type="cellIs" dxfId="1053" priority="1319" operator="lessThan">
      <formula>0</formula>
    </cfRule>
    <cfRule type="cellIs" dxfId="1052" priority="1320" operator="greaterThan">
      <formula>0</formula>
    </cfRule>
  </conditionalFormatting>
  <conditionalFormatting sqref="CM10">
    <cfRule type="cellIs" dxfId="1051" priority="1317" operator="lessThan">
      <formula>0</formula>
    </cfRule>
    <cfRule type="cellIs" dxfId="1050" priority="1318" operator="greaterThan">
      <formula>0</formula>
    </cfRule>
  </conditionalFormatting>
  <conditionalFormatting sqref="CM13">
    <cfRule type="cellIs" dxfId="1049" priority="1315" operator="lessThan">
      <formula>0</formula>
    </cfRule>
    <cfRule type="cellIs" dxfId="1048" priority="1316" operator="greaterThan">
      <formula>0</formula>
    </cfRule>
  </conditionalFormatting>
  <conditionalFormatting sqref="CM16">
    <cfRule type="cellIs" dxfId="1047" priority="1313" operator="lessThan">
      <formula>0</formula>
    </cfRule>
    <cfRule type="cellIs" dxfId="1046" priority="1314" operator="greaterThan">
      <formula>0</formula>
    </cfRule>
  </conditionalFormatting>
  <conditionalFormatting sqref="CM19">
    <cfRule type="cellIs" dxfId="1045" priority="1311" operator="lessThan">
      <formula>0</formula>
    </cfRule>
    <cfRule type="cellIs" dxfId="1044" priority="1312" operator="greaterThan">
      <formula>0</formula>
    </cfRule>
  </conditionalFormatting>
  <conditionalFormatting sqref="CO3">
    <cfRule type="cellIs" dxfId="1043" priority="1309" operator="lessThan">
      <formula>0</formula>
    </cfRule>
    <cfRule type="cellIs" dxfId="1042" priority="1310" operator="greaterThan">
      <formula>0</formula>
    </cfRule>
  </conditionalFormatting>
  <conditionalFormatting sqref="CO10">
    <cfRule type="cellIs" dxfId="1041" priority="1307" operator="lessThan">
      <formula>0</formula>
    </cfRule>
    <cfRule type="cellIs" dxfId="1040" priority="1308" operator="greaterThan">
      <formula>0</formula>
    </cfRule>
  </conditionalFormatting>
  <conditionalFormatting sqref="CO13">
    <cfRule type="cellIs" dxfId="1039" priority="1305" operator="lessThan">
      <formula>0</formula>
    </cfRule>
    <cfRule type="cellIs" dxfId="1038" priority="1306" operator="greaterThan">
      <formula>0</formula>
    </cfRule>
  </conditionalFormatting>
  <conditionalFormatting sqref="CO16">
    <cfRule type="cellIs" dxfId="1037" priority="1303" operator="lessThan">
      <formula>0</formula>
    </cfRule>
    <cfRule type="cellIs" dxfId="1036" priority="1304" operator="greaterThan">
      <formula>0</formula>
    </cfRule>
  </conditionalFormatting>
  <conditionalFormatting sqref="CO19">
    <cfRule type="cellIs" dxfId="1035" priority="1301" operator="lessThan">
      <formula>0</formula>
    </cfRule>
    <cfRule type="cellIs" dxfId="1034" priority="1302" operator="greaterThan">
      <formula>0</formula>
    </cfRule>
  </conditionalFormatting>
  <conditionalFormatting sqref="CQ3">
    <cfRule type="cellIs" dxfId="1033" priority="1299" operator="lessThan">
      <formula>0</formula>
    </cfRule>
    <cfRule type="cellIs" dxfId="1032" priority="1300" operator="greaterThan">
      <formula>0</formula>
    </cfRule>
  </conditionalFormatting>
  <conditionalFormatting sqref="CQ10">
    <cfRule type="cellIs" dxfId="1031" priority="1297" operator="lessThan">
      <formula>0</formula>
    </cfRule>
    <cfRule type="cellIs" dxfId="1030" priority="1298" operator="greaterThan">
      <formula>0</formula>
    </cfRule>
  </conditionalFormatting>
  <conditionalFormatting sqref="CQ13">
    <cfRule type="cellIs" dxfId="1029" priority="1295" operator="lessThan">
      <formula>0</formula>
    </cfRule>
    <cfRule type="cellIs" dxfId="1028" priority="1296" operator="greaterThan">
      <formula>0</formula>
    </cfRule>
  </conditionalFormatting>
  <conditionalFormatting sqref="CQ16">
    <cfRule type="cellIs" dxfId="1027" priority="1293" operator="lessThan">
      <formula>0</formula>
    </cfRule>
    <cfRule type="cellIs" dxfId="1026" priority="1294" operator="greaterThan">
      <formula>0</formula>
    </cfRule>
  </conditionalFormatting>
  <conditionalFormatting sqref="CQ19">
    <cfRule type="cellIs" dxfId="1025" priority="1291" operator="lessThan">
      <formula>0</formula>
    </cfRule>
    <cfRule type="cellIs" dxfId="1024" priority="1292" operator="greaterThan">
      <formula>0</formula>
    </cfRule>
  </conditionalFormatting>
  <conditionalFormatting sqref="CS3">
    <cfRule type="cellIs" dxfId="1023" priority="1289" operator="lessThan">
      <formula>0</formula>
    </cfRule>
    <cfRule type="cellIs" dxfId="1022" priority="1290" operator="greaterThan">
      <formula>0</formula>
    </cfRule>
  </conditionalFormatting>
  <conditionalFormatting sqref="CS10">
    <cfRule type="cellIs" dxfId="1021" priority="1287" operator="lessThan">
      <formula>0</formula>
    </cfRule>
    <cfRule type="cellIs" dxfId="1020" priority="1288" operator="greaterThan">
      <formula>0</formula>
    </cfRule>
  </conditionalFormatting>
  <conditionalFormatting sqref="CS13">
    <cfRule type="cellIs" dxfId="1019" priority="1285" operator="lessThan">
      <formula>0</formula>
    </cfRule>
    <cfRule type="cellIs" dxfId="1018" priority="1286" operator="greaterThan">
      <formula>0</formula>
    </cfRule>
  </conditionalFormatting>
  <conditionalFormatting sqref="CS16">
    <cfRule type="cellIs" dxfId="1017" priority="1283" operator="lessThan">
      <formula>0</formula>
    </cfRule>
    <cfRule type="cellIs" dxfId="1016" priority="1284" operator="greaterThan">
      <formula>0</formula>
    </cfRule>
  </conditionalFormatting>
  <conditionalFormatting sqref="CS19">
    <cfRule type="cellIs" dxfId="1015" priority="1281" operator="lessThan">
      <formula>0</formula>
    </cfRule>
    <cfRule type="cellIs" dxfId="1014" priority="1282" operator="greaterThan">
      <formula>0</formula>
    </cfRule>
  </conditionalFormatting>
  <conditionalFormatting sqref="CU3">
    <cfRule type="cellIs" dxfId="1013" priority="1279" operator="lessThan">
      <formula>0</formula>
    </cfRule>
    <cfRule type="cellIs" dxfId="1012" priority="1280" operator="greaterThan">
      <formula>0</formula>
    </cfRule>
  </conditionalFormatting>
  <conditionalFormatting sqref="CU10">
    <cfRule type="cellIs" dxfId="1011" priority="1277" operator="lessThan">
      <formula>0</formula>
    </cfRule>
    <cfRule type="cellIs" dxfId="1010" priority="1278" operator="greaterThan">
      <formula>0</formula>
    </cfRule>
  </conditionalFormatting>
  <conditionalFormatting sqref="CU13">
    <cfRule type="cellIs" dxfId="1009" priority="1275" operator="lessThan">
      <formula>0</formula>
    </cfRule>
    <cfRule type="cellIs" dxfId="1008" priority="1276" operator="greaterThan">
      <formula>0</formula>
    </cfRule>
  </conditionalFormatting>
  <conditionalFormatting sqref="CU16">
    <cfRule type="cellIs" dxfId="1007" priority="1273" operator="lessThan">
      <formula>0</formula>
    </cfRule>
    <cfRule type="cellIs" dxfId="1006" priority="1274" operator="greaterThan">
      <formula>0</formula>
    </cfRule>
  </conditionalFormatting>
  <conditionalFormatting sqref="CU19">
    <cfRule type="cellIs" dxfId="1005" priority="1271" operator="lessThan">
      <formula>0</formula>
    </cfRule>
    <cfRule type="cellIs" dxfId="1004" priority="1272" operator="greaterThan">
      <formula>0</formula>
    </cfRule>
  </conditionalFormatting>
  <conditionalFormatting sqref="CW3">
    <cfRule type="cellIs" dxfId="1003" priority="1269" operator="lessThan">
      <formula>0</formula>
    </cfRule>
    <cfRule type="cellIs" dxfId="1002" priority="1270" operator="greaterThan">
      <formula>0</formula>
    </cfRule>
  </conditionalFormatting>
  <conditionalFormatting sqref="CW10">
    <cfRule type="cellIs" dxfId="1001" priority="1267" operator="lessThan">
      <formula>0</formula>
    </cfRule>
    <cfRule type="cellIs" dxfId="1000" priority="1268" operator="greaterThan">
      <formula>0</formula>
    </cfRule>
  </conditionalFormatting>
  <conditionalFormatting sqref="CW13">
    <cfRule type="cellIs" dxfId="999" priority="1265" operator="lessThan">
      <formula>0</formula>
    </cfRule>
    <cfRule type="cellIs" dxfId="998" priority="1266" operator="greaterThan">
      <formula>0</formula>
    </cfRule>
  </conditionalFormatting>
  <conditionalFormatting sqref="CW16">
    <cfRule type="cellIs" dxfId="997" priority="1263" operator="lessThan">
      <formula>0</formula>
    </cfRule>
    <cfRule type="cellIs" dxfId="996" priority="1264" operator="greaterThan">
      <formula>0</formula>
    </cfRule>
  </conditionalFormatting>
  <conditionalFormatting sqref="CW19">
    <cfRule type="cellIs" dxfId="995" priority="1261" operator="lessThan">
      <formula>0</formula>
    </cfRule>
    <cfRule type="cellIs" dxfId="994" priority="1262" operator="greaterThan">
      <formula>0</formula>
    </cfRule>
  </conditionalFormatting>
  <conditionalFormatting sqref="CY3">
    <cfRule type="cellIs" dxfId="993" priority="1259" operator="lessThan">
      <formula>0</formula>
    </cfRule>
    <cfRule type="cellIs" dxfId="992" priority="1260" operator="greaterThan">
      <formula>0</formula>
    </cfRule>
  </conditionalFormatting>
  <conditionalFormatting sqref="CY10">
    <cfRule type="cellIs" dxfId="991" priority="1257" operator="lessThan">
      <formula>0</formula>
    </cfRule>
    <cfRule type="cellIs" dxfId="990" priority="1258" operator="greaterThan">
      <formula>0</formula>
    </cfRule>
  </conditionalFormatting>
  <conditionalFormatting sqref="CY13">
    <cfRule type="cellIs" dxfId="989" priority="1255" operator="lessThan">
      <formula>0</formula>
    </cfRule>
    <cfRule type="cellIs" dxfId="988" priority="1256" operator="greaterThan">
      <formula>0</formula>
    </cfRule>
  </conditionalFormatting>
  <conditionalFormatting sqref="CY16">
    <cfRule type="cellIs" dxfId="987" priority="1253" operator="lessThan">
      <formula>0</formula>
    </cfRule>
    <cfRule type="cellIs" dxfId="986" priority="1254" operator="greaterThan">
      <formula>0</formula>
    </cfRule>
  </conditionalFormatting>
  <conditionalFormatting sqref="CY19">
    <cfRule type="cellIs" dxfId="985" priority="1251" operator="lessThan">
      <formula>0</formula>
    </cfRule>
    <cfRule type="cellIs" dxfId="984" priority="1252" operator="greaterThan">
      <formula>0</formula>
    </cfRule>
  </conditionalFormatting>
  <conditionalFormatting sqref="DA3">
    <cfRule type="cellIs" dxfId="983" priority="1249" operator="lessThan">
      <formula>0</formula>
    </cfRule>
    <cfRule type="cellIs" dxfId="982" priority="1250" operator="greaterThan">
      <formula>0</formula>
    </cfRule>
  </conditionalFormatting>
  <conditionalFormatting sqref="DA10">
    <cfRule type="cellIs" dxfId="981" priority="1247" operator="lessThan">
      <formula>0</formula>
    </cfRule>
    <cfRule type="cellIs" dxfId="980" priority="1248" operator="greaterThan">
      <formula>0</formula>
    </cfRule>
  </conditionalFormatting>
  <conditionalFormatting sqref="DA13">
    <cfRule type="cellIs" dxfId="979" priority="1245" operator="lessThan">
      <formula>0</formula>
    </cfRule>
    <cfRule type="cellIs" dxfId="978" priority="1246" operator="greaterThan">
      <formula>0</formula>
    </cfRule>
  </conditionalFormatting>
  <conditionalFormatting sqref="DA16">
    <cfRule type="cellIs" dxfId="977" priority="1243" operator="lessThan">
      <formula>0</formula>
    </cfRule>
    <cfRule type="cellIs" dxfId="976" priority="1244" operator="greaterThan">
      <formula>0</formula>
    </cfRule>
  </conditionalFormatting>
  <conditionalFormatting sqref="DA19">
    <cfRule type="cellIs" dxfId="975" priority="1241" operator="lessThan">
      <formula>0</formula>
    </cfRule>
    <cfRule type="cellIs" dxfId="974" priority="1242" operator="greaterThan">
      <formula>0</formula>
    </cfRule>
  </conditionalFormatting>
  <conditionalFormatting sqref="DA31">
    <cfRule type="cellIs" dxfId="973" priority="1237" operator="lessThan">
      <formula>0</formula>
    </cfRule>
    <cfRule type="cellIs" dxfId="972" priority="1238" operator="greaterThan">
      <formula>0</formula>
    </cfRule>
  </conditionalFormatting>
  <conditionalFormatting sqref="DB31">
    <cfRule type="cellIs" dxfId="971" priority="1235" operator="lessThan">
      <formula>0</formula>
    </cfRule>
    <cfRule type="cellIs" dxfId="970" priority="1236" operator="greaterThan">
      <formula>0</formula>
    </cfRule>
  </conditionalFormatting>
  <conditionalFormatting sqref="DA32">
    <cfRule type="cellIs" dxfId="969" priority="1233" operator="lessThan">
      <formula>0</formula>
    </cfRule>
    <cfRule type="cellIs" dxfId="968" priority="1234" operator="greaterThan">
      <formula>0</formula>
    </cfRule>
  </conditionalFormatting>
  <conditionalFormatting sqref="DB32">
    <cfRule type="cellIs" dxfId="967" priority="1231" operator="lessThan">
      <formula>0</formula>
    </cfRule>
    <cfRule type="cellIs" dxfId="966" priority="1232" operator="greaterThan">
      <formula>0</formula>
    </cfRule>
  </conditionalFormatting>
  <conditionalFormatting sqref="DC3">
    <cfRule type="cellIs" dxfId="965" priority="1229" operator="lessThan">
      <formula>0</formula>
    </cfRule>
    <cfRule type="cellIs" dxfId="964" priority="1230" operator="greaterThan">
      <formula>0</formula>
    </cfRule>
  </conditionalFormatting>
  <conditionalFormatting sqref="DC10">
    <cfRule type="cellIs" dxfId="963" priority="1227" operator="lessThan">
      <formula>0</formula>
    </cfRule>
    <cfRule type="cellIs" dxfId="962" priority="1228" operator="greaterThan">
      <formula>0</formula>
    </cfRule>
  </conditionalFormatting>
  <conditionalFormatting sqref="DC13">
    <cfRule type="cellIs" dxfId="961" priority="1225" operator="lessThan">
      <formula>0</formula>
    </cfRule>
    <cfRule type="cellIs" dxfId="960" priority="1226" operator="greaterThan">
      <formula>0</formula>
    </cfRule>
  </conditionalFormatting>
  <conditionalFormatting sqref="DC16">
    <cfRule type="cellIs" dxfId="959" priority="1223" operator="lessThan">
      <formula>0</formula>
    </cfRule>
    <cfRule type="cellIs" dxfId="958" priority="1224" operator="greaterThan">
      <formula>0</formula>
    </cfRule>
  </conditionalFormatting>
  <conditionalFormatting sqref="DC19">
    <cfRule type="cellIs" dxfId="957" priority="1221" operator="lessThan">
      <formula>0</formula>
    </cfRule>
    <cfRule type="cellIs" dxfId="956" priority="1222" operator="greaterThan">
      <formula>0</formula>
    </cfRule>
  </conditionalFormatting>
  <conditionalFormatting sqref="DE3">
    <cfRule type="cellIs" dxfId="955" priority="1217" operator="lessThan">
      <formula>0</formula>
    </cfRule>
    <cfRule type="cellIs" dxfId="954" priority="1218" operator="greaterThan">
      <formula>0</formula>
    </cfRule>
  </conditionalFormatting>
  <conditionalFormatting sqref="DE10">
    <cfRule type="cellIs" dxfId="953" priority="1215" operator="lessThan">
      <formula>0</formula>
    </cfRule>
    <cfRule type="cellIs" dxfId="952" priority="1216" operator="greaterThan">
      <formula>0</formula>
    </cfRule>
  </conditionalFormatting>
  <conditionalFormatting sqref="DE13">
    <cfRule type="cellIs" dxfId="951" priority="1213" operator="lessThan">
      <formula>0</formula>
    </cfRule>
    <cfRule type="cellIs" dxfId="950" priority="1214" operator="greaterThan">
      <formula>0</formula>
    </cfRule>
  </conditionalFormatting>
  <conditionalFormatting sqref="DE16">
    <cfRule type="cellIs" dxfId="949" priority="1211" operator="lessThan">
      <formula>0</formula>
    </cfRule>
    <cfRule type="cellIs" dxfId="948" priority="1212" operator="greaterThan">
      <formula>0</formula>
    </cfRule>
  </conditionalFormatting>
  <conditionalFormatting sqref="DE19">
    <cfRule type="cellIs" dxfId="947" priority="1209" operator="lessThan">
      <formula>0</formula>
    </cfRule>
    <cfRule type="cellIs" dxfId="946" priority="1210" operator="greaterThan">
      <formula>0</formula>
    </cfRule>
  </conditionalFormatting>
  <conditionalFormatting sqref="DE22">
    <cfRule type="cellIs" dxfId="945" priority="1207" operator="lessThan">
      <formula>0</formula>
    </cfRule>
    <cfRule type="cellIs" dxfId="944" priority="1208" operator="greaterThan">
      <formula>0</formula>
    </cfRule>
  </conditionalFormatting>
  <conditionalFormatting sqref="DG3">
    <cfRule type="cellIs" dxfId="943" priority="1205" operator="lessThan">
      <formula>0</formula>
    </cfRule>
    <cfRule type="cellIs" dxfId="942" priority="1206" operator="greaterThan">
      <formula>0</formula>
    </cfRule>
  </conditionalFormatting>
  <conditionalFormatting sqref="DG10">
    <cfRule type="cellIs" dxfId="941" priority="1203" operator="lessThan">
      <formula>0</formula>
    </cfRule>
    <cfRule type="cellIs" dxfId="940" priority="1204" operator="greaterThan">
      <formula>0</formula>
    </cfRule>
  </conditionalFormatting>
  <conditionalFormatting sqref="DG13">
    <cfRule type="cellIs" dxfId="939" priority="1201" operator="lessThan">
      <formula>0</formula>
    </cfRule>
    <cfRule type="cellIs" dxfId="938" priority="1202" operator="greaterThan">
      <formula>0</formula>
    </cfRule>
  </conditionalFormatting>
  <conditionalFormatting sqref="DG16">
    <cfRule type="cellIs" dxfId="937" priority="1199" operator="lessThan">
      <formula>0</formula>
    </cfRule>
    <cfRule type="cellIs" dxfId="936" priority="1200" operator="greaterThan">
      <formula>0</formula>
    </cfRule>
  </conditionalFormatting>
  <conditionalFormatting sqref="DG19">
    <cfRule type="cellIs" dxfId="935" priority="1197" operator="lessThan">
      <formula>0</formula>
    </cfRule>
    <cfRule type="cellIs" dxfId="934" priority="1198" operator="greaterThan">
      <formula>0</formula>
    </cfRule>
  </conditionalFormatting>
  <conditionalFormatting sqref="DG22">
    <cfRule type="cellIs" dxfId="933" priority="1195" operator="lessThan">
      <formula>0</formula>
    </cfRule>
    <cfRule type="cellIs" dxfId="932" priority="1196" operator="greaterThan">
      <formula>0</formula>
    </cfRule>
  </conditionalFormatting>
  <conditionalFormatting sqref="EF27">
    <cfRule type="cellIs" dxfId="931" priority="1121" operator="lessThan">
      <formula>0</formula>
    </cfRule>
    <cfRule type="cellIs" dxfId="930" priority="1122" operator="greaterThan">
      <formula>0</formula>
    </cfRule>
  </conditionalFormatting>
  <conditionalFormatting sqref="EG27">
    <cfRule type="cellIs" dxfId="929" priority="1119" operator="lessThan">
      <formula>0</formula>
    </cfRule>
    <cfRule type="cellIs" dxfId="928" priority="1120" operator="greaterThan">
      <formula>0</formula>
    </cfRule>
  </conditionalFormatting>
  <conditionalFormatting sqref="EF28">
    <cfRule type="cellIs" dxfId="927" priority="1117" operator="lessThan">
      <formula>0</formula>
    </cfRule>
    <cfRule type="cellIs" dxfId="926" priority="1118" operator="greaterThan">
      <formula>0</formula>
    </cfRule>
  </conditionalFormatting>
  <conditionalFormatting sqref="EG28">
    <cfRule type="cellIs" dxfId="925" priority="1115" operator="lessThan">
      <formula>0</formula>
    </cfRule>
    <cfRule type="cellIs" dxfId="924" priority="1116" operator="greaterThan">
      <formula>0</formula>
    </cfRule>
  </conditionalFormatting>
  <conditionalFormatting sqref="EF29">
    <cfRule type="cellIs" dxfId="923" priority="1113" operator="lessThan">
      <formula>0</formula>
    </cfRule>
    <cfRule type="cellIs" dxfId="922" priority="1114" operator="greaterThan">
      <formula>0</formula>
    </cfRule>
  </conditionalFormatting>
  <conditionalFormatting sqref="EG29">
    <cfRule type="cellIs" dxfId="921" priority="1111" operator="lessThan">
      <formula>0</formula>
    </cfRule>
    <cfRule type="cellIs" dxfId="920" priority="1112" operator="greaterThan">
      <formula>0</formula>
    </cfRule>
  </conditionalFormatting>
  <conditionalFormatting sqref="EF30">
    <cfRule type="cellIs" dxfId="919" priority="1109" operator="lessThan">
      <formula>0</formula>
    </cfRule>
    <cfRule type="cellIs" dxfId="918" priority="1110" operator="greaterThan">
      <formula>0</formula>
    </cfRule>
  </conditionalFormatting>
  <conditionalFormatting sqref="EG30">
    <cfRule type="cellIs" dxfId="917" priority="1107" operator="lessThan">
      <formula>0</formula>
    </cfRule>
    <cfRule type="cellIs" dxfId="916" priority="1108" operator="greaterThan">
      <formula>0</formula>
    </cfRule>
  </conditionalFormatting>
  <conditionalFormatting sqref="EF31">
    <cfRule type="cellIs" dxfId="915" priority="1105" operator="lessThan">
      <formula>0</formula>
    </cfRule>
    <cfRule type="cellIs" dxfId="914" priority="1106" operator="greaterThan">
      <formula>0</formula>
    </cfRule>
  </conditionalFormatting>
  <conditionalFormatting sqref="EG31">
    <cfRule type="cellIs" dxfId="913" priority="1103" operator="lessThan">
      <formula>0</formula>
    </cfRule>
    <cfRule type="cellIs" dxfId="912" priority="1104" operator="greaterThan">
      <formula>0</formula>
    </cfRule>
  </conditionalFormatting>
  <conditionalFormatting sqref="EF32">
    <cfRule type="cellIs" dxfId="911" priority="1101" operator="lessThan">
      <formula>0</formula>
    </cfRule>
    <cfRule type="cellIs" dxfId="910" priority="1102" operator="greaterThan">
      <formula>0</formula>
    </cfRule>
  </conditionalFormatting>
  <conditionalFormatting sqref="EG32">
    <cfRule type="cellIs" dxfId="909" priority="1099" operator="lessThan">
      <formula>0</formula>
    </cfRule>
    <cfRule type="cellIs" dxfId="908" priority="1100" operator="greaterThan">
      <formula>0</formula>
    </cfRule>
  </conditionalFormatting>
  <conditionalFormatting sqref="DI3">
    <cfRule type="cellIs" dxfId="907" priority="1097" operator="lessThan">
      <formula>0</formula>
    </cfRule>
    <cfRule type="cellIs" dxfId="906" priority="1098" operator="greaterThan">
      <formula>0</formula>
    </cfRule>
  </conditionalFormatting>
  <conditionalFormatting sqref="DI10">
    <cfRule type="cellIs" dxfId="905" priority="1095" operator="lessThan">
      <formula>0</formula>
    </cfRule>
    <cfRule type="cellIs" dxfId="904" priority="1096" operator="greaterThan">
      <formula>0</formula>
    </cfRule>
  </conditionalFormatting>
  <conditionalFormatting sqref="DI13">
    <cfRule type="cellIs" dxfId="903" priority="1093" operator="lessThan">
      <formula>0</formula>
    </cfRule>
    <cfRule type="cellIs" dxfId="902" priority="1094" operator="greaterThan">
      <formula>0</formula>
    </cfRule>
  </conditionalFormatting>
  <conditionalFormatting sqref="DI16">
    <cfRule type="cellIs" dxfId="901" priority="1091" operator="lessThan">
      <formula>0</formula>
    </cfRule>
    <cfRule type="cellIs" dxfId="900" priority="1092" operator="greaterThan">
      <formula>0</formula>
    </cfRule>
  </conditionalFormatting>
  <conditionalFormatting sqref="DI19">
    <cfRule type="cellIs" dxfId="899" priority="1089" operator="lessThan">
      <formula>0</formula>
    </cfRule>
    <cfRule type="cellIs" dxfId="898" priority="1090" operator="greaterThan">
      <formula>0</formula>
    </cfRule>
  </conditionalFormatting>
  <conditionalFormatting sqref="DI22">
    <cfRule type="cellIs" dxfId="897" priority="1087" operator="lessThan">
      <formula>0</formula>
    </cfRule>
    <cfRule type="cellIs" dxfId="896" priority="1088" operator="greaterThan">
      <formula>0</formula>
    </cfRule>
  </conditionalFormatting>
  <conditionalFormatting sqref="DK3">
    <cfRule type="cellIs" dxfId="895" priority="1085" operator="lessThan">
      <formula>0</formula>
    </cfRule>
    <cfRule type="cellIs" dxfId="894" priority="1086" operator="greaterThan">
      <formula>0</formula>
    </cfRule>
  </conditionalFormatting>
  <conditionalFormatting sqref="DK10">
    <cfRule type="cellIs" dxfId="893" priority="1083" operator="lessThan">
      <formula>0</formula>
    </cfRule>
    <cfRule type="cellIs" dxfId="892" priority="1084" operator="greaterThan">
      <formula>0</formula>
    </cfRule>
  </conditionalFormatting>
  <conditionalFormatting sqref="DK13">
    <cfRule type="cellIs" dxfId="891" priority="1081" operator="lessThan">
      <formula>0</formula>
    </cfRule>
    <cfRule type="cellIs" dxfId="890" priority="1082" operator="greaterThan">
      <formula>0</formula>
    </cfRule>
  </conditionalFormatting>
  <conditionalFormatting sqref="DK16">
    <cfRule type="cellIs" dxfId="889" priority="1079" operator="lessThan">
      <formula>0</formula>
    </cfRule>
    <cfRule type="cellIs" dxfId="888" priority="1080" operator="greaterThan">
      <formula>0</formula>
    </cfRule>
  </conditionalFormatting>
  <conditionalFormatting sqref="DK19">
    <cfRule type="cellIs" dxfId="887" priority="1077" operator="lessThan">
      <formula>0</formula>
    </cfRule>
    <cfRule type="cellIs" dxfId="886" priority="1078" operator="greaterThan">
      <formula>0</formula>
    </cfRule>
  </conditionalFormatting>
  <conditionalFormatting sqref="DK22">
    <cfRule type="cellIs" dxfId="885" priority="1075" operator="lessThan">
      <formula>0</formula>
    </cfRule>
    <cfRule type="cellIs" dxfId="884" priority="1076" operator="greaterThan">
      <formula>0</formula>
    </cfRule>
  </conditionalFormatting>
  <conditionalFormatting sqref="DM3">
    <cfRule type="cellIs" dxfId="883" priority="1073" operator="lessThan">
      <formula>0</formula>
    </cfRule>
    <cfRule type="cellIs" dxfId="882" priority="1074" operator="greaterThan">
      <formula>0</formula>
    </cfRule>
  </conditionalFormatting>
  <conditionalFormatting sqref="DM10">
    <cfRule type="cellIs" dxfId="881" priority="1071" operator="lessThan">
      <formula>0</formula>
    </cfRule>
    <cfRule type="cellIs" dxfId="880" priority="1072" operator="greaterThan">
      <formula>0</formula>
    </cfRule>
  </conditionalFormatting>
  <conditionalFormatting sqref="DM13">
    <cfRule type="cellIs" dxfId="879" priority="1069" operator="lessThan">
      <formula>0</formula>
    </cfRule>
    <cfRule type="cellIs" dxfId="878" priority="1070" operator="greaterThan">
      <formula>0</formula>
    </cfRule>
  </conditionalFormatting>
  <conditionalFormatting sqref="DM16">
    <cfRule type="cellIs" dxfId="877" priority="1067" operator="lessThan">
      <formula>0</formula>
    </cfRule>
    <cfRule type="cellIs" dxfId="876" priority="1068" operator="greaterThan">
      <formula>0</formula>
    </cfRule>
  </conditionalFormatting>
  <conditionalFormatting sqref="DM19">
    <cfRule type="cellIs" dxfId="875" priority="1065" operator="lessThan">
      <formula>0</formula>
    </cfRule>
    <cfRule type="cellIs" dxfId="874" priority="1066" operator="greaterThan">
      <formula>0</formula>
    </cfRule>
  </conditionalFormatting>
  <conditionalFormatting sqref="DM22">
    <cfRule type="cellIs" dxfId="873" priority="1063" operator="lessThan">
      <formula>0</formula>
    </cfRule>
    <cfRule type="cellIs" dxfId="872" priority="1064" operator="greaterThan">
      <formula>0</formula>
    </cfRule>
  </conditionalFormatting>
  <conditionalFormatting sqref="DO3">
    <cfRule type="cellIs" dxfId="871" priority="1061" operator="lessThan">
      <formula>0</formula>
    </cfRule>
    <cfRule type="cellIs" dxfId="870" priority="1062" operator="greaterThan">
      <formula>0</formula>
    </cfRule>
  </conditionalFormatting>
  <conditionalFormatting sqref="DO10">
    <cfRule type="cellIs" dxfId="869" priority="1059" operator="lessThan">
      <formula>0</formula>
    </cfRule>
    <cfRule type="cellIs" dxfId="868" priority="1060" operator="greaterThan">
      <formula>0</formula>
    </cfRule>
  </conditionalFormatting>
  <conditionalFormatting sqref="DO13">
    <cfRule type="cellIs" dxfId="867" priority="1057" operator="lessThan">
      <formula>0</formula>
    </cfRule>
    <cfRule type="cellIs" dxfId="866" priority="1058" operator="greaterThan">
      <formula>0</formula>
    </cfRule>
  </conditionalFormatting>
  <conditionalFormatting sqref="DO16">
    <cfRule type="cellIs" dxfId="865" priority="1055" operator="lessThan">
      <formula>0</formula>
    </cfRule>
    <cfRule type="cellIs" dxfId="864" priority="1056" operator="greaterThan">
      <formula>0</formula>
    </cfRule>
  </conditionalFormatting>
  <conditionalFormatting sqref="DO19">
    <cfRule type="cellIs" dxfId="863" priority="1053" operator="lessThan">
      <formula>0</formula>
    </cfRule>
    <cfRule type="cellIs" dxfId="862" priority="1054" operator="greaterThan">
      <formula>0</formula>
    </cfRule>
  </conditionalFormatting>
  <conditionalFormatting sqref="DO22">
    <cfRule type="cellIs" dxfId="861" priority="1051" operator="lessThan">
      <formula>0</formula>
    </cfRule>
    <cfRule type="cellIs" dxfId="860" priority="1052" operator="greaterThan">
      <formula>0</formula>
    </cfRule>
  </conditionalFormatting>
  <conditionalFormatting sqref="DQ3">
    <cfRule type="cellIs" dxfId="859" priority="1049" operator="lessThan">
      <formula>0</formula>
    </cfRule>
    <cfRule type="cellIs" dxfId="858" priority="1050" operator="greaterThan">
      <formula>0</formula>
    </cfRule>
  </conditionalFormatting>
  <conditionalFormatting sqref="DQ10">
    <cfRule type="cellIs" dxfId="857" priority="1047" operator="lessThan">
      <formula>0</formula>
    </cfRule>
    <cfRule type="cellIs" dxfId="856" priority="1048" operator="greaterThan">
      <formula>0</formula>
    </cfRule>
  </conditionalFormatting>
  <conditionalFormatting sqref="DQ13">
    <cfRule type="cellIs" dxfId="855" priority="1045" operator="lessThan">
      <formula>0</formula>
    </cfRule>
    <cfRule type="cellIs" dxfId="854" priority="1046" operator="greaterThan">
      <formula>0</formula>
    </cfRule>
  </conditionalFormatting>
  <conditionalFormatting sqref="DQ16">
    <cfRule type="cellIs" dxfId="853" priority="1043" operator="lessThan">
      <formula>0</formula>
    </cfRule>
    <cfRule type="cellIs" dxfId="852" priority="1044" operator="greaterThan">
      <formula>0</formula>
    </cfRule>
  </conditionalFormatting>
  <conditionalFormatting sqref="DQ19">
    <cfRule type="cellIs" dxfId="851" priority="1041" operator="lessThan">
      <formula>0</formula>
    </cfRule>
    <cfRule type="cellIs" dxfId="850" priority="1042" operator="greaterThan">
      <formula>0</formula>
    </cfRule>
  </conditionalFormatting>
  <conditionalFormatting sqref="DQ22">
    <cfRule type="cellIs" dxfId="849" priority="1039" operator="lessThan">
      <formula>0</formula>
    </cfRule>
    <cfRule type="cellIs" dxfId="848" priority="1040" operator="greaterThan">
      <formula>0</formula>
    </cfRule>
  </conditionalFormatting>
  <conditionalFormatting sqref="DS3">
    <cfRule type="cellIs" dxfId="847" priority="1037" operator="lessThan">
      <formula>0</formula>
    </cfRule>
    <cfRule type="cellIs" dxfId="846" priority="1038" operator="greaterThan">
      <formula>0</formula>
    </cfRule>
  </conditionalFormatting>
  <conditionalFormatting sqref="DS10">
    <cfRule type="cellIs" dxfId="845" priority="1035" operator="lessThan">
      <formula>0</formula>
    </cfRule>
    <cfRule type="cellIs" dxfId="844" priority="1036" operator="greaterThan">
      <formula>0</formula>
    </cfRule>
  </conditionalFormatting>
  <conditionalFormatting sqref="DS13">
    <cfRule type="cellIs" dxfId="843" priority="1033" operator="lessThan">
      <formula>0</formula>
    </cfRule>
    <cfRule type="cellIs" dxfId="842" priority="1034" operator="greaterThan">
      <formula>0</formula>
    </cfRule>
  </conditionalFormatting>
  <conditionalFormatting sqref="DS16">
    <cfRule type="cellIs" dxfId="841" priority="1031" operator="lessThan">
      <formula>0</formula>
    </cfRule>
    <cfRule type="cellIs" dxfId="840" priority="1032" operator="greaterThan">
      <formula>0</formula>
    </cfRule>
  </conditionalFormatting>
  <conditionalFormatting sqref="DS19">
    <cfRule type="cellIs" dxfId="839" priority="1029" operator="lessThan">
      <formula>0</formula>
    </cfRule>
    <cfRule type="cellIs" dxfId="838" priority="1030" operator="greaterThan">
      <formula>0</formula>
    </cfRule>
  </conditionalFormatting>
  <conditionalFormatting sqref="DS22">
    <cfRule type="cellIs" dxfId="837" priority="1027" operator="lessThan">
      <formula>0</formula>
    </cfRule>
    <cfRule type="cellIs" dxfId="836" priority="1028" operator="greaterThan">
      <formula>0</formula>
    </cfRule>
  </conditionalFormatting>
  <conditionalFormatting sqref="DU3">
    <cfRule type="cellIs" dxfId="835" priority="1025" operator="lessThan">
      <formula>0</formula>
    </cfRule>
    <cfRule type="cellIs" dxfId="834" priority="1026" operator="greaterThan">
      <formula>0</formula>
    </cfRule>
  </conditionalFormatting>
  <conditionalFormatting sqref="DU10">
    <cfRule type="cellIs" dxfId="833" priority="1023" operator="lessThan">
      <formula>0</formula>
    </cfRule>
    <cfRule type="cellIs" dxfId="832" priority="1024" operator="greaterThan">
      <formula>0</formula>
    </cfRule>
  </conditionalFormatting>
  <conditionalFormatting sqref="DU13">
    <cfRule type="cellIs" dxfId="831" priority="1021" operator="lessThan">
      <formula>0</formula>
    </cfRule>
    <cfRule type="cellIs" dxfId="830" priority="1022" operator="greaterThan">
      <formula>0</formula>
    </cfRule>
  </conditionalFormatting>
  <conditionalFormatting sqref="DU16">
    <cfRule type="cellIs" dxfId="829" priority="1019" operator="lessThan">
      <formula>0</formula>
    </cfRule>
    <cfRule type="cellIs" dxfId="828" priority="1020" operator="greaterThan">
      <formula>0</formula>
    </cfRule>
  </conditionalFormatting>
  <conditionalFormatting sqref="DU19">
    <cfRule type="cellIs" dxfId="827" priority="1017" operator="lessThan">
      <formula>0</formula>
    </cfRule>
    <cfRule type="cellIs" dxfId="826" priority="1018" operator="greaterThan">
      <formula>0</formula>
    </cfRule>
  </conditionalFormatting>
  <conditionalFormatting sqref="DU22">
    <cfRule type="cellIs" dxfId="825" priority="1015" operator="lessThan">
      <formula>0</formula>
    </cfRule>
    <cfRule type="cellIs" dxfId="824" priority="1016" operator="greaterThan">
      <formula>0</formula>
    </cfRule>
  </conditionalFormatting>
  <conditionalFormatting sqref="DW3">
    <cfRule type="cellIs" dxfId="823" priority="1013" operator="lessThan">
      <formula>0</formula>
    </cfRule>
    <cfRule type="cellIs" dxfId="822" priority="1014" operator="greaterThan">
      <formula>0</formula>
    </cfRule>
  </conditionalFormatting>
  <conditionalFormatting sqref="DW10">
    <cfRule type="cellIs" dxfId="821" priority="1011" operator="lessThan">
      <formula>0</formula>
    </cfRule>
    <cfRule type="cellIs" dxfId="820" priority="1012" operator="greaterThan">
      <formula>0</formula>
    </cfRule>
  </conditionalFormatting>
  <conditionalFormatting sqref="DW13">
    <cfRule type="cellIs" dxfId="819" priority="1009" operator="lessThan">
      <formula>0</formula>
    </cfRule>
    <cfRule type="cellIs" dxfId="818" priority="1010" operator="greaterThan">
      <formula>0</formula>
    </cfRule>
  </conditionalFormatting>
  <conditionalFormatting sqref="DW16">
    <cfRule type="cellIs" dxfId="817" priority="1007" operator="lessThan">
      <formula>0</formula>
    </cfRule>
    <cfRule type="cellIs" dxfId="816" priority="1008" operator="greaterThan">
      <formula>0</formula>
    </cfRule>
  </conditionalFormatting>
  <conditionalFormatting sqref="DW19">
    <cfRule type="cellIs" dxfId="815" priority="1005" operator="lessThan">
      <formula>0</formula>
    </cfRule>
    <cfRule type="cellIs" dxfId="814" priority="1006" operator="greaterThan">
      <formula>0</formula>
    </cfRule>
  </conditionalFormatting>
  <conditionalFormatting sqref="DW22">
    <cfRule type="cellIs" dxfId="813" priority="1003" operator="lessThan">
      <formula>0</formula>
    </cfRule>
    <cfRule type="cellIs" dxfId="812" priority="1004" operator="greaterThan">
      <formula>0</formula>
    </cfRule>
  </conditionalFormatting>
  <conditionalFormatting sqref="DY3">
    <cfRule type="cellIs" dxfId="811" priority="1001" operator="lessThan">
      <formula>0</formula>
    </cfRule>
    <cfRule type="cellIs" dxfId="810" priority="1002" operator="greaterThan">
      <formula>0</formula>
    </cfRule>
  </conditionalFormatting>
  <conditionalFormatting sqref="DY10">
    <cfRule type="cellIs" dxfId="809" priority="999" operator="lessThan">
      <formula>0</formula>
    </cfRule>
    <cfRule type="cellIs" dxfId="808" priority="1000" operator="greaterThan">
      <formula>0</formula>
    </cfRule>
  </conditionalFormatting>
  <conditionalFormatting sqref="DY13">
    <cfRule type="cellIs" dxfId="807" priority="997" operator="lessThan">
      <formula>0</formula>
    </cfRule>
    <cfRule type="cellIs" dxfId="806" priority="998" operator="greaterThan">
      <formula>0</formula>
    </cfRule>
  </conditionalFormatting>
  <conditionalFormatting sqref="DY16">
    <cfRule type="cellIs" dxfId="805" priority="995" operator="lessThan">
      <formula>0</formula>
    </cfRule>
    <cfRule type="cellIs" dxfId="804" priority="996" operator="greaterThan">
      <formula>0</formula>
    </cfRule>
  </conditionalFormatting>
  <conditionalFormatting sqref="DY19">
    <cfRule type="cellIs" dxfId="803" priority="993" operator="lessThan">
      <formula>0</formula>
    </cfRule>
    <cfRule type="cellIs" dxfId="802" priority="994" operator="greaterThan">
      <formula>0</formula>
    </cfRule>
  </conditionalFormatting>
  <conditionalFormatting sqref="DY22">
    <cfRule type="cellIs" dxfId="801" priority="991" operator="lessThan">
      <formula>0</formula>
    </cfRule>
    <cfRule type="cellIs" dxfId="800" priority="992" operator="greaterThan">
      <formula>0</formula>
    </cfRule>
  </conditionalFormatting>
  <conditionalFormatting sqref="EA3">
    <cfRule type="cellIs" dxfId="799" priority="989" operator="lessThan">
      <formula>0</formula>
    </cfRule>
    <cfRule type="cellIs" dxfId="798" priority="990" operator="greaterThan">
      <formula>0</formula>
    </cfRule>
  </conditionalFormatting>
  <conditionalFormatting sqref="EA10">
    <cfRule type="cellIs" dxfId="797" priority="987" operator="lessThan">
      <formula>0</formula>
    </cfRule>
    <cfRule type="cellIs" dxfId="796" priority="988" operator="greaterThan">
      <formula>0</formula>
    </cfRule>
  </conditionalFormatting>
  <conditionalFormatting sqref="EA13">
    <cfRule type="cellIs" dxfId="795" priority="985" operator="lessThan">
      <formula>0</formula>
    </cfRule>
    <cfRule type="cellIs" dxfId="794" priority="986" operator="greaterThan">
      <formula>0</formula>
    </cfRule>
  </conditionalFormatting>
  <conditionalFormatting sqref="EA16">
    <cfRule type="cellIs" dxfId="793" priority="983" operator="lessThan">
      <formula>0</formula>
    </cfRule>
    <cfRule type="cellIs" dxfId="792" priority="984" operator="greaterThan">
      <formula>0</formula>
    </cfRule>
  </conditionalFormatting>
  <conditionalFormatting sqref="EA19">
    <cfRule type="cellIs" dxfId="791" priority="981" operator="lessThan">
      <formula>0</formula>
    </cfRule>
    <cfRule type="cellIs" dxfId="790" priority="982" operator="greaterThan">
      <formula>0</formula>
    </cfRule>
  </conditionalFormatting>
  <conditionalFormatting sqref="EA22">
    <cfRule type="cellIs" dxfId="789" priority="979" operator="lessThan">
      <formula>0</formula>
    </cfRule>
    <cfRule type="cellIs" dxfId="788" priority="980" operator="greaterThan">
      <formula>0</formula>
    </cfRule>
  </conditionalFormatting>
  <conditionalFormatting sqref="EC3">
    <cfRule type="cellIs" dxfId="787" priority="977" operator="lessThan">
      <formula>0</formula>
    </cfRule>
    <cfRule type="cellIs" dxfId="786" priority="978" operator="greaterThan">
      <formula>0</formula>
    </cfRule>
  </conditionalFormatting>
  <conditionalFormatting sqref="EC10">
    <cfRule type="cellIs" dxfId="785" priority="975" operator="lessThan">
      <formula>0</formula>
    </cfRule>
    <cfRule type="cellIs" dxfId="784" priority="976" operator="greaterThan">
      <formula>0</formula>
    </cfRule>
  </conditionalFormatting>
  <conditionalFormatting sqref="EC13">
    <cfRule type="cellIs" dxfId="783" priority="973" operator="lessThan">
      <formula>0</formula>
    </cfRule>
    <cfRule type="cellIs" dxfId="782" priority="974" operator="greaterThan">
      <formula>0</formula>
    </cfRule>
  </conditionalFormatting>
  <conditionalFormatting sqref="EC16">
    <cfRule type="cellIs" dxfId="781" priority="971" operator="lessThan">
      <formula>0</formula>
    </cfRule>
    <cfRule type="cellIs" dxfId="780" priority="972" operator="greaterThan">
      <formula>0</formula>
    </cfRule>
  </conditionalFormatting>
  <conditionalFormatting sqref="EC19">
    <cfRule type="cellIs" dxfId="779" priority="969" operator="lessThan">
      <formula>0</formula>
    </cfRule>
    <cfRule type="cellIs" dxfId="778" priority="970" operator="greaterThan">
      <formula>0</formula>
    </cfRule>
  </conditionalFormatting>
  <conditionalFormatting sqref="EC22">
    <cfRule type="cellIs" dxfId="777" priority="967" operator="lessThan">
      <formula>0</formula>
    </cfRule>
    <cfRule type="cellIs" dxfId="776" priority="968" operator="greaterThan">
      <formula>0</formula>
    </cfRule>
  </conditionalFormatting>
  <conditionalFormatting sqref="EE3">
    <cfRule type="cellIs" dxfId="775" priority="965" operator="lessThan">
      <formula>0</formula>
    </cfRule>
    <cfRule type="cellIs" dxfId="774" priority="966" operator="greaterThan">
      <formula>0</formula>
    </cfRule>
  </conditionalFormatting>
  <conditionalFormatting sqref="EE10">
    <cfRule type="cellIs" dxfId="773" priority="963" operator="lessThan">
      <formula>0</formula>
    </cfRule>
    <cfRule type="cellIs" dxfId="772" priority="964" operator="greaterThan">
      <formula>0</formula>
    </cfRule>
  </conditionalFormatting>
  <conditionalFormatting sqref="EE13">
    <cfRule type="cellIs" dxfId="771" priority="961" operator="lessThan">
      <formula>0</formula>
    </cfRule>
    <cfRule type="cellIs" dxfId="770" priority="962" operator="greaterThan">
      <formula>0</formula>
    </cfRule>
  </conditionalFormatting>
  <conditionalFormatting sqref="EE16">
    <cfRule type="cellIs" dxfId="769" priority="959" operator="lessThan">
      <formula>0</formula>
    </cfRule>
    <cfRule type="cellIs" dxfId="768" priority="960" operator="greaterThan">
      <formula>0</formula>
    </cfRule>
  </conditionalFormatting>
  <conditionalFormatting sqref="EE19">
    <cfRule type="cellIs" dxfId="767" priority="957" operator="lessThan">
      <formula>0</formula>
    </cfRule>
    <cfRule type="cellIs" dxfId="766" priority="958" operator="greaterThan">
      <formula>0</formula>
    </cfRule>
  </conditionalFormatting>
  <conditionalFormatting sqref="EE22">
    <cfRule type="cellIs" dxfId="765" priority="955" operator="lessThan">
      <formula>0</formula>
    </cfRule>
    <cfRule type="cellIs" dxfId="764" priority="956" operator="greaterThan">
      <formula>0</formula>
    </cfRule>
  </conditionalFormatting>
  <conditionalFormatting sqref="EG3">
    <cfRule type="cellIs" dxfId="763" priority="953" operator="lessThan">
      <formula>0</formula>
    </cfRule>
    <cfRule type="cellIs" dxfId="762" priority="954" operator="greaterThan">
      <formula>0</formula>
    </cfRule>
  </conditionalFormatting>
  <conditionalFormatting sqref="EG10">
    <cfRule type="cellIs" dxfId="761" priority="951" operator="lessThan">
      <formula>0</formula>
    </cfRule>
    <cfRule type="cellIs" dxfId="760" priority="952" operator="greaterThan">
      <formula>0</formula>
    </cfRule>
  </conditionalFormatting>
  <conditionalFormatting sqref="EG13">
    <cfRule type="cellIs" dxfId="759" priority="949" operator="lessThan">
      <formula>0</formula>
    </cfRule>
    <cfRule type="cellIs" dxfId="758" priority="950" operator="greaterThan">
      <formula>0</formula>
    </cfRule>
  </conditionalFormatting>
  <conditionalFormatting sqref="EG16">
    <cfRule type="cellIs" dxfId="757" priority="947" operator="lessThan">
      <formula>0</formula>
    </cfRule>
    <cfRule type="cellIs" dxfId="756" priority="948" operator="greaterThan">
      <formula>0</formula>
    </cfRule>
  </conditionalFormatting>
  <conditionalFormatting sqref="EG19">
    <cfRule type="cellIs" dxfId="755" priority="945" operator="lessThan">
      <formula>0</formula>
    </cfRule>
    <cfRule type="cellIs" dxfId="754" priority="946" operator="greaterThan">
      <formula>0</formula>
    </cfRule>
  </conditionalFormatting>
  <conditionalFormatting sqref="EG22">
    <cfRule type="cellIs" dxfId="753" priority="943" operator="lessThan">
      <formula>0</formula>
    </cfRule>
    <cfRule type="cellIs" dxfId="752" priority="944" operator="greaterThan">
      <formula>0</formula>
    </cfRule>
  </conditionalFormatting>
  <conditionalFormatting sqref="FG30">
    <cfRule type="cellIs" dxfId="751" priority="867" operator="lessThan">
      <formula>0</formula>
    </cfRule>
    <cfRule type="cellIs" dxfId="750" priority="868" operator="greaterThan">
      <formula>0</formula>
    </cfRule>
  </conditionalFormatting>
  <conditionalFormatting sqref="FH30">
    <cfRule type="cellIs" dxfId="749" priority="865" operator="lessThan">
      <formula>0</formula>
    </cfRule>
    <cfRule type="cellIs" dxfId="748" priority="866" operator="greaterThan">
      <formula>0</formula>
    </cfRule>
  </conditionalFormatting>
  <conditionalFormatting sqref="FG31">
    <cfRule type="cellIs" dxfId="747" priority="863" operator="lessThan">
      <formula>0</formula>
    </cfRule>
    <cfRule type="cellIs" dxfId="746" priority="864" operator="greaterThan">
      <formula>0</formula>
    </cfRule>
  </conditionalFormatting>
  <conditionalFormatting sqref="FH31">
    <cfRule type="cellIs" dxfId="745" priority="861" operator="lessThan">
      <formula>0</formula>
    </cfRule>
    <cfRule type="cellIs" dxfId="744" priority="862" operator="greaterThan">
      <formula>0</formula>
    </cfRule>
  </conditionalFormatting>
  <conditionalFormatting sqref="FG32">
    <cfRule type="cellIs" dxfId="743" priority="859" operator="lessThan">
      <formula>0</formula>
    </cfRule>
    <cfRule type="cellIs" dxfId="742" priority="860" operator="greaterThan">
      <formula>0</formula>
    </cfRule>
  </conditionalFormatting>
  <conditionalFormatting sqref="FH32">
    <cfRule type="cellIs" dxfId="741" priority="857" operator="lessThan">
      <formula>0</formula>
    </cfRule>
    <cfRule type="cellIs" dxfId="740" priority="858" operator="greaterThan">
      <formula>0</formula>
    </cfRule>
  </conditionalFormatting>
  <conditionalFormatting sqref="EI3">
    <cfRule type="cellIs" dxfId="739" priority="929" operator="lessThan">
      <formula>0</formula>
    </cfRule>
    <cfRule type="cellIs" dxfId="738" priority="930" operator="greaterThan">
      <formula>0</formula>
    </cfRule>
  </conditionalFormatting>
  <conditionalFormatting sqref="EI10">
    <cfRule type="cellIs" dxfId="737" priority="927" operator="lessThan">
      <formula>0</formula>
    </cfRule>
    <cfRule type="cellIs" dxfId="736" priority="928" operator="greaterThan">
      <formula>0</formula>
    </cfRule>
  </conditionalFormatting>
  <conditionalFormatting sqref="EI13">
    <cfRule type="cellIs" dxfId="735" priority="925" operator="lessThan">
      <formula>0</formula>
    </cfRule>
    <cfRule type="cellIs" dxfId="734" priority="926" operator="greaterThan">
      <formula>0</formula>
    </cfRule>
  </conditionalFormatting>
  <conditionalFormatting sqref="EI16">
    <cfRule type="cellIs" dxfId="733" priority="923" operator="lessThan">
      <formula>0</formula>
    </cfRule>
    <cfRule type="cellIs" dxfId="732" priority="924" operator="greaterThan">
      <formula>0</formula>
    </cfRule>
  </conditionalFormatting>
  <conditionalFormatting sqref="EI19">
    <cfRule type="cellIs" dxfId="731" priority="921" operator="lessThan">
      <formula>0</formula>
    </cfRule>
    <cfRule type="cellIs" dxfId="730" priority="922" operator="greaterThan">
      <formula>0</formula>
    </cfRule>
  </conditionalFormatting>
  <conditionalFormatting sqref="EI22">
    <cfRule type="cellIs" dxfId="729" priority="919" operator="lessThan">
      <formula>0</formula>
    </cfRule>
    <cfRule type="cellIs" dxfId="728" priority="920" operator="greaterThan">
      <formula>0</formula>
    </cfRule>
  </conditionalFormatting>
  <conditionalFormatting sqref="EK3">
    <cfRule type="cellIs" dxfId="727" priority="917" operator="lessThan">
      <formula>0</formula>
    </cfRule>
    <cfRule type="cellIs" dxfId="726" priority="918" operator="greaterThan">
      <formula>0</formula>
    </cfRule>
  </conditionalFormatting>
  <conditionalFormatting sqref="EK10">
    <cfRule type="cellIs" dxfId="725" priority="915" operator="lessThan">
      <formula>0</formula>
    </cfRule>
    <cfRule type="cellIs" dxfId="724" priority="916" operator="greaterThan">
      <formula>0</formula>
    </cfRule>
  </conditionalFormatting>
  <conditionalFormatting sqref="EK13">
    <cfRule type="cellIs" dxfId="723" priority="913" operator="lessThan">
      <formula>0</formula>
    </cfRule>
    <cfRule type="cellIs" dxfId="722" priority="914" operator="greaterThan">
      <formula>0</formula>
    </cfRule>
  </conditionalFormatting>
  <conditionalFormatting sqref="EK16">
    <cfRule type="cellIs" dxfId="721" priority="911" operator="lessThan">
      <formula>0</formula>
    </cfRule>
    <cfRule type="cellIs" dxfId="720" priority="912" operator="greaterThan">
      <formula>0</formula>
    </cfRule>
  </conditionalFormatting>
  <conditionalFormatting sqref="EK19">
    <cfRule type="cellIs" dxfId="719" priority="909" operator="lessThan">
      <formula>0</formula>
    </cfRule>
    <cfRule type="cellIs" dxfId="718" priority="910" operator="greaterThan">
      <formula>0</formula>
    </cfRule>
  </conditionalFormatting>
  <conditionalFormatting sqref="EK22">
    <cfRule type="cellIs" dxfId="717" priority="905" operator="lessThan">
      <formula>0</formula>
    </cfRule>
    <cfRule type="cellIs" dxfId="716" priority="906" operator="greaterThan">
      <formula>0</formula>
    </cfRule>
  </conditionalFormatting>
  <conditionalFormatting sqref="FG27">
    <cfRule type="cellIs" dxfId="715" priority="879" operator="lessThan">
      <formula>0</formula>
    </cfRule>
    <cfRule type="cellIs" dxfId="714" priority="880" operator="greaterThan">
      <formula>0</formula>
    </cfRule>
  </conditionalFormatting>
  <conditionalFormatting sqref="FH27">
    <cfRule type="cellIs" dxfId="713" priority="877" operator="lessThan">
      <formula>0</formula>
    </cfRule>
    <cfRule type="cellIs" dxfId="712" priority="878" operator="greaterThan">
      <formula>0</formula>
    </cfRule>
  </conditionalFormatting>
  <conditionalFormatting sqref="FG28">
    <cfRule type="cellIs" dxfId="711" priority="875" operator="lessThan">
      <formula>0</formula>
    </cfRule>
    <cfRule type="cellIs" dxfId="710" priority="876" operator="greaterThan">
      <formula>0</formula>
    </cfRule>
  </conditionalFormatting>
  <conditionalFormatting sqref="FH28">
    <cfRule type="cellIs" dxfId="709" priority="873" operator="lessThan">
      <formula>0</formula>
    </cfRule>
    <cfRule type="cellIs" dxfId="708" priority="874" operator="greaterThan">
      <formula>0</formula>
    </cfRule>
  </conditionalFormatting>
  <conditionalFormatting sqref="FG29">
    <cfRule type="cellIs" dxfId="707" priority="871" operator="lessThan">
      <formula>0</formula>
    </cfRule>
    <cfRule type="cellIs" dxfId="706" priority="872" operator="greaterThan">
      <formula>0</formula>
    </cfRule>
  </conditionalFormatting>
  <conditionalFormatting sqref="FH29">
    <cfRule type="cellIs" dxfId="705" priority="869" operator="lessThan">
      <formula>0</formula>
    </cfRule>
    <cfRule type="cellIs" dxfId="704" priority="870" operator="greaterThan">
      <formula>0</formula>
    </cfRule>
  </conditionalFormatting>
  <conditionalFormatting sqref="EM3">
    <cfRule type="cellIs" dxfId="703" priority="855" operator="lessThan">
      <formula>0</formula>
    </cfRule>
    <cfRule type="cellIs" dxfId="702" priority="856" operator="greaterThan">
      <formula>0</formula>
    </cfRule>
  </conditionalFormatting>
  <conditionalFormatting sqref="EM10">
    <cfRule type="cellIs" dxfId="701" priority="853" operator="lessThan">
      <formula>0</formula>
    </cfRule>
    <cfRule type="cellIs" dxfId="700" priority="854" operator="greaterThan">
      <formula>0</formula>
    </cfRule>
  </conditionalFormatting>
  <conditionalFormatting sqref="EM13">
    <cfRule type="cellIs" dxfId="699" priority="851" operator="lessThan">
      <formula>0</formula>
    </cfRule>
    <cfRule type="cellIs" dxfId="698" priority="852" operator="greaterThan">
      <formula>0</formula>
    </cfRule>
  </conditionalFormatting>
  <conditionalFormatting sqref="EM16">
    <cfRule type="cellIs" dxfId="697" priority="849" operator="lessThan">
      <formula>0</formula>
    </cfRule>
    <cfRule type="cellIs" dxfId="696" priority="850" operator="greaterThan">
      <formula>0</formula>
    </cfRule>
  </conditionalFormatting>
  <conditionalFormatting sqref="EM19">
    <cfRule type="cellIs" dxfId="695" priority="847" operator="lessThan">
      <formula>0</formula>
    </cfRule>
    <cfRule type="cellIs" dxfId="694" priority="848" operator="greaterThan">
      <formula>0</formula>
    </cfRule>
  </conditionalFormatting>
  <conditionalFormatting sqref="EM22">
    <cfRule type="cellIs" dxfId="693" priority="845" operator="lessThan">
      <formula>0</formula>
    </cfRule>
    <cfRule type="cellIs" dxfId="692" priority="846" operator="greaterThan">
      <formula>0</formula>
    </cfRule>
  </conditionalFormatting>
  <conditionalFormatting sqref="EO3">
    <cfRule type="cellIs" dxfId="691" priority="843" operator="lessThan">
      <formula>0</formula>
    </cfRule>
    <cfRule type="cellIs" dxfId="690" priority="844" operator="greaterThan">
      <formula>0</formula>
    </cfRule>
  </conditionalFormatting>
  <conditionalFormatting sqref="EO10">
    <cfRule type="cellIs" dxfId="689" priority="841" operator="lessThan">
      <formula>0</formula>
    </cfRule>
    <cfRule type="cellIs" dxfId="688" priority="842" operator="greaterThan">
      <formula>0</formula>
    </cfRule>
  </conditionalFormatting>
  <conditionalFormatting sqref="EO13">
    <cfRule type="cellIs" dxfId="687" priority="839" operator="lessThan">
      <formula>0</formula>
    </cfRule>
    <cfRule type="cellIs" dxfId="686" priority="840" operator="greaterThan">
      <formula>0</formula>
    </cfRule>
  </conditionalFormatting>
  <conditionalFormatting sqref="EO16">
    <cfRule type="cellIs" dxfId="685" priority="837" operator="lessThan">
      <formula>0</formula>
    </cfRule>
    <cfRule type="cellIs" dxfId="684" priority="838" operator="greaterThan">
      <formula>0</formula>
    </cfRule>
  </conditionalFormatting>
  <conditionalFormatting sqref="EO19">
    <cfRule type="cellIs" dxfId="683" priority="835" operator="lessThan">
      <formula>0</formula>
    </cfRule>
    <cfRule type="cellIs" dxfId="682" priority="836" operator="greaterThan">
      <formula>0</formula>
    </cfRule>
  </conditionalFormatting>
  <conditionalFormatting sqref="EO22">
    <cfRule type="cellIs" dxfId="681" priority="833" operator="lessThan">
      <formula>0</formula>
    </cfRule>
    <cfRule type="cellIs" dxfId="680" priority="834" operator="greaterThan">
      <formula>0</formula>
    </cfRule>
  </conditionalFormatting>
  <conditionalFormatting sqref="EQ10">
    <cfRule type="cellIs" dxfId="679" priority="831" operator="lessThan">
      <formula>0</formula>
    </cfRule>
    <cfRule type="cellIs" dxfId="678" priority="832" operator="greaterThan">
      <formula>0</formula>
    </cfRule>
  </conditionalFormatting>
  <conditionalFormatting sqref="EQ13">
    <cfRule type="cellIs" dxfId="677" priority="829" operator="lessThan">
      <formula>0</formula>
    </cfRule>
    <cfRule type="cellIs" dxfId="676" priority="830" operator="greaterThan">
      <formula>0</formula>
    </cfRule>
  </conditionalFormatting>
  <conditionalFormatting sqref="EQ16">
    <cfRule type="cellIs" dxfId="675" priority="827" operator="lessThan">
      <formula>0</formula>
    </cfRule>
    <cfRule type="cellIs" dxfId="674" priority="828" operator="greaterThan">
      <formula>0</formula>
    </cfRule>
  </conditionalFormatting>
  <conditionalFormatting sqref="EQ19">
    <cfRule type="cellIs" dxfId="673" priority="825" operator="lessThan">
      <formula>0</formula>
    </cfRule>
    <cfRule type="cellIs" dxfId="672" priority="826" operator="greaterThan">
      <formula>0</formula>
    </cfRule>
  </conditionalFormatting>
  <conditionalFormatting sqref="EQ22">
    <cfRule type="cellIs" dxfId="671" priority="823" operator="lessThan">
      <formula>0</formula>
    </cfRule>
    <cfRule type="cellIs" dxfId="670" priority="824" operator="greaterThan">
      <formula>0</formula>
    </cfRule>
  </conditionalFormatting>
  <conditionalFormatting sqref="EQ3">
    <cfRule type="cellIs" dxfId="669" priority="821" operator="lessThan">
      <formula>0</formula>
    </cfRule>
    <cfRule type="cellIs" dxfId="668" priority="822" operator="greaterThan">
      <formula>0</formula>
    </cfRule>
  </conditionalFormatting>
  <conditionalFormatting sqref="ES10">
    <cfRule type="cellIs" dxfId="667" priority="819" operator="lessThan">
      <formula>0</formula>
    </cfRule>
    <cfRule type="cellIs" dxfId="666" priority="820" operator="greaterThan">
      <formula>0</formula>
    </cfRule>
  </conditionalFormatting>
  <conditionalFormatting sqref="ES13">
    <cfRule type="cellIs" dxfId="665" priority="817" operator="lessThan">
      <formula>0</formula>
    </cfRule>
    <cfRule type="cellIs" dxfId="664" priority="818" operator="greaterThan">
      <formula>0</formula>
    </cfRule>
  </conditionalFormatting>
  <conditionalFormatting sqref="ES16">
    <cfRule type="cellIs" dxfId="663" priority="815" operator="lessThan">
      <formula>0</formula>
    </cfRule>
    <cfRule type="cellIs" dxfId="662" priority="816" operator="greaterThan">
      <formula>0</formula>
    </cfRule>
  </conditionalFormatting>
  <conditionalFormatting sqref="ES19">
    <cfRule type="cellIs" dxfId="661" priority="813" operator="lessThan">
      <formula>0</formula>
    </cfRule>
    <cfRule type="cellIs" dxfId="660" priority="814" operator="greaterThan">
      <formula>0</formula>
    </cfRule>
  </conditionalFormatting>
  <conditionalFormatting sqref="ES22">
    <cfRule type="cellIs" dxfId="659" priority="811" operator="lessThan">
      <formula>0</formula>
    </cfRule>
    <cfRule type="cellIs" dxfId="658" priority="812" operator="greaterThan">
      <formula>0</formula>
    </cfRule>
  </conditionalFormatting>
  <conditionalFormatting sqref="ES3">
    <cfRule type="cellIs" dxfId="657" priority="809" operator="lessThan">
      <formula>0</formula>
    </cfRule>
    <cfRule type="cellIs" dxfId="656" priority="810" operator="greaterThan">
      <formula>0</formula>
    </cfRule>
  </conditionalFormatting>
  <conditionalFormatting sqref="EU10">
    <cfRule type="cellIs" dxfId="655" priority="807" operator="lessThan">
      <formula>0</formula>
    </cfRule>
    <cfRule type="cellIs" dxfId="654" priority="808" operator="greaterThan">
      <formula>0</formula>
    </cfRule>
  </conditionalFormatting>
  <conditionalFormatting sqref="EU13">
    <cfRule type="cellIs" dxfId="653" priority="805" operator="lessThan">
      <formula>0</formula>
    </cfRule>
    <cfRule type="cellIs" dxfId="652" priority="806" operator="greaterThan">
      <formula>0</formula>
    </cfRule>
  </conditionalFormatting>
  <conditionalFormatting sqref="EU16">
    <cfRule type="cellIs" dxfId="651" priority="803" operator="lessThan">
      <formula>0</formula>
    </cfRule>
    <cfRule type="cellIs" dxfId="650" priority="804" operator="greaterThan">
      <formula>0</formula>
    </cfRule>
  </conditionalFormatting>
  <conditionalFormatting sqref="EU19">
    <cfRule type="cellIs" dxfId="649" priority="801" operator="lessThan">
      <formula>0</formula>
    </cfRule>
    <cfRule type="cellIs" dxfId="648" priority="802" operator="greaterThan">
      <formula>0</formula>
    </cfRule>
  </conditionalFormatting>
  <conditionalFormatting sqref="EU22">
    <cfRule type="cellIs" dxfId="647" priority="799" operator="lessThan">
      <formula>0</formula>
    </cfRule>
    <cfRule type="cellIs" dxfId="646" priority="800" operator="greaterThan">
      <formula>0</formula>
    </cfRule>
  </conditionalFormatting>
  <conditionalFormatting sqref="EU3">
    <cfRule type="cellIs" dxfId="645" priority="797" operator="lessThan">
      <formula>0</formula>
    </cfRule>
    <cfRule type="cellIs" dxfId="644" priority="798" operator="greaterThan">
      <formula>0</formula>
    </cfRule>
  </conditionalFormatting>
  <conditionalFormatting sqref="EW10">
    <cfRule type="cellIs" dxfId="643" priority="795" operator="lessThan">
      <formula>0</formula>
    </cfRule>
    <cfRule type="cellIs" dxfId="642" priority="796" operator="greaterThan">
      <formula>0</formula>
    </cfRule>
  </conditionalFormatting>
  <conditionalFormatting sqref="EW13">
    <cfRule type="cellIs" dxfId="641" priority="793" operator="lessThan">
      <formula>0</formula>
    </cfRule>
    <cfRule type="cellIs" dxfId="640" priority="794" operator="greaterThan">
      <formula>0</formula>
    </cfRule>
  </conditionalFormatting>
  <conditionalFormatting sqref="EW16">
    <cfRule type="cellIs" dxfId="639" priority="791" operator="lessThan">
      <formula>0</formula>
    </cfRule>
    <cfRule type="cellIs" dxfId="638" priority="792" operator="greaterThan">
      <formula>0</formula>
    </cfRule>
  </conditionalFormatting>
  <conditionalFormatting sqref="EW19">
    <cfRule type="cellIs" dxfId="637" priority="789" operator="lessThan">
      <formula>0</formula>
    </cfRule>
    <cfRule type="cellIs" dxfId="636" priority="790" operator="greaterThan">
      <formula>0</formula>
    </cfRule>
  </conditionalFormatting>
  <conditionalFormatting sqref="EW22">
    <cfRule type="cellIs" dxfId="635" priority="787" operator="lessThan">
      <formula>0</formula>
    </cfRule>
    <cfRule type="cellIs" dxfId="634" priority="788" operator="greaterThan">
      <formula>0</formula>
    </cfRule>
  </conditionalFormatting>
  <conditionalFormatting sqref="EW3">
    <cfRule type="cellIs" dxfId="633" priority="785" operator="lessThan">
      <formula>0</formula>
    </cfRule>
    <cfRule type="cellIs" dxfId="632" priority="786" operator="greaterThan">
      <formula>0</formula>
    </cfRule>
  </conditionalFormatting>
  <conditionalFormatting sqref="EY10">
    <cfRule type="cellIs" dxfId="631" priority="783" operator="lessThan">
      <formula>0</formula>
    </cfRule>
    <cfRule type="cellIs" dxfId="630" priority="784" operator="greaterThan">
      <formula>0</formula>
    </cfRule>
  </conditionalFormatting>
  <conditionalFormatting sqref="EY13">
    <cfRule type="cellIs" dxfId="629" priority="781" operator="lessThan">
      <formula>0</formula>
    </cfRule>
    <cfRule type="cellIs" dxfId="628" priority="782" operator="greaterThan">
      <formula>0</formula>
    </cfRule>
  </conditionalFormatting>
  <conditionalFormatting sqref="EY16">
    <cfRule type="cellIs" dxfId="627" priority="779" operator="lessThan">
      <formula>0</formula>
    </cfRule>
    <cfRule type="cellIs" dxfId="626" priority="780" operator="greaterThan">
      <formula>0</formula>
    </cfRule>
  </conditionalFormatting>
  <conditionalFormatting sqref="EY19">
    <cfRule type="cellIs" dxfId="625" priority="777" operator="lessThan">
      <formula>0</formula>
    </cfRule>
    <cfRule type="cellIs" dxfId="624" priority="778" operator="greaterThan">
      <formula>0</formula>
    </cfRule>
  </conditionalFormatting>
  <conditionalFormatting sqref="EY22">
    <cfRule type="cellIs" dxfId="623" priority="775" operator="lessThan">
      <formula>0</formula>
    </cfRule>
    <cfRule type="cellIs" dxfId="622" priority="776" operator="greaterThan">
      <formula>0</formula>
    </cfRule>
  </conditionalFormatting>
  <conditionalFormatting sqref="EY3">
    <cfRule type="cellIs" dxfId="621" priority="773" operator="lessThan">
      <formula>0</formula>
    </cfRule>
    <cfRule type="cellIs" dxfId="620" priority="774" operator="greaterThan">
      <formula>0</formula>
    </cfRule>
  </conditionalFormatting>
  <conditionalFormatting sqref="FA10">
    <cfRule type="cellIs" dxfId="619" priority="771" operator="lessThan">
      <formula>0</formula>
    </cfRule>
    <cfRule type="cellIs" dxfId="618" priority="772" operator="greaterThan">
      <formula>0</formula>
    </cfRule>
  </conditionalFormatting>
  <conditionalFormatting sqref="FA13">
    <cfRule type="cellIs" dxfId="617" priority="769" operator="lessThan">
      <formula>0</formula>
    </cfRule>
    <cfRule type="cellIs" dxfId="616" priority="770" operator="greaterThan">
      <formula>0</formula>
    </cfRule>
  </conditionalFormatting>
  <conditionalFormatting sqref="FA16">
    <cfRule type="cellIs" dxfId="615" priority="767" operator="lessThan">
      <formula>0</formula>
    </cfRule>
    <cfRule type="cellIs" dxfId="614" priority="768" operator="greaterThan">
      <formula>0</formula>
    </cfRule>
  </conditionalFormatting>
  <conditionalFormatting sqref="FA19">
    <cfRule type="cellIs" dxfId="613" priority="765" operator="lessThan">
      <formula>0</formula>
    </cfRule>
    <cfRule type="cellIs" dxfId="612" priority="766" operator="greaterThan">
      <formula>0</formula>
    </cfRule>
  </conditionalFormatting>
  <conditionalFormatting sqref="FA22">
    <cfRule type="cellIs" dxfId="611" priority="763" operator="lessThan">
      <formula>0</formula>
    </cfRule>
    <cfRule type="cellIs" dxfId="610" priority="764" operator="greaterThan">
      <formula>0</formula>
    </cfRule>
  </conditionalFormatting>
  <conditionalFormatting sqref="FA3">
    <cfRule type="cellIs" dxfId="609" priority="761" operator="lessThan">
      <formula>0</formula>
    </cfRule>
    <cfRule type="cellIs" dxfId="608" priority="762" operator="greaterThan">
      <formula>0</formula>
    </cfRule>
  </conditionalFormatting>
  <conditionalFormatting sqref="FC10">
    <cfRule type="cellIs" dxfId="607" priority="759" operator="lessThan">
      <formula>0</formula>
    </cfRule>
    <cfRule type="cellIs" dxfId="606" priority="760" operator="greaterThan">
      <formula>0</formula>
    </cfRule>
  </conditionalFormatting>
  <conditionalFormatting sqref="FC13">
    <cfRule type="cellIs" dxfId="605" priority="757" operator="lessThan">
      <formula>0</formula>
    </cfRule>
    <cfRule type="cellIs" dxfId="604" priority="758" operator="greaterThan">
      <formula>0</formula>
    </cfRule>
  </conditionalFormatting>
  <conditionalFormatting sqref="FC16">
    <cfRule type="cellIs" dxfId="603" priority="755" operator="lessThan">
      <formula>0</formula>
    </cfRule>
    <cfRule type="cellIs" dxfId="602" priority="756" operator="greaterThan">
      <formula>0</formula>
    </cfRule>
  </conditionalFormatting>
  <conditionalFormatting sqref="FC19">
    <cfRule type="cellIs" dxfId="601" priority="753" operator="lessThan">
      <formula>0</formula>
    </cfRule>
    <cfRule type="cellIs" dxfId="600" priority="754" operator="greaterThan">
      <formula>0</formula>
    </cfRule>
  </conditionalFormatting>
  <conditionalFormatting sqref="FC22">
    <cfRule type="cellIs" dxfId="599" priority="751" operator="lessThan">
      <formula>0</formula>
    </cfRule>
    <cfRule type="cellIs" dxfId="598" priority="752" operator="greaterThan">
      <formula>0</formula>
    </cfRule>
  </conditionalFormatting>
  <conditionalFormatting sqref="FC3">
    <cfRule type="cellIs" dxfId="597" priority="749" operator="lessThan">
      <formula>0</formula>
    </cfRule>
    <cfRule type="cellIs" dxfId="596" priority="750" operator="greaterThan">
      <formula>0</formula>
    </cfRule>
  </conditionalFormatting>
  <conditionalFormatting sqref="FE10">
    <cfRule type="cellIs" dxfId="595" priority="747" operator="lessThan">
      <formula>0</formula>
    </cfRule>
    <cfRule type="cellIs" dxfId="594" priority="748" operator="greaterThan">
      <formula>0</formula>
    </cfRule>
  </conditionalFormatting>
  <conditionalFormatting sqref="FE13">
    <cfRule type="cellIs" dxfId="593" priority="745" operator="lessThan">
      <formula>0</formula>
    </cfRule>
    <cfRule type="cellIs" dxfId="592" priority="746" operator="greaterThan">
      <formula>0</formula>
    </cfRule>
  </conditionalFormatting>
  <conditionalFormatting sqref="FE16">
    <cfRule type="cellIs" dxfId="591" priority="743" operator="lessThan">
      <formula>0</formula>
    </cfRule>
    <cfRule type="cellIs" dxfId="590" priority="744" operator="greaterThan">
      <formula>0</formula>
    </cfRule>
  </conditionalFormatting>
  <conditionalFormatting sqref="FE19">
    <cfRule type="cellIs" dxfId="589" priority="741" operator="lessThan">
      <formula>0</formula>
    </cfRule>
    <cfRule type="cellIs" dxfId="588" priority="742" operator="greaterThan">
      <formula>0</formula>
    </cfRule>
  </conditionalFormatting>
  <conditionalFormatting sqref="FE22">
    <cfRule type="cellIs" dxfId="587" priority="739" operator="lessThan">
      <formula>0</formula>
    </cfRule>
    <cfRule type="cellIs" dxfId="586" priority="740" operator="greaterThan">
      <formula>0</formula>
    </cfRule>
  </conditionalFormatting>
  <conditionalFormatting sqref="FE3">
    <cfRule type="cellIs" dxfId="585" priority="737" operator="lessThan">
      <formula>0</formula>
    </cfRule>
    <cfRule type="cellIs" dxfId="584" priority="738" operator="greaterThan">
      <formula>0</formula>
    </cfRule>
  </conditionalFormatting>
  <conditionalFormatting sqref="FG10">
    <cfRule type="cellIs" dxfId="583" priority="735" operator="lessThan">
      <formula>0</formula>
    </cfRule>
    <cfRule type="cellIs" dxfId="582" priority="736" operator="greaterThan">
      <formula>0</formula>
    </cfRule>
  </conditionalFormatting>
  <conditionalFormatting sqref="FG13">
    <cfRule type="cellIs" dxfId="581" priority="733" operator="lessThan">
      <formula>0</formula>
    </cfRule>
    <cfRule type="cellIs" dxfId="580" priority="734" operator="greaterThan">
      <formula>0</formula>
    </cfRule>
  </conditionalFormatting>
  <conditionalFormatting sqref="FG16">
    <cfRule type="cellIs" dxfId="579" priority="731" operator="lessThan">
      <formula>0</formula>
    </cfRule>
    <cfRule type="cellIs" dxfId="578" priority="732" operator="greaterThan">
      <formula>0</formula>
    </cfRule>
  </conditionalFormatting>
  <conditionalFormatting sqref="FG19">
    <cfRule type="cellIs" dxfId="577" priority="729" operator="lessThan">
      <formula>0</formula>
    </cfRule>
    <cfRule type="cellIs" dxfId="576" priority="730" operator="greaterThan">
      <formula>0</formula>
    </cfRule>
  </conditionalFormatting>
  <conditionalFormatting sqref="FG22">
    <cfRule type="cellIs" dxfId="575" priority="727" operator="lessThan">
      <formula>0</formula>
    </cfRule>
    <cfRule type="cellIs" dxfId="574" priority="728" operator="greaterThan">
      <formula>0</formula>
    </cfRule>
  </conditionalFormatting>
  <conditionalFormatting sqref="FG3">
    <cfRule type="cellIs" dxfId="573" priority="725" operator="lessThan">
      <formula>0</formula>
    </cfRule>
    <cfRule type="cellIs" dxfId="572" priority="726" operator="greaterThan">
      <formula>0</formula>
    </cfRule>
  </conditionalFormatting>
  <conditionalFormatting sqref="C31">
    <cfRule type="cellIs" dxfId="571" priority="695" operator="lessThan">
      <formula>0</formula>
    </cfRule>
    <cfRule type="cellIs" dxfId="570" priority="696" operator="greaterThan">
      <formula>0</formula>
    </cfRule>
  </conditionalFormatting>
  <conditionalFormatting sqref="C27">
    <cfRule type="cellIs" dxfId="569" priority="711" operator="lessThan">
      <formula>0</formula>
    </cfRule>
    <cfRule type="cellIs" dxfId="568" priority="712" operator="greaterThan">
      <formula>0</formula>
    </cfRule>
  </conditionalFormatting>
  <conditionalFormatting sqref="C28">
    <cfRule type="cellIs" dxfId="567" priority="707" operator="lessThan">
      <formula>0</formula>
    </cfRule>
    <cfRule type="cellIs" dxfId="566" priority="708" operator="greaterThan">
      <formula>0</formula>
    </cfRule>
  </conditionalFormatting>
  <conditionalFormatting sqref="C29">
    <cfRule type="cellIs" dxfId="565" priority="703" operator="lessThan">
      <formula>0</formula>
    </cfRule>
    <cfRule type="cellIs" dxfId="564" priority="704" operator="greaterThan">
      <formula>0</formula>
    </cfRule>
  </conditionalFormatting>
  <conditionalFormatting sqref="C30">
    <cfRule type="cellIs" dxfId="563" priority="687" operator="lessThan">
      <formula>0</formula>
    </cfRule>
    <cfRule type="cellIs" dxfId="562" priority="688" operator="greaterThan">
      <formula>0</formula>
    </cfRule>
  </conditionalFormatting>
  <conditionalFormatting sqref="C32">
    <cfRule type="cellIs" dxfId="561" priority="685" operator="lessThan">
      <formula>0</formula>
    </cfRule>
    <cfRule type="cellIs" dxfId="560" priority="686" operator="greaterThan">
      <formula>0</formula>
    </cfRule>
  </conditionalFormatting>
  <conditionalFormatting sqref="FI10">
    <cfRule type="cellIs" dxfId="559" priority="683" operator="lessThan">
      <formula>0</formula>
    </cfRule>
    <cfRule type="cellIs" dxfId="558" priority="684" operator="greaterThan">
      <formula>0</formula>
    </cfRule>
  </conditionalFormatting>
  <conditionalFormatting sqref="FI13">
    <cfRule type="cellIs" dxfId="557" priority="681" operator="lessThan">
      <formula>0</formula>
    </cfRule>
    <cfRule type="cellIs" dxfId="556" priority="682" operator="greaterThan">
      <formula>0</formula>
    </cfRule>
  </conditionalFormatting>
  <conditionalFormatting sqref="FI16">
    <cfRule type="cellIs" dxfId="555" priority="679" operator="lessThan">
      <formula>0</formula>
    </cfRule>
    <cfRule type="cellIs" dxfId="554" priority="680" operator="greaterThan">
      <formula>0</formula>
    </cfRule>
  </conditionalFormatting>
  <conditionalFormatting sqref="FI19">
    <cfRule type="cellIs" dxfId="553" priority="677" operator="lessThan">
      <formula>0</formula>
    </cfRule>
    <cfRule type="cellIs" dxfId="552" priority="678" operator="greaterThan">
      <formula>0</formula>
    </cfRule>
  </conditionalFormatting>
  <conditionalFormatting sqref="FI22">
    <cfRule type="cellIs" dxfId="551" priority="675" operator="lessThan">
      <formula>0</formula>
    </cfRule>
    <cfRule type="cellIs" dxfId="550" priority="676" operator="greaterThan">
      <formula>0</formula>
    </cfRule>
  </conditionalFormatting>
  <conditionalFormatting sqref="FI3">
    <cfRule type="cellIs" dxfId="549" priority="673" operator="lessThan">
      <formula>0</formula>
    </cfRule>
    <cfRule type="cellIs" dxfId="548" priority="674" operator="greaterThan">
      <formula>0</formula>
    </cfRule>
  </conditionalFormatting>
  <conditionalFormatting sqref="GO30">
    <cfRule type="cellIs" dxfId="547" priority="563" operator="lessThan">
      <formula>0</formula>
    </cfRule>
    <cfRule type="cellIs" dxfId="546" priority="564" operator="greaterThan">
      <formula>0</formula>
    </cfRule>
  </conditionalFormatting>
  <conditionalFormatting sqref="GP30">
    <cfRule type="cellIs" dxfId="545" priority="561" operator="lessThan">
      <formula>0</formula>
    </cfRule>
    <cfRule type="cellIs" dxfId="544" priority="562" operator="greaterThan">
      <formula>0</formula>
    </cfRule>
  </conditionalFormatting>
  <conditionalFormatting sqref="GO31">
    <cfRule type="cellIs" dxfId="543" priority="559" operator="lessThan">
      <formula>0</formula>
    </cfRule>
    <cfRule type="cellIs" dxfId="542" priority="560" operator="greaterThan">
      <formula>0</formula>
    </cfRule>
  </conditionalFormatting>
  <conditionalFormatting sqref="GP31">
    <cfRule type="cellIs" dxfId="541" priority="557" operator="lessThan">
      <formula>0</formula>
    </cfRule>
    <cfRule type="cellIs" dxfId="540" priority="558" operator="greaterThan">
      <formula>0</formula>
    </cfRule>
  </conditionalFormatting>
  <conditionalFormatting sqref="GO32">
    <cfRule type="cellIs" dxfId="539" priority="555" operator="lessThan">
      <formula>0</formula>
    </cfRule>
    <cfRule type="cellIs" dxfId="538" priority="556" operator="greaterThan">
      <formula>0</formula>
    </cfRule>
  </conditionalFormatting>
  <conditionalFormatting sqref="GP32">
    <cfRule type="cellIs" dxfId="537" priority="553" operator="lessThan">
      <formula>0</formula>
    </cfRule>
    <cfRule type="cellIs" dxfId="536" priority="554" operator="greaterThan">
      <formula>0</formula>
    </cfRule>
  </conditionalFormatting>
  <conditionalFormatting sqref="FM3">
    <cfRule type="cellIs" dxfId="535" priority="647" operator="lessThan">
      <formula>0</formula>
    </cfRule>
    <cfRule type="cellIs" dxfId="534" priority="648" operator="greaterThan">
      <formula>0</formula>
    </cfRule>
  </conditionalFormatting>
  <conditionalFormatting sqref="FM10">
    <cfRule type="cellIs" dxfId="533" priority="645" operator="lessThan">
      <formula>0</formula>
    </cfRule>
    <cfRule type="cellIs" dxfId="532" priority="646" operator="greaterThan">
      <formula>0</formula>
    </cfRule>
  </conditionalFormatting>
  <conditionalFormatting sqref="FM13">
    <cfRule type="cellIs" dxfId="531" priority="643" operator="lessThan">
      <formula>0</formula>
    </cfRule>
    <cfRule type="cellIs" dxfId="530" priority="644" operator="greaterThan">
      <formula>0</formula>
    </cfRule>
  </conditionalFormatting>
  <conditionalFormatting sqref="FM16">
    <cfRule type="cellIs" dxfId="529" priority="641" operator="lessThan">
      <formula>0</formula>
    </cfRule>
    <cfRule type="cellIs" dxfId="528" priority="642" operator="greaterThan">
      <formula>0</formula>
    </cfRule>
  </conditionalFormatting>
  <conditionalFormatting sqref="FM19">
    <cfRule type="cellIs" dxfId="527" priority="639" operator="lessThan">
      <formula>0</formula>
    </cfRule>
    <cfRule type="cellIs" dxfId="526" priority="640" operator="greaterThan">
      <formula>0</formula>
    </cfRule>
  </conditionalFormatting>
  <conditionalFormatting sqref="FM22">
    <cfRule type="cellIs" dxfId="525" priority="637" operator="lessThan">
      <formula>0</formula>
    </cfRule>
    <cfRule type="cellIs" dxfId="524" priority="638" operator="greaterThan">
      <formula>0</formula>
    </cfRule>
  </conditionalFormatting>
  <conditionalFormatting sqref="FK3">
    <cfRule type="cellIs" dxfId="523" priority="635" operator="lessThan">
      <formula>0</formula>
    </cfRule>
    <cfRule type="cellIs" dxfId="522" priority="636" operator="greaterThan">
      <formula>0</formula>
    </cfRule>
  </conditionalFormatting>
  <conditionalFormatting sqref="FK10">
    <cfRule type="cellIs" dxfId="521" priority="633" operator="lessThan">
      <formula>0</formula>
    </cfRule>
    <cfRule type="cellIs" dxfId="520" priority="634" operator="greaterThan">
      <formula>0</formula>
    </cfRule>
  </conditionalFormatting>
  <conditionalFormatting sqref="FK13">
    <cfRule type="cellIs" dxfId="519" priority="631" operator="lessThan">
      <formula>0</formula>
    </cfRule>
    <cfRule type="cellIs" dxfId="518" priority="632" operator="greaterThan">
      <formula>0</formula>
    </cfRule>
  </conditionalFormatting>
  <conditionalFormatting sqref="FK16">
    <cfRule type="cellIs" dxfId="517" priority="629" operator="lessThan">
      <formula>0</formula>
    </cfRule>
    <cfRule type="cellIs" dxfId="516" priority="630" operator="greaterThan">
      <formula>0</formula>
    </cfRule>
  </conditionalFormatting>
  <conditionalFormatting sqref="FK19">
    <cfRule type="cellIs" dxfId="515" priority="627" operator="lessThan">
      <formula>0</formula>
    </cfRule>
    <cfRule type="cellIs" dxfId="514" priority="628" operator="greaterThan">
      <formula>0</formula>
    </cfRule>
  </conditionalFormatting>
  <conditionalFormatting sqref="FK22">
    <cfRule type="cellIs" dxfId="513" priority="625" operator="lessThan">
      <formula>0</formula>
    </cfRule>
    <cfRule type="cellIs" dxfId="512" priority="626" operator="greaterThan">
      <formula>0</formula>
    </cfRule>
  </conditionalFormatting>
  <conditionalFormatting sqref="GO27">
    <cfRule type="cellIs" dxfId="511" priority="575" operator="lessThan">
      <formula>0</formula>
    </cfRule>
    <cfRule type="cellIs" dxfId="510" priority="576" operator="greaterThan">
      <formula>0</formula>
    </cfRule>
  </conditionalFormatting>
  <conditionalFormatting sqref="GP27">
    <cfRule type="cellIs" dxfId="509" priority="573" operator="lessThan">
      <formula>0</formula>
    </cfRule>
    <cfRule type="cellIs" dxfId="508" priority="574" operator="greaterThan">
      <formula>0</formula>
    </cfRule>
  </conditionalFormatting>
  <conditionalFormatting sqref="GO28">
    <cfRule type="cellIs" dxfId="507" priority="571" operator="lessThan">
      <formula>0</formula>
    </cfRule>
    <cfRule type="cellIs" dxfId="506" priority="572" operator="greaterThan">
      <formula>0</formula>
    </cfRule>
  </conditionalFormatting>
  <conditionalFormatting sqref="GP28">
    <cfRule type="cellIs" dxfId="505" priority="569" operator="lessThan">
      <formula>0</formula>
    </cfRule>
    <cfRule type="cellIs" dxfId="504" priority="570" operator="greaterThan">
      <formula>0</formula>
    </cfRule>
  </conditionalFormatting>
  <conditionalFormatting sqref="GO29">
    <cfRule type="cellIs" dxfId="503" priority="567" operator="lessThan">
      <formula>0</formula>
    </cfRule>
    <cfRule type="cellIs" dxfId="502" priority="568" operator="greaterThan">
      <formula>0</formula>
    </cfRule>
  </conditionalFormatting>
  <conditionalFormatting sqref="GP29">
    <cfRule type="cellIs" dxfId="501" priority="565" operator="lessThan">
      <formula>0</formula>
    </cfRule>
    <cfRule type="cellIs" dxfId="500" priority="566" operator="greaterThan">
      <formula>0</formula>
    </cfRule>
  </conditionalFormatting>
  <conditionalFormatting sqref="FO10">
    <cfRule type="cellIs" dxfId="499" priority="551" operator="lessThan">
      <formula>0</formula>
    </cfRule>
    <cfRule type="cellIs" dxfId="498" priority="552" operator="greaterThan">
      <formula>0</formula>
    </cfRule>
  </conditionalFormatting>
  <conditionalFormatting sqref="FO13">
    <cfRule type="cellIs" dxfId="497" priority="549" operator="lessThan">
      <formula>0</formula>
    </cfRule>
    <cfRule type="cellIs" dxfId="496" priority="550" operator="greaterThan">
      <formula>0</formula>
    </cfRule>
  </conditionalFormatting>
  <conditionalFormatting sqref="FO16">
    <cfRule type="cellIs" dxfId="495" priority="547" operator="lessThan">
      <formula>0</formula>
    </cfRule>
    <cfRule type="cellIs" dxfId="494" priority="548" operator="greaterThan">
      <formula>0</formula>
    </cfRule>
  </conditionalFormatting>
  <conditionalFormatting sqref="FO19">
    <cfRule type="cellIs" dxfId="493" priority="545" operator="lessThan">
      <formula>0</formula>
    </cfRule>
    <cfRule type="cellIs" dxfId="492" priority="546" operator="greaterThan">
      <formula>0</formula>
    </cfRule>
  </conditionalFormatting>
  <conditionalFormatting sqref="FO22">
    <cfRule type="cellIs" dxfId="491" priority="543" operator="lessThan">
      <formula>0</formula>
    </cfRule>
    <cfRule type="cellIs" dxfId="490" priority="544" operator="greaterThan">
      <formula>0</formula>
    </cfRule>
  </conditionalFormatting>
  <conditionalFormatting sqref="FO3">
    <cfRule type="cellIs" dxfId="489" priority="541" operator="lessThan">
      <formula>0</formula>
    </cfRule>
    <cfRule type="cellIs" dxfId="488" priority="542" operator="greaterThan">
      <formula>0</formula>
    </cfRule>
  </conditionalFormatting>
  <conditionalFormatting sqref="FQ10">
    <cfRule type="cellIs" dxfId="487" priority="539" operator="lessThan">
      <formula>0</formula>
    </cfRule>
    <cfRule type="cellIs" dxfId="486" priority="540" operator="greaterThan">
      <formula>0</formula>
    </cfRule>
  </conditionalFormatting>
  <conditionalFormatting sqref="FQ13">
    <cfRule type="cellIs" dxfId="485" priority="537" operator="lessThan">
      <formula>0</formula>
    </cfRule>
    <cfRule type="cellIs" dxfId="484" priority="538" operator="greaterThan">
      <formula>0</formula>
    </cfRule>
  </conditionalFormatting>
  <conditionalFormatting sqref="FQ16">
    <cfRule type="cellIs" dxfId="483" priority="535" operator="lessThan">
      <formula>0</formula>
    </cfRule>
    <cfRule type="cellIs" dxfId="482" priority="536" operator="greaterThan">
      <formula>0</formula>
    </cfRule>
  </conditionalFormatting>
  <conditionalFormatting sqref="FQ19">
    <cfRule type="cellIs" dxfId="481" priority="533" operator="lessThan">
      <formula>0</formula>
    </cfRule>
    <cfRule type="cellIs" dxfId="480" priority="534" operator="greaterThan">
      <formula>0</formula>
    </cfRule>
  </conditionalFormatting>
  <conditionalFormatting sqref="FQ22">
    <cfRule type="cellIs" dxfId="479" priority="531" operator="lessThan">
      <formula>0</formula>
    </cfRule>
    <cfRule type="cellIs" dxfId="478" priority="532" operator="greaterThan">
      <formula>0</formula>
    </cfRule>
  </conditionalFormatting>
  <conditionalFormatting sqref="FQ3">
    <cfRule type="cellIs" dxfId="477" priority="529" operator="lessThan">
      <formula>0</formula>
    </cfRule>
    <cfRule type="cellIs" dxfId="476" priority="530" operator="greaterThan">
      <formula>0</formula>
    </cfRule>
  </conditionalFormatting>
  <conditionalFormatting sqref="FS10">
    <cfRule type="cellIs" dxfId="475" priority="527" operator="lessThan">
      <formula>0</formula>
    </cfRule>
    <cfRule type="cellIs" dxfId="474" priority="528" operator="greaterThan">
      <formula>0</formula>
    </cfRule>
  </conditionalFormatting>
  <conditionalFormatting sqref="FS13">
    <cfRule type="cellIs" dxfId="473" priority="525" operator="lessThan">
      <formula>0</formula>
    </cfRule>
    <cfRule type="cellIs" dxfId="472" priority="526" operator="greaterThan">
      <formula>0</formula>
    </cfRule>
  </conditionalFormatting>
  <conditionalFormatting sqref="FS16">
    <cfRule type="cellIs" dxfId="471" priority="523" operator="lessThan">
      <formula>0</formula>
    </cfRule>
    <cfRule type="cellIs" dxfId="470" priority="524" operator="greaterThan">
      <formula>0</formula>
    </cfRule>
  </conditionalFormatting>
  <conditionalFormatting sqref="FS19">
    <cfRule type="cellIs" dxfId="469" priority="521" operator="lessThan">
      <formula>0</formula>
    </cfRule>
    <cfRule type="cellIs" dxfId="468" priority="522" operator="greaterThan">
      <formula>0</formula>
    </cfRule>
  </conditionalFormatting>
  <conditionalFormatting sqref="FS22">
    <cfRule type="cellIs" dxfId="467" priority="519" operator="lessThan">
      <formula>0</formula>
    </cfRule>
    <cfRule type="cellIs" dxfId="466" priority="520" operator="greaterThan">
      <formula>0</formula>
    </cfRule>
  </conditionalFormatting>
  <conditionalFormatting sqref="FS3">
    <cfRule type="cellIs" dxfId="465" priority="517" operator="lessThan">
      <formula>0</formula>
    </cfRule>
    <cfRule type="cellIs" dxfId="464" priority="518" operator="greaterThan">
      <formula>0</formula>
    </cfRule>
  </conditionalFormatting>
  <conditionalFormatting sqref="FU10">
    <cfRule type="cellIs" dxfId="463" priority="515" operator="lessThan">
      <formula>0</formula>
    </cfRule>
    <cfRule type="cellIs" dxfId="462" priority="516" operator="greaterThan">
      <formula>0</formula>
    </cfRule>
  </conditionalFormatting>
  <conditionalFormatting sqref="FU13">
    <cfRule type="cellIs" dxfId="461" priority="513" operator="lessThan">
      <formula>0</formula>
    </cfRule>
    <cfRule type="cellIs" dxfId="460" priority="514" operator="greaterThan">
      <formula>0</formula>
    </cfRule>
  </conditionalFormatting>
  <conditionalFormatting sqref="FU16">
    <cfRule type="cellIs" dxfId="459" priority="511" operator="lessThan">
      <formula>0</formula>
    </cfRule>
    <cfRule type="cellIs" dxfId="458" priority="512" operator="greaterThan">
      <formula>0</formula>
    </cfRule>
  </conditionalFormatting>
  <conditionalFormatting sqref="FU19">
    <cfRule type="cellIs" dxfId="457" priority="509" operator="lessThan">
      <formula>0</formula>
    </cfRule>
    <cfRule type="cellIs" dxfId="456" priority="510" operator="greaterThan">
      <formula>0</formula>
    </cfRule>
  </conditionalFormatting>
  <conditionalFormatting sqref="FU22">
    <cfRule type="cellIs" dxfId="455" priority="507" operator="lessThan">
      <formula>0</formula>
    </cfRule>
    <cfRule type="cellIs" dxfId="454" priority="508" operator="greaterThan">
      <formula>0</formula>
    </cfRule>
  </conditionalFormatting>
  <conditionalFormatting sqref="FU3">
    <cfRule type="cellIs" dxfId="453" priority="505" operator="lessThan">
      <formula>0</formula>
    </cfRule>
    <cfRule type="cellIs" dxfId="452" priority="506" operator="greaterThan">
      <formula>0</formula>
    </cfRule>
  </conditionalFormatting>
  <conditionalFormatting sqref="FW10">
    <cfRule type="cellIs" dxfId="451" priority="503" operator="lessThan">
      <formula>0</formula>
    </cfRule>
    <cfRule type="cellIs" dxfId="450" priority="504" operator="greaterThan">
      <formula>0</formula>
    </cfRule>
  </conditionalFormatting>
  <conditionalFormatting sqref="FW13">
    <cfRule type="cellIs" dxfId="449" priority="501" operator="lessThan">
      <formula>0</formula>
    </cfRule>
    <cfRule type="cellIs" dxfId="448" priority="502" operator="greaterThan">
      <formula>0</formula>
    </cfRule>
  </conditionalFormatting>
  <conditionalFormatting sqref="FW16">
    <cfRule type="cellIs" dxfId="447" priority="499" operator="lessThan">
      <formula>0</formula>
    </cfRule>
    <cfRule type="cellIs" dxfId="446" priority="500" operator="greaterThan">
      <formula>0</formula>
    </cfRule>
  </conditionalFormatting>
  <conditionalFormatting sqref="FW19">
    <cfRule type="cellIs" dxfId="445" priority="497" operator="lessThan">
      <formula>0</formula>
    </cfRule>
    <cfRule type="cellIs" dxfId="444" priority="498" operator="greaterThan">
      <formula>0</formula>
    </cfRule>
  </conditionalFormatting>
  <conditionalFormatting sqref="FW22">
    <cfRule type="cellIs" dxfId="443" priority="495" operator="lessThan">
      <formula>0</formula>
    </cfRule>
    <cfRule type="cellIs" dxfId="442" priority="496" operator="greaterThan">
      <formula>0</formula>
    </cfRule>
  </conditionalFormatting>
  <conditionalFormatting sqref="FW3">
    <cfRule type="cellIs" dxfId="441" priority="493" operator="lessThan">
      <formula>0</formula>
    </cfRule>
    <cfRule type="cellIs" dxfId="440" priority="494" operator="greaterThan">
      <formula>0</formula>
    </cfRule>
  </conditionalFormatting>
  <conditionalFormatting sqref="FY10">
    <cfRule type="cellIs" dxfId="439" priority="491" operator="lessThan">
      <formula>0</formula>
    </cfRule>
    <cfRule type="cellIs" dxfId="438" priority="492" operator="greaterThan">
      <formula>0</formula>
    </cfRule>
  </conditionalFormatting>
  <conditionalFormatting sqref="FY13">
    <cfRule type="cellIs" dxfId="437" priority="489" operator="lessThan">
      <formula>0</formula>
    </cfRule>
    <cfRule type="cellIs" dxfId="436" priority="490" operator="greaterThan">
      <formula>0</formula>
    </cfRule>
  </conditionalFormatting>
  <conditionalFormatting sqref="FY16">
    <cfRule type="cellIs" dxfId="435" priority="487" operator="lessThan">
      <formula>0</formula>
    </cfRule>
    <cfRule type="cellIs" dxfId="434" priority="488" operator="greaterThan">
      <formula>0</formula>
    </cfRule>
  </conditionalFormatting>
  <conditionalFormatting sqref="FY19">
    <cfRule type="cellIs" dxfId="433" priority="485" operator="lessThan">
      <formula>0</formula>
    </cfRule>
    <cfRule type="cellIs" dxfId="432" priority="486" operator="greaterThan">
      <formula>0</formula>
    </cfRule>
  </conditionalFormatting>
  <conditionalFormatting sqref="FY22">
    <cfRule type="cellIs" dxfId="431" priority="483" operator="lessThan">
      <formula>0</formula>
    </cfRule>
    <cfRule type="cellIs" dxfId="430" priority="484" operator="greaterThan">
      <formula>0</formula>
    </cfRule>
  </conditionalFormatting>
  <conditionalFormatting sqref="FY3">
    <cfRule type="cellIs" dxfId="429" priority="481" operator="lessThan">
      <formula>0</formula>
    </cfRule>
    <cfRule type="cellIs" dxfId="428" priority="482" operator="greaterThan">
      <formula>0</formula>
    </cfRule>
  </conditionalFormatting>
  <conditionalFormatting sqref="GA10">
    <cfRule type="cellIs" dxfId="427" priority="479" operator="lessThan">
      <formula>0</formula>
    </cfRule>
    <cfRule type="cellIs" dxfId="426" priority="480" operator="greaterThan">
      <formula>0</formula>
    </cfRule>
  </conditionalFormatting>
  <conditionalFormatting sqref="GA13">
    <cfRule type="cellIs" dxfId="425" priority="477" operator="lessThan">
      <formula>0</formula>
    </cfRule>
    <cfRule type="cellIs" dxfId="424" priority="478" operator="greaterThan">
      <formula>0</formula>
    </cfRule>
  </conditionalFormatting>
  <conditionalFormatting sqref="GA16">
    <cfRule type="cellIs" dxfId="423" priority="475" operator="lessThan">
      <formula>0</formula>
    </cfRule>
    <cfRule type="cellIs" dxfId="422" priority="476" operator="greaterThan">
      <formula>0</formula>
    </cfRule>
  </conditionalFormatting>
  <conditionalFormatting sqref="GA19">
    <cfRule type="cellIs" dxfId="421" priority="473" operator="lessThan">
      <formula>0</formula>
    </cfRule>
    <cfRule type="cellIs" dxfId="420" priority="474" operator="greaterThan">
      <formula>0</formula>
    </cfRule>
  </conditionalFormatting>
  <conditionalFormatting sqref="GA22">
    <cfRule type="cellIs" dxfId="419" priority="471" operator="lessThan">
      <formula>0</formula>
    </cfRule>
    <cfRule type="cellIs" dxfId="418" priority="472" operator="greaterThan">
      <formula>0</formula>
    </cfRule>
  </conditionalFormatting>
  <conditionalFormatting sqref="GA3">
    <cfRule type="cellIs" dxfId="417" priority="469" operator="lessThan">
      <formula>0</formula>
    </cfRule>
    <cfRule type="cellIs" dxfId="416" priority="470" operator="greaterThan">
      <formula>0</formula>
    </cfRule>
  </conditionalFormatting>
  <conditionalFormatting sqref="GC10">
    <cfRule type="cellIs" dxfId="415" priority="467" operator="lessThan">
      <formula>0</formula>
    </cfRule>
    <cfRule type="cellIs" dxfId="414" priority="468" operator="greaterThan">
      <formula>0</formula>
    </cfRule>
  </conditionalFormatting>
  <conditionalFormatting sqref="GC13">
    <cfRule type="cellIs" dxfId="413" priority="465" operator="lessThan">
      <formula>0</formula>
    </cfRule>
    <cfRule type="cellIs" dxfId="412" priority="466" operator="greaterThan">
      <formula>0</formula>
    </cfRule>
  </conditionalFormatting>
  <conditionalFormatting sqref="GC16">
    <cfRule type="cellIs" dxfId="411" priority="463" operator="lessThan">
      <formula>0</formula>
    </cfRule>
    <cfRule type="cellIs" dxfId="410" priority="464" operator="greaterThan">
      <formula>0</formula>
    </cfRule>
  </conditionalFormatting>
  <conditionalFormatting sqref="GC19">
    <cfRule type="cellIs" dxfId="409" priority="461" operator="lessThan">
      <formula>0</formula>
    </cfRule>
    <cfRule type="cellIs" dxfId="408" priority="462" operator="greaterThan">
      <formula>0</formula>
    </cfRule>
  </conditionalFormatting>
  <conditionalFormatting sqref="GC22">
    <cfRule type="cellIs" dxfId="407" priority="459" operator="lessThan">
      <formula>0</formula>
    </cfRule>
    <cfRule type="cellIs" dxfId="406" priority="460" operator="greaterThan">
      <formula>0</formula>
    </cfRule>
  </conditionalFormatting>
  <conditionalFormatting sqref="GC3">
    <cfRule type="cellIs" dxfId="405" priority="457" operator="lessThan">
      <formula>0</formula>
    </cfRule>
    <cfRule type="cellIs" dxfId="404" priority="458" operator="greaterThan">
      <formula>0</formula>
    </cfRule>
  </conditionalFormatting>
  <conditionalFormatting sqref="GE10">
    <cfRule type="cellIs" dxfId="403" priority="455" operator="lessThan">
      <formula>0</formula>
    </cfRule>
    <cfRule type="cellIs" dxfId="402" priority="456" operator="greaterThan">
      <formula>0</formula>
    </cfRule>
  </conditionalFormatting>
  <conditionalFormatting sqref="GE13">
    <cfRule type="cellIs" dxfId="401" priority="453" operator="lessThan">
      <formula>0</formula>
    </cfRule>
    <cfRule type="cellIs" dxfId="400" priority="454" operator="greaterThan">
      <formula>0</formula>
    </cfRule>
  </conditionalFormatting>
  <conditionalFormatting sqref="GE16">
    <cfRule type="cellIs" dxfId="399" priority="451" operator="lessThan">
      <formula>0</formula>
    </cfRule>
    <cfRule type="cellIs" dxfId="398" priority="452" operator="greaterThan">
      <formula>0</formula>
    </cfRule>
  </conditionalFormatting>
  <conditionalFormatting sqref="GE19">
    <cfRule type="cellIs" dxfId="397" priority="449" operator="lessThan">
      <formula>0</formula>
    </cfRule>
    <cfRule type="cellIs" dxfId="396" priority="450" operator="greaterThan">
      <formula>0</formula>
    </cfRule>
  </conditionalFormatting>
  <conditionalFormatting sqref="GE22">
    <cfRule type="cellIs" dxfId="395" priority="447" operator="lessThan">
      <formula>0</formula>
    </cfRule>
    <cfRule type="cellIs" dxfId="394" priority="448" operator="greaterThan">
      <formula>0</formula>
    </cfRule>
  </conditionalFormatting>
  <conditionalFormatting sqref="GE3">
    <cfRule type="cellIs" dxfId="393" priority="445" operator="lessThan">
      <formula>0</formula>
    </cfRule>
    <cfRule type="cellIs" dxfId="392" priority="446" operator="greaterThan">
      <formula>0</formula>
    </cfRule>
  </conditionalFormatting>
  <conditionalFormatting sqref="GG10">
    <cfRule type="cellIs" dxfId="391" priority="443" operator="lessThan">
      <formula>0</formula>
    </cfRule>
    <cfRule type="cellIs" dxfId="390" priority="444" operator="greaterThan">
      <formula>0</formula>
    </cfRule>
  </conditionalFormatting>
  <conditionalFormatting sqref="GG13">
    <cfRule type="cellIs" dxfId="389" priority="441" operator="lessThan">
      <formula>0</formula>
    </cfRule>
    <cfRule type="cellIs" dxfId="388" priority="442" operator="greaterThan">
      <formula>0</formula>
    </cfRule>
  </conditionalFormatting>
  <conditionalFormatting sqref="GG16">
    <cfRule type="cellIs" dxfId="387" priority="439" operator="lessThan">
      <formula>0</formula>
    </cfRule>
    <cfRule type="cellIs" dxfId="386" priority="440" operator="greaterThan">
      <formula>0</formula>
    </cfRule>
  </conditionalFormatting>
  <conditionalFormatting sqref="GG19">
    <cfRule type="cellIs" dxfId="385" priority="437" operator="lessThan">
      <formula>0</formula>
    </cfRule>
    <cfRule type="cellIs" dxfId="384" priority="438" operator="greaterThan">
      <formula>0</formula>
    </cfRule>
  </conditionalFormatting>
  <conditionalFormatting sqref="GG22">
    <cfRule type="cellIs" dxfId="383" priority="435" operator="lessThan">
      <formula>0</formula>
    </cfRule>
    <cfRule type="cellIs" dxfId="382" priority="436" operator="greaterThan">
      <formula>0</formula>
    </cfRule>
  </conditionalFormatting>
  <conditionalFormatting sqref="GG3">
    <cfRule type="cellIs" dxfId="381" priority="433" operator="lessThan">
      <formula>0</formula>
    </cfRule>
    <cfRule type="cellIs" dxfId="380" priority="434" operator="greaterThan">
      <formula>0</formula>
    </cfRule>
  </conditionalFormatting>
  <conditionalFormatting sqref="GI10">
    <cfRule type="cellIs" dxfId="379" priority="419" operator="lessThan">
      <formula>0</formula>
    </cfRule>
    <cfRule type="cellIs" dxfId="378" priority="420" operator="greaterThan">
      <formula>0</formula>
    </cfRule>
  </conditionalFormatting>
  <conditionalFormatting sqref="GI13">
    <cfRule type="cellIs" dxfId="377" priority="417" operator="lessThan">
      <formula>0</formula>
    </cfRule>
    <cfRule type="cellIs" dxfId="376" priority="418" operator="greaterThan">
      <formula>0</formula>
    </cfRule>
  </conditionalFormatting>
  <conditionalFormatting sqref="GI16">
    <cfRule type="cellIs" dxfId="375" priority="415" operator="lessThan">
      <formula>0</formula>
    </cfRule>
    <cfRule type="cellIs" dxfId="374" priority="416" operator="greaterThan">
      <formula>0</formula>
    </cfRule>
  </conditionalFormatting>
  <conditionalFormatting sqref="GI19">
    <cfRule type="cellIs" dxfId="373" priority="413" operator="lessThan">
      <formula>0</formula>
    </cfRule>
    <cfRule type="cellIs" dxfId="372" priority="414" operator="greaterThan">
      <formula>0</formula>
    </cfRule>
  </conditionalFormatting>
  <conditionalFormatting sqref="GI22">
    <cfRule type="cellIs" dxfId="371" priority="411" operator="lessThan">
      <formula>0</formula>
    </cfRule>
    <cfRule type="cellIs" dxfId="370" priority="412" operator="greaterThan">
      <formula>0</formula>
    </cfRule>
  </conditionalFormatting>
  <conditionalFormatting sqref="GI3">
    <cfRule type="cellIs" dxfId="369" priority="409" operator="lessThan">
      <formula>0</formula>
    </cfRule>
    <cfRule type="cellIs" dxfId="368" priority="410" operator="greaterThan">
      <formula>0</formula>
    </cfRule>
  </conditionalFormatting>
  <conditionalFormatting sqref="GK10">
    <cfRule type="cellIs" dxfId="367" priority="407" operator="lessThan">
      <formula>0</formula>
    </cfRule>
    <cfRule type="cellIs" dxfId="366" priority="408" operator="greaterThan">
      <formula>0</formula>
    </cfRule>
  </conditionalFormatting>
  <conditionalFormatting sqref="GK13">
    <cfRule type="cellIs" dxfId="365" priority="405" operator="lessThan">
      <formula>0</formula>
    </cfRule>
    <cfRule type="cellIs" dxfId="364" priority="406" operator="greaterThan">
      <formula>0</formula>
    </cfRule>
  </conditionalFormatting>
  <conditionalFormatting sqref="GK16">
    <cfRule type="cellIs" dxfId="363" priority="403" operator="lessThan">
      <formula>0</formula>
    </cfRule>
    <cfRule type="cellIs" dxfId="362" priority="404" operator="greaterThan">
      <formula>0</formula>
    </cfRule>
  </conditionalFormatting>
  <conditionalFormatting sqref="GK19">
    <cfRule type="cellIs" dxfId="361" priority="401" operator="lessThan">
      <formula>0</formula>
    </cfRule>
    <cfRule type="cellIs" dxfId="360" priority="402" operator="greaterThan">
      <formula>0</formula>
    </cfRule>
  </conditionalFormatting>
  <conditionalFormatting sqref="GK22">
    <cfRule type="cellIs" dxfId="359" priority="399" operator="lessThan">
      <formula>0</formula>
    </cfRule>
    <cfRule type="cellIs" dxfId="358" priority="400" operator="greaterThan">
      <formula>0</formula>
    </cfRule>
  </conditionalFormatting>
  <conditionalFormatting sqref="GK3">
    <cfRule type="cellIs" dxfId="357" priority="397" operator="lessThan">
      <formula>0</formula>
    </cfRule>
    <cfRule type="cellIs" dxfId="356" priority="398" operator="greaterThan">
      <formula>0</formula>
    </cfRule>
  </conditionalFormatting>
  <conditionalFormatting sqref="GM10">
    <cfRule type="cellIs" dxfId="355" priority="395" operator="lessThan">
      <formula>0</formula>
    </cfRule>
    <cfRule type="cellIs" dxfId="354" priority="396" operator="greaterThan">
      <formula>0</formula>
    </cfRule>
  </conditionalFormatting>
  <conditionalFormatting sqref="GM13">
    <cfRule type="cellIs" dxfId="353" priority="393" operator="lessThan">
      <formula>0</formula>
    </cfRule>
    <cfRule type="cellIs" dxfId="352" priority="394" operator="greaterThan">
      <formula>0</formula>
    </cfRule>
  </conditionalFormatting>
  <conditionalFormatting sqref="GM16">
    <cfRule type="cellIs" dxfId="351" priority="391" operator="lessThan">
      <formula>0</formula>
    </cfRule>
    <cfRule type="cellIs" dxfId="350" priority="392" operator="greaterThan">
      <formula>0</formula>
    </cfRule>
  </conditionalFormatting>
  <conditionalFormatting sqref="GM19">
    <cfRule type="cellIs" dxfId="349" priority="389" operator="lessThan">
      <formula>0</formula>
    </cfRule>
    <cfRule type="cellIs" dxfId="348" priority="390" operator="greaterThan">
      <formula>0</formula>
    </cfRule>
  </conditionalFormatting>
  <conditionalFormatting sqref="GM22">
    <cfRule type="cellIs" dxfId="347" priority="387" operator="lessThan">
      <formula>0</formula>
    </cfRule>
    <cfRule type="cellIs" dxfId="346" priority="388" operator="greaterThan">
      <formula>0</formula>
    </cfRule>
  </conditionalFormatting>
  <conditionalFormatting sqref="GM3">
    <cfRule type="cellIs" dxfId="345" priority="385" operator="lessThan">
      <formula>0</formula>
    </cfRule>
    <cfRule type="cellIs" dxfId="344" priority="386" operator="greaterThan">
      <formula>0</formula>
    </cfRule>
  </conditionalFormatting>
  <conditionalFormatting sqref="GO10">
    <cfRule type="cellIs" dxfId="343" priority="383" operator="lessThan">
      <formula>0</formula>
    </cfRule>
    <cfRule type="cellIs" dxfId="342" priority="384" operator="greaterThan">
      <formula>0</formula>
    </cfRule>
  </conditionalFormatting>
  <conditionalFormatting sqref="GO13">
    <cfRule type="cellIs" dxfId="341" priority="381" operator="lessThan">
      <formula>0</formula>
    </cfRule>
    <cfRule type="cellIs" dxfId="340" priority="382" operator="greaterThan">
      <formula>0</formula>
    </cfRule>
  </conditionalFormatting>
  <conditionalFormatting sqref="GO16">
    <cfRule type="cellIs" dxfId="339" priority="379" operator="lessThan">
      <formula>0</formula>
    </cfRule>
    <cfRule type="cellIs" dxfId="338" priority="380" operator="greaterThan">
      <formula>0</formula>
    </cfRule>
  </conditionalFormatting>
  <conditionalFormatting sqref="GO19">
    <cfRule type="cellIs" dxfId="337" priority="377" operator="lessThan">
      <formula>0</formula>
    </cfRule>
    <cfRule type="cellIs" dxfId="336" priority="378" operator="greaterThan">
      <formula>0</formula>
    </cfRule>
  </conditionalFormatting>
  <conditionalFormatting sqref="GO22">
    <cfRule type="cellIs" dxfId="335" priority="375" operator="lessThan">
      <formula>0</formula>
    </cfRule>
    <cfRule type="cellIs" dxfId="334" priority="376" operator="greaterThan">
      <formula>0</formula>
    </cfRule>
  </conditionalFormatting>
  <conditionalFormatting sqref="GO3">
    <cfRule type="cellIs" dxfId="333" priority="373" operator="lessThan">
      <formula>0</formula>
    </cfRule>
    <cfRule type="cellIs" dxfId="332" priority="374" operator="greaterThan">
      <formula>0</formula>
    </cfRule>
  </conditionalFormatting>
  <conditionalFormatting sqref="GQ10">
    <cfRule type="cellIs" dxfId="331" priority="371" operator="lessThan">
      <formula>0</formula>
    </cfRule>
    <cfRule type="cellIs" dxfId="330" priority="372" operator="greaterThan">
      <formula>0</formula>
    </cfRule>
  </conditionalFormatting>
  <conditionalFormatting sqref="GQ13">
    <cfRule type="cellIs" dxfId="329" priority="369" operator="lessThan">
      <formula>0</formula>
    </cfRule>
    <cfRule type="cellIs" dxfId="328" priority="370" operator="greaterThan">
      <formula>0</formula>
    </cfRule>
  </conditionalFormatting>
  <conditionalFormatting sqref="GQ16">
    <cfRule type="cellIs" dxfId="327" priority="367" operator="lessThan">
      <formula>0</formula>
    </cfRule>
    <cfRule type="cellIs" dxfId="326" priority="368" operator="greaterThan">
      <formula>0</formula>
    </cfRule>
  </conditionalFormatting>
  <conditionalFormatting sqref="GQ19">
    <cfRule type="cellIs" dxfId="325" priority="365" operator="lessThan">
      <formula>0</formula>
    </cfRule>
    <cfRule type="cellIs" dxfId="324" priority="366" operator="greaterThan">
      <formula>0</formula>
    </cfRule>
  </conditionalFormatting>
  <conditionalFormatting sqref="GQ22">
    <cfRule type="cellIs" dxfId="323" priority="363" operator="lessThan">
      <formula>0</formula>
    </cfRule>
    <cfRule type="cellIs" dxfId="322" priority="364" operator="greaterThan">
      <formula>0</formula>
    </cfRule>
  </conditionalFormatting>
  <conditionalFormatting sqref="GQ3">
    <cfRule type="cellIs" dxfId="321" priority="361" operator="lessThan">
      <formula>0</formula>
    </cfRule>
    <cfRule type="cellIs" dxfId="320" priority="362" operator="greaterThan">
      <formula>0</formula>
    </cfRule>
  </conditionalFormatting>
  <conditionalFormatting sqref="GS10">
    <cfRule type="cellIs" dxfId="319" priority="359" operator="lessThan">
      <formula>0</formula>
    </cfRule>
    <cfRule type="cellIs" dxfId="318" priority="360" operator="greaterThan">
      <formula>0</formula>
    </cfRule>
  </conditionalFormatting>
  <conditionalFormatting sqref="GS13">
    <cfRule type="cellIs" dxfId="317" priority="357" operator="lessThan">
      <formula>0</formula>
    </cfRule>
    <cfRule type="cellIs" dxfId="316" priority="358" operator="greaterThan">
      <formula>0</formula>
    </cfRule>
  </conditionalFormatting>
  <conditionalFormatting sqref="GS16">
    <cfRule type="cellIs" dxfId="315" priority="355" operator="lessThan">
      <formula>0</formula>
    </cfRule>
    <cfRule type="cellIs" dxfId="314" priority="356" operator="greaterThan">
      <formula>0</formula>
    </cfRule>
  </conditionalFormatting>
  <conditionalFormatting sqref="GS19">
    <cfRule type="cellIs" dxfId="313" priority="353" operator="lessThan">
      <formula>0</formula>
    </cfRule>
    <cfRule type="cellIs" dxfId="312" priority="354" operator="greaterThan">
      <formula>0</formula>
    </cfRule>
  </conditionalFormatting>
  <conditionalFormatting sqref="GS22">
    <cfRule type="cellIs" dxfId="311" priority="351" operator="lessThan">
      <formula>0</formula>
    </cfRule>
    <cfRule type="cellIs" dxfId="310" priority="352" operator="greaterThan">
      <formula>0</formula>
    </cfRule>
  </conditionalFormatting>
  <conditionalFormatting sqref="GS3">
    <cfRule type="cellIs" dxfId="309" priority="349" operator="lessThan">
      <formula>0</formula>
    </cfRule>
    <cfRule type="cellIs" dxfId="308" priority="350" operator="greaterThan">
      <formula>0</formula>
    </cfRule>
  </conditionalFormatting>
  <conditionalFormatting sqref="GU10">
    <cfRule type="cellIs" dxfId="307" priority="347" operator="lessThan">
      <formula>0</formula>
    </cfRule>
    <cfRule type="cellIs" dxfId="306" priority="348" operator="greaterThan">
      <formula>0</formula>
    </cfRule>
  </conditionalFormatting>
  <conditionalFormatting sqref="GU13">
    <cfRule type="cellIs" dxfId="305" priority="345" operator="lessThan">
      <formula>0</formula>
    </cfRule>
    <cfRule type="cellIs" dxfId="304" priority="346" operator="greaterThan">
      <formula>0</formula>
    </cfRule>
  </conditionalFormatting>
  <conditionalFormatting sqref="GU16">
    <cfRule type="cellIs" dxfId="303" priority="343" operator="lessThan">
      <formula>0</formula>
    </cfRule>
    <cfRule type="cellIs" dxfId="302" priority="344" operator="greaterThan">
      <formula>0</formula>
    </cfRule>
  </conditionalFormatting>
  <conditionalFormatting sqref="GU19">
    <cfRule type="cellIs" dxfId="301" priority="341" operator="lessThan">
      <formula>0</formula>
    </cfRule>
    <cfRule type="cellIs" dxfId="300" priority="342" operator="greaterThan">
      <formula>0</formula>
    </cfRule>
  </conditionalFormatting>
  <conditionalFormatting sqref="GU22">
    <cfRule type="cellIs" dxfId="299" priority="339" operator="lessThan">
      <formula>0</formula>
    </cfRule>
    <cfRule type="cellIs" dxfId="298" priority="340" operator="greaterThan">
      <formula>0</formula>
    </cfRule>
  </conditionalFormatting>
  <conditionalFormatting sqref="GU3">
    <cfRule type="cellIs" dxfId="297" priority="337" operator="lessThan">
      <formula>0</formula>
    </cfRule>
    <cfRule type="cellIs" dxfId="296" priority="338" operator="greaterThan">
      <formula>0</formula>
    </cfRule>
  </conditionalFormatting>
  <conditionalFormatting sqref="GW10">
    <cfRule type="cellIs" dxfId="295" priority="335" operator="lessThan">
      <formula>0</formula>
    </cfRule>
    <cfRule type="cellIs" dxfId="294" priority="336" operator="greaterThan">
      <formula>0</formula>
    </cfRule>
  </conditionalFormatting>
  <conditionalFormatting sqref="GW13">
    <cfRule type="cellIs" dxfId="293" priority="333" operator="lessThan">
      <formula>0</formula>
    </cfRule>
    <cfRule type="cellIs" dxfId="292" priority="334" operator="greaterThan">
      <formula>0</formula>
    </cfRule>
  </conditionalFormatting>
  <conditionalFormatting sqref="GW16">
    <cfRule type="cellIs" dxfId="291" priority="331" operator="lessThan">
      <formula>0</formula>
    </cfRule>
    <cfRule type="cellIs" dxfId="290" priority="332" operator="greaterThan">
      <formula>0</formula>
    </cfRule>
  </conditionalFormatting>
  <conditionalFormatting sqref="GW19">
    <cfRule type="cellIs" dxfId="289" priority="329" operator="lessThan">
      <formula>0</formula>
    </cfRule>
    <cfRule type="cellIs" dxfId="288" priority="330" operator="greaterThan">
      <formula>0</formula>
    </cfRule>
  </conditionalFormatting>
  <conditionalFormatting sqref="GW22">
    <cfRule type="cellIs" dxfId="287" priority="327" operator="lessThan">
      <formula>0</formula>
    </cfRule>
    <cfRule type="cellIs" dxfId="286" priority="328" operator="greaterThan">
      <formula>0</formula>
    </cfRule>
  </conditionalFormatting>
  <conditionalFormatting sqref="GW3">
    <cfRule type="cellIs" dxfId="285" priority="325" operator="lessThan">
      <formula>0</formula>
    </cfRule>
    <cfRule type="cellIs" dxfId="284" priority="326" operator="greaterThan">
      <formula>0</formula>
    </cfRule>
  </conditionalFormatting>
  <conditionalFormatting sqref="HA30">
    <cfRule type="cellIs" dxfId="283" priority="263" operator="lessThan">
      <formula>0</formula>
    </cfRule>
    <cfRule type="cellIs" dxfId="282" priority="264" operator="greaterThan">
      <formula>0</formula>
    </cfRule>
  </conditionalFormatting>
  <conditionalFormatting sqref="HB30">
    <cfRule type="cellIs" dxfId="281" priority="261" operator="lessThan">
      <formula>0</formula>
    </cfRule>
    <cfRule type="cellIs" dxfId="280" priority="262" operator="greaterThan">
      <formula>0</formula>
    </cfRule>
  </conditionalFormatting>
  <conditionalFormatting sqref="HA31">
    <cfRule type="cellIs" dxfId="279" priority="259" operator="lessThan">
      <formula>0</formula>
    </cfRule>
    <cfRule type="cellIs" dxfId="278" priority="260" operator="greaterThan">
      <formula>0</formula>
    </cfRule>
  </conditionalFormatting>
  <conditionalFormatting sqref="HB31">
    <cfRule type="cellIs" dxfId="277" priority="257" operator="lessThan">
      <formula>0</formula>
    </cfRule>
    <cfRule type="cellIs" dxfId="276" priority="258" operator="greaterThan">
      <formula>0</formula>
    </cfRule>
  </conditionalFormatting>
  <conditionalFormatting sqref="HA32">
    <cfRule type="cellIs" dxfId="275" priority="255" operator="lessThan">
      <formula>0</formula>
    </cfRule>
    <cfRule type="cellIs" dxfId="274" priority="256" operator="greaterThan">
      <formula>0</formula>
    </cfRule>
  </conditionalFormatting>
  <conditionalFormatting sqref="HB32">
    <cfRule type="cellIs" dxfId="273" priority="253" operator="lessThan">
      <formula>0</formula>
    </cfRule>
    <cfRule type="cellIs" dxfId="272" priority="254" operator="greaterThan">
      <formula>0</formula>
    </cfRule>
  </conditionalFormatting>
  <conditionalFormatting sqref="HA27">
    <cfRule type="cellIs" dxfId="271" priority="275" operator="lessThan">
      <formula>0</formula>
    </cfRule>
    <cfRule type="cellIs" dxfId="270" priority="276" operator="greaterThan">
      <formula>0</formula>
    </cfRule>
  </conditionalFormatting>
  <conditionalFormatting sqref="HB27">
    <cfRule type="cellIs" dxfId="269" priority="273" operator="lessThan">
      <formula>0</formula>
    </cfRule>
    <cfRule type="cellIs" dxfId="268" priority="274" operator="greaterThan">
      <formula>0</formula>
    </cfRule>
  </conditionalFormatting>
  <conditionalFormatting sqref="HA28">
    <cfRule type="cellIs" dxfId="267" priority="271" operator="lessThan">
      <formula>0</formula>
    </cfRule>
    <cfRule type="cellIs" dxfId="266" priority="272" operator="greaterThan">
      <formula>0</formula>
    </cfRule>
  </conditionalFormatting>
  <conditionalFormatting sqref="HB28">
    <cfRule type="cellIs" dxfId="265" priority="269" operator="lessThan">
      <formula>0</formula>
    </cfRule>
    <cfRule type="cellIs" dxfId="264" priority="270" operator="greaterThan">
      <formula>0</formula>
    </cfRule>
  </conditionalFormatting>
  <conditionalFormatting sqref="HA29">
    <cfRule type="cellIs" dxfId="263" priority="267" operator="lessThan">
      <formula>0</formula>
    </cfRule>
    <cfRule type="cellIs" dxfId="262" priority="268" operator="greaterThan">
      <formula>0</formula>
    </cfRule>
  </conditionalFormatting>
  <conditionalFormatting sqref="HB29">
    <cfRule type="cellIs" dxfId="261" priority="265" operator="lessThan">
      <formula>0</formula>
    </cfRule>
    <cfRule type="cellIs" dxfId="260" priority="266" operator="greaterThan">
      <formula>0</formula>
    </cfRule>
  </conditionalFormatting>
  <conditionalFormatting sqref="GY10">
    <cfRule type="cellIs" dxfId="259" priority="251" operator="lessThan">
      <formula>0</formula>
    </cfRule>
    <cfRule type="cellIs" dxfId="258" priority="252" operator="greaterThan">
      <formula>0</formula>
    </cfRule>
  </conditionalFormatting>
  <conditionalFormatting sqref="GY13">
    <cfRule type="cellIs" dxfId="257" priority="249" operator="lessThan">
      <formula>0</formula>
    </cfRule>
    <cfRule type="cellIs" dxfId="256" priority="250" operator="greaterThan">
      <formula>0</formula>
    </cfRule>
  </conditionalFormatting>
  <conditionalFormatting sqref="GY16">
    <cfRule type="cellIs" dxfId="255" priority="247" operator="lessThan">
      <formula>0</formula>
    </cfRule>
    <cfRule type="cellIs" dxfId="254" priority="248" operator="greaterThan">
      <formula>0</formula>
    </cfRule>
  </conditionalFormatting>
  <conditionalFormatting sqref="GY19">
    <cfRule type="cellIs" dxfId="253" priority="245" operator="lessThan">
      <formula>0</formula>
    </cfRule>
    <cfRule type="cellIs" dxfId="252" priority="246" operator="greaterThan">
      <formula>0</formula>
    </cfRule>
  </conditionalFormatting>
  <conditionalFormatting sqref="GY22">
    <cfRule type="cellIs" dxfId="251" priority="243" operator="lessThan">
      <formula>0</formula>
    </cfRule>
    <cfRule type="cellIs" dxfId="250" priority="244" operator="greaterThan">
      <formula>0</formula>
    </cfRule>
  </conditionalFormatting>
  <conditionalFormatting sqref="GY3">
    <cfRule type="cellIs" dxfId="249" priority="241" operator="lessThan">
      <formula>0</formula>
    </cfRule>
    <cfRule type="cellIs" dxfId="248" priority="242" operator="greaterThan">
      <formula>0</formula>
    </cfRule>
  </conditionalFormatting>
  <conditionalFormatting sqref="HA10">
    <cfRule type="cellIs" dxfId="247" priority="239" operator="lessThan">
      <formula>0</formula>
    </cfRule>
    <cfRule type="cellIs" dxfId="246" priority="240" operator="greaterThan">
      <formula>0</formula>
    </cfRule>
  </conditionalFormatting>
  <conditionalFormatting sqref="HA13">
    <cfRule type="cellIs" dxfId="245" priority="237" operator="lessThan">
      <formula>0</formula>
    </cfRule>
    <cfRule type="cellIs" dxfId="244" priority="238" operator="greaterThan">
      <formula>0</formula>
    </cfRule>
  </conditionalFormatting>
  <conditionalFormatting sqref="HA16">
    <cfRule type="cellIs" dxfId="243" priority="235" operator="lessThan">
      <formula>0</formula>
    </cfRule>
    <cfRule type="cellIs" dxfId="242" priority="236" operator="greaterThan">
      <formula>0</formula>
    </cfRule>
  </conditionalFormatting>
  <conditionalFormatting sqref="HA19">
    <cfRule type="cellIs" dxfId="241" priority="233" operator="lessThan">
      <formula>0</formula>
    </cfRule>
    <cfRule type="cellIs" dxfId="240" priority="234" operator="greaterThan">
      <formula>0</formula>
    </cfRule>
  </conditionalFormatting>
  <conditionalFormatting sqref="HA22">
    <cfRule type="cellIs" dxfId="239" priority="231" operator="lessThan">
      <formula>0</formula>
    </cfRule>
    <cfRule type="cellIs" dxfId="238" priority="232" operator="greaterThan">
      <formula>0</formula>
    </cfRule>
  </conditionalFormatting>
  <conditionalFormatting sqref="HA3">
    <cfRule type="cellIs" dxfId="237" priority="229" operator="lessThan">
      <formula>0</formula>
    </cfRule>
    <cfRule type="cellIs" dxfId="236" priority="230" operator="greaterThan">
      <formula>0</formula>
    </cfRule>
  </conditionalFormatting>
  <conditionalFormatting sqref="HC10">
    <cfRule type="cellIs" dxfId="235" priority="227" operator="lessThan">
      <formula>0</formula>
    </cfRule>
    <cfRule type="cellIs" dxfId="234" priority="228" operator="greaterThan">
      <formula>0</formula>
    </cfRule>
  </conditionalFormatting>
  <conditionalFormatting sqref="HC13">
    <cfRule type="cellIs" dxfId="233" priority="225" operator="lessThan">
      <formula>0</formula>
    </cfRule>
    <cfRule type="cellIs" dxfId="232" priority="226" operator="greaterThan">
      <formula>0</formula>
    </cfRule>
  </conditionalFormatting>
  <conditionalFormatting sqref="HC16">
    <cfRule type="cellIs" dxfId="231" priority="223" operator="lessThan">
      <formula>0</formula>
    </cfRule>
    <cfRule type="cellIs" dxfId="230" priority="224" operator="greaterThan">
      <formula>0</formula>
    </cfRule>
  </conditionalFormatting>
  <conditionalFormatting sqref="HC19">
    <cfRule type="cellIs" dxfId="229" priority="221" operator="lessThan">
      <formula>0</formula>
    </cfRule>
    <cfRule type="cellIs" dxfId="228" priority="222" operator="greaterThan">
      <formula>0</formula>
    </cfRule>
  </conditionalFormatting>
  <conditionalFormatting sqref="HC22">
    <cfRule type="cellIs" dxfId="227" priority="219" operator="lessThan">
      <formula>0</formula>
    </cfRule>
    <cfRule type="cellIs" dxfId="226" priority="220" operator="greaterThan">
      <formula>0</formula>
    </cfRule>
  </conditionalFormatting>
  <conditionalFormatting sqref="HC3">
    <cfRule type="cellIs" dxfId="225" priority="217" operator="lessThan">
      <formula>0</formula>
    </cfRule>
    <cfRule type="cellIs" dxfId="224" priority="218" operator="greaterThan">
      <formula>0</formula>
    </cfRule>
  </conditionalFormatting>
  <conditionalFormatting sqref="D41:D46">
    <cfRule type="cellIs" dxfId="223" priority="215" operator="lessThan">
      <formula>0</formula>
    </cfRule>
    <cfRule type="cellIs" dxfId="222" priority="216" operator="greaterThan">
      <formula>0</formula>
    </cfRule>
  </conditionalFormatting>
  <conditionalFormatting sqref="HE10">
    <cfRule type="cellIs" dxfId="221" priority="213" operator="lessThan">
      <formula>0</formula>
    </cfRule>
    <cfRule type="cellIs" dxfId="220" priority="214" operator="greaterThan">
      <formula>0</formula>
    </cfRule>
  </conditionalFormatting>
  <conditionalFormatting sqref="HE13">
    <cfRule type="cellIs" dxfId="219" priority="211" operator="lessThan">
      <formula>0</formula>
    </cfRule>
    <cfRule type="cellIs" dxfId="218" priority="212" operator="greaterThan">
      <formula>0</formula>
    </cfRule>
  </conditionalFormatting>
  <conditionalFormatting sqref="HE16">
    <cfRule type="cellIs" dxfId="217" priority="209" operator="lessThan">
      <formula>0</formula>
    </cfRule>
    <cfRule type="cellIs" dxfId="216" priority="210" operator="greaterThan">
      <formula>0</formula>
    </cfRule>
  </conditionalFormatting>
  <conditionalFormatting sqref="HE19">
    <cfRule type="cellIs" dxfId="215" priority="207" operator="lessThan">
      <formula>0</formula>
    </cfRule>
    <cfRule type="cellIs" dxfId="214" priority="208" operator="greaterThan">
      <formula>0</formula>
    </cfRule>
  </conditionalFormatting>
  <conditionalFormatting sqref="HE22">
    <cfRule type="cellIs" dxfId="213" priority="205" operator="lessThan">
      <formula>0</formula>
    </cfRule>
    <cfRule type="cellIs" dxfId="212" priority="206" operator="greaterThan">
      <formula>0</formula>
    </cfRule>
  </conditionalFormatting>
  <conditionalFormatting sqref="HE3">
    <cfRule type="cellIs" dxfId="211" priority="203" operator="lessThan">
      <formula>0</formula>
    </cfRule>
    <cfRule type="cellIs" dxfId="210" priority="204" operator="greaterThan">
      <formula>0</formula>
    </cfRule>
  </conditionalFormatting>
  <conditionalFormatting sqref="HG10">
    <cfRule type="cellIs" dxfId="209" priority="201" operator="lessThan">
      <formula>0</formula>
    </cfRule>
    <cfRule type="cellIs" dxfId="208" priority="202" operator="greaterThan">
      <formula>0</formula>
    </cfRule>
  </conditionalFormatting>
  <conditionalFormatting sqref="HG13">
    <cfRule type="cellIs" dxfId="207" priority="199" operator="lessThan">
      <formula>0</formula>
    </cfRule>
    <cfRule type="cellIs" dxfId="206" priority="200" operator="greaterThan">
      <formula>0</formula>
    </cfRule>
  </conditionalFormatting>
  <conditionalFormatting sqref="HG16">
    <cfRule type="cellIs" dxfId="205" priority="197" operator="lessThan">
      <formula>0</formula>
    </cfRule>
    <cfRule type="cellIs" dxfId="204" priority="198" operator="greaterThan">
      <formula>0</formula>
    </cfRule>
  </conditionalFormatting>
  <conditionalFormatting sqref="HG19">
    <cfRule type="cellIs" dxfId="203" priority="195" operator="lessThan">
      <formula>0</formula>
    </cfRule>
    <cfRule type="cellIs" dxfId="202" priority="196" operator="greaterThan">
      <formula>0</formula>
    </cfRule>
  </conditionalFormatting>
  <conditionalFormatting sqref="HG22">
    <cfRule type="cellIs" dxfId="201" priority="193" operator="lessThan">
      <formula>0</formula>
    </cfRule>
    <cfRule type="cellIs" dxfId="200" priority="194" operator="greaterThan">
      <formula>0</formula>
    </cfRule>
  </conditionalFormatting>
  <conditionalFormatting sqref="HG3">
    <cfRule type="cellIs" dxfId="199" priority="191" operator="lessThan">
      <formula>0</formula>
    </cfRule>
    <cfRule type="cellIs" dxfId="198" priority="192" operator="greaterThan">
      <formula>0</formula>
    </cfRule>
  </conditionalFormatting>
  <conditionalFormatting sqref="HI10">
    <cfRule type="cellIs" dxfId="197" priority="189" operator="lessThan">
      <formula>0</formula>
    </cfRule>
    <cfRule type="cellIs" dxfId="196" priority="190" operator="greaterThan">
      <formula>0</formula>
    </cfRule>
  </conditionalFormatting>
  <conditionalFormatting sqref="HI13">
    <cfRule type="cellIs" dxfId="195" priority="187" operator="lessThan">
      <formula>0</formula>
    </cfRule>
    <cfRule type="cellIs" dxfId="194" priority="188" operator="greaterThan">
      <formula>0</formula>
    </cfRule>
  </conditionalFormatting>
  <conditionalFormatting sqref="HI16">
    <cfRule type="cellIs" dxfId="193" priority="185" operator="lessThan">
      <formula>0</formula>
    </cfRule>
    <cfRule type="cellIs" dxfId="192" priority="186" operator="greaterThan">
      <formula>0</formula>
    </cfRule>
  </conditionalFormatting>
  <conditionalFormatting sqref="HI19">
    <cfRule type="cellIs" dxfId="191" priority="183" operator="lessThan">
      <formula>0</formula>
    </cfRule>
    <cfRule type="cellIs" dxfId="190" priority="184" operator="greaterThan">
      <formula>0</formula>
    </cfRule>
  </conditionalFormatting>
  <conditionalFormatting sqref="HI22">
    <cfRule type="cellIs" dxfId="189" priority="181" operator="lessThan">
      <formula>0</formula>
    </cfRule>
    <cfRule type="cellIs" dxfId="188" priority="182" operator="greaterThan">
      <formula>0</formula>
    </cfRule>
  </conditionalFormatting>
  <conditionalFormatting sqref="HI3">
    <cfRule type="cellIs" dxfId="187" priority="179" operator="lessThan">
      <formula>0</formula>
    </cfRule>
    <cfRule type="cellIs" dxfId="186" priority="180" operator="greaterThan">
      <formula>0</formula>
    </cfRule>
  </conditionalFormatting>
  <conditionalFormatting sqref="HJ30">
    <cfRule type="cellIs" dxfId="185" priority="117" operator="lessThan">
      <formula>0</formula>
    </cfRule>
    <cfRule type="cellIs" dxfId="184" priority="118" operator="greaterThan">
      <formula>0</formula>
    </cfRule>
  </conditionalFormatting>
  <conditionalFormatting sqref="HK30">
    <cfRule type="cellIs" dxfId="183" priority="115" operator="lessThan">
      <formula>0</formula>
    </cfRule>
    <cfRule type="cellIs" dxfId="182" priority="116" operator="greaterThan">
      <formula>0</formula>
    </cfRule>
  </conditionalFormatting>
  <conditionalFormatting sqref="HJ31">
    <cfRule type="cellIs" dxfId="181" priority="113" operator="lessThan">
      <formula>0</formula>
    </cfRule>
    <cfRule type="cellIs" dxfId="180" priority="114" operator="greaterThan">
      <formula>0</formula>
    </cfRule>
  </conditionalFormatting>
  <conditionalFormatting sqref="HK31">
    <cfRule type="cellIs" dxfId="179" priority="111" operator="lessThan">
      <formula>0</formula>
    </cfRule>
    <cfRule type="cellIs" dxfId="178" priority="112" operator="greaterThan">
      <formula>0</formula>
    </cfRule>
  </conditionalFormatting>
  <conditionalFormatting sqref="HJ32">
    <cfRule type="cellIs" dxfId="177" priority="109" operator="lessThan">
      <formula>0</formula>
    </cfRule>
    <cfRule type="cellIs" dxfId="176" priority="110" operator="greaterThan">
      <formula>0</formula>
    </cfRule>
  </conditionalFormatting>
  <conditionalFormatting sqref="HK32">
    <cfRule type="cellIs" dxfId="175" priority="107" operator="lessThan">
      <formula>0</formula>
    </cfRule>
    <cfRule type="cellIs" dxfId="174" priority="108" operator="greaterThan">
      <formula>0</formula>
    </cfRule>
  </conditionalFormatting>
  <conditionalFormatting sqref="HJ27">
    <cfRule type="cellIs" dxfId="173" priority="129" operator="lessThan">
      <formula>0</formula>
    </cfRule>
    <cfRule type="cellIs" dxfId="172" priority="130" operator="greaterThan">
      <formula>0</formula>
    </cfRule>
  </conditionalFormatting>
  <conditionalFormatting sqref="HK27">
    <cfRule type="cellIs" dxfId="171" priority="127" operator="lessThan">
      <formula>0</formula>
    </cfRule>
    <cfRule type="cellIs" dxfId="170" priority="128" operator="greaterThan">
      <formula>0</formula>
    </cfRule>
  </conditionalFormatting>
  <conditionalFormatting sqref="HJ28">
    <cfRule type="cellIs" dxfId="169" priority="125" operator="lessThan">
      <formula>0</formula>
    </cfRule>
    <cfRule type="cellIs" dxfId="168" priority="126" operator="greaterThan">
      <formula>0</formula>
    </cfRule>
  </conditionalFormatting>
  <conditionalFormatting sqref="HK28">
    <cfRule type="cellIs" dxfId="167" priority="123" operator="lessThan">
      <formula>0</formula>
    </cfRule>
    <cfRule type="cellIs" dxfId="166" priority="124" operator="greaterThan">
      <formula>0</formula>
    </cfRule>
  </conditionalFormatting>
  <conditionalFormatting sqref="HJ29">
    <cfRule type="cellIs" dxfId="165" priority="121" operator="lessThan">
      <formula>0</formula>
    </cfRule>
    <cfRule type="cellIs" dxfId="164" priority="122" operator="greaterThan">
      <formula>0</formula>
    </cfRule>
  </conditionalFormatting>
  <conditionalFormatting sqref="HK29">
    <cfRule type="cellIs" dxfId="163" priority="119" operator="lessThan">
      <formula>0</formula>
    </cfRule>
    <cfRule type="cellIs" dxfId="162" priority="120" operator="greaterThan">
      <formula>0</formula>
    </cfRule>
  </conditionalFormatting>
  <conditionalFormatting sqref="HK10">
    <cfRule type="cellIs" dxfId="161" priority="105" operator="lessThan">
      <formula>0</formula>
    </cfRule>
    <cfRule type="cellIs" dxfId="160" priority="106" operator="greaterThan">
      <formula>0</formula>
    </cfRule>
  </conditionalFormatting>
  <conditionalFormatting sqref="HK13">
    <cfRule type="cellIs" dxfId="159" priority="103" operator="lessThan">
      <formula>0</formula>
    </cfRule>
    <cfRule type="cellIs" dxfId="158" priority="104" operator="greaterThan">
      <formula>0</formula>
    </cfRule>
  </conditionalFormatting>
  <conditionalFormatting sqref="HK16">
    <cfRule type="cellIs" dxfId="157" priority="101" operator="lessThan">
      <formula>0</formula>
    </cfRule>
    <cfRule type="cellIs" dxfId="156" priority="102" operator="greaterThan">
      <formula>0</formula>
    </cfRule>
  </conditionalFormatting>
  <conditionalFormatting sqref="HK19">
    <cfRule type="cellIs" dxfId="155" priority="99" operator="lessThan">
      <formula>0</formula>
    </cfRule>
    <cfRule type="cellIs" dxfId="154" priority="100" operator="greaterThan">
      <formula>0</formula>
    </cfRule>
  </conditionalFormatting>
  <conditionalFormatting sqref="HK22">
    <cfRule type="cellIs" dxfId="153" priority="97" operator="lessThan">
      <formula>0</formula>
    </cfRule>
    <cfRule type="cellIs" dxfId="152" priority="98" operator="greaterThan">
      <formula>0</formula>
    </cfRule>
  </conditionalFormatting>
  <conditionalFormatting sqref="HK3">
    <cfRule type="cellIs" dxfId="151" priority="95" operator="lessThan">
      <formula>0</formula>
    </cfRule>
    <cfRule type="cellIs" dxfId="150" priority="96" operator="greaterThan">
      <formula>0</formula>
    </cfRule>
  </conditionalFormatting>
  <conditionalFormatting sqref="HM10">
    <cfRule type="cellIs" dxfId="149" priority="93" operator="lessThan">
      <formula>0</formula>
    </cfRule>
    <cfRule type="cellIs" dxfId="148" priority="94" operator="greaterThan">
      <formula>0</formula>
    </cfRule>
  </conditionalFormatting>
  <conditionalFormatting sqref="HM13">
    <cfRule type="cellIs" dxfId="147" priority="91" operator="lessThan">
      <formula>0</formula>
    </cfRule>
    <cfRule type="cellIs" dxfId="146" priority="92" operator="greaterThan">
      <formula>0</formula>
    </cfRule>
  </conditionalFormatting>
  <conditionalFormatting sqref="HM16">
    <cfRule type="cellIs" dxfId="145" priority="89" operator="lessThan">
      <formula>0</formula>
    </cfRule>
    <cfRule type="cellIs" dxfId="144" priority="90" operator="greaterThan">
      <formula>0</formula>
    </cfRule>
  </conditionalFormatting>
  <conditionalFormatting sqref="HM19">
    <cfRule type="cellIs" dxfId="143" priority="87" operator="lessThan">
      <formula>0</formula>
    </cfRule>
    <cfRule type="cellIs" dxfId="142" priority="88" operator="greaterThan">
      <formula>0</formula>
    </cfRule>
  </conditionalFormatting>
  <conditionalFormatting sqref="HM22">
    <cfRule type="cellIs" dxfId="141" priority="85" operator="lessThan">
      <formula>0</formula>
    </cfRule>
    <cfRule type="cellIs" dxfId="140" priority="86" operator="greaterThan">
      <formula>0</formula>
    </cfRule>
  </conditionalFormatting>
  <conditionalFormatting sqref="HM3">
    <cfRule type="cellIs" dxfId="139" priority="83" operator="lessThan">
      <formula>0</formula>
    </cfRule>
    <cfRule type="cellIs" dxfId="138" priority="84" operator="greaterThan">
      <formula>0</formula>
    </cfRule>
  </conditionalFormatting>
  <conditionalFormatting sqref="HO10">
    <cfRule type="cellIs" dxfId="137" priority="81" operator="lessThan">
      <formula>0</formula>
    </cfRule>
    <cfRule type="cellIs" dxfId="136" priority="82" operator="greaterThan">
      <formula>0</formula>
    </cfRule>
  </conditionalFormatting>
  <conditionalFormatting sqref="HO13">
    <cfRule type="cellIs" dxfId="135" priority="79" operator="lessThan">
      <formula>0</formula>
    </cfRule>
    <cfRule type="cellIs" dxfId="134" priority="80" operator="greaterThan">
      <formula>0</formula>
    </cfRule>
  </conditionalFormatting>
  <conditionalFormatting sqref="HO16">
    <cfRule type="cellIs" dxfId="133" priority="77" operator="lessThan">
      <formula>0</formula>
    </cfRule>
    <cfRule type="cellIs" dxfId="132" priority="78" operator="greaterThan">
      <formula>0</formula>
    </cfRule>
  </conditionalFormatting>
  <conditionalFormatting sqref="HO19">
    <cfRule type="cellIs" dxfId="131" priority="75" operator="lessThan">
      <formula>0</formula>
    </cfRule>
    <cfRule type="cellIs" dxfId="130" priority="76" operator="greaterThan">
      <formula>0</formula>
    </cfRule>
  </conditionalFormatting>
  <conditionalFormatting sqref="HO22">
    <cfRule type="cellIs" dxfId="129" priority="73" operator="lessThan">
      <formula>0</formula>
    </cfRule>
    <cfRule type="cellIs" dxfId="128" priority="74" operator="greaterThan">
      <formula>0</formula>
    </cfRule>
  </conditionalFormatting>
  <conditionalFormatting sqref="HO3">
    <cfRule type="cellIs" dxfId="127" priority="71" operator="lessThan">
      <formula>0</formula>
    </cfRule>
    <cfRule type="cellIs" dxfId="126" priority="72" operator="greaterThan">
      <formula>0</formula>
    </cfRule>
  </conditionalFormatting>
  <conditionalFormatting sqref="HQ10">
    <cfRule type="cellIs" dxfId="125" priority="69" operator="lessThan">
      <formula>0</formula>
    </cfRule>
    <cfRule type="cellIs" dxfId="124" priority="70" operator="greaterThan">
      <formula>0</formula>
    </cfRule>
  </conditionalFormatting>
  <conditionalFormatting sqref="HQ13">
    <cfRule type="cellIs" dxfId="123" priority="67" operator="lessThan">
      <formula>0</formula>
    </cfRule>
    <cfRule type="cellIs" dxfId="122" priority="68" operator="greaterThan">
      <formula>0</formula>
    </cfRule>
  </conditionalFormatting>
  <conditionalFormatting sqref="HQ16">
    <cfRule type="cellIs" dxfId="121" priority="65" operator="lessThan">
      <formula>0</formula>
    </cfRule>
    <cfRule type="cellIs" dxfId="120" priority="66" operator="greaterThan">
      <formula>0</formula>
    </cfRule>
  </conditionalFormatting>
  <conditionalFormatting sqref="HQ19">
    <cfRule type="cellIs" dxfId="119" priority="63" operator="lessThan">
      <formula>0</formula>
    </cfRule>
    <cfRule type="cellIs" dxfId="118" priority="64" operator="greaterThan">
      <formula>0</formula>
    </cfRule>
  </conditionalFormatting>
  <conditionalFormatting sqref="HQ22">
    <cfRule type="cellIs" dxfId="117" priority="61" operator="lessThan">
      <formula>0</formula>
    </cfRule>
    <cfRule type="cellIs" dxfId="116" priority="62" operator="greaterThan">
      <formula>0</formula>
    </cfRule>
  </conditionalFormatting>
  <conditionalFormatting sqref="HQ3">
    <cfRule type="cellIs" dxfId="115" priority="59" operator="lessThan">
      <formula>0</formula>
    </cfRule>
    <cfRule type="cellIs" dxfId="114" priority="60" operator="greaterThan">
      <formula>0</formula>
    </cfRule>
  </conditionalFormatting>
  <conditionalFormatting sqref="HS10">
    <cfRule type="cellIs" dxfId="113" priority="57" operator="lessThan">
      <formula>0</formula>
    </cfRule>
    <cfRule type="cellIs" dxfId="112" priority="58" operator="greaterThan">
      <formula>0</formula>
    </cfRule>
  </conditionalFormatting>
  <conditionalFormatting sqref="HS13">
    <cfRule type="cellIs" dxfId="111" priority="55" operator="lessThan">
      <formula>0</formula>
    </cfRule>
    <cfRule type="cellIs" dxfId="110" priority="56" operator="greaterThan">
      <formula>0</formula>
    </cfRule>
  </conditionalFormatting>
  <conditionalFormatting sqref="HS16">
    <cfRule type="cellIs" dxfId="109" priority="53" operator="lessThan">
      <formula>0</formula>
    </cfRule>
    <cfRule type="cellIs" dxfId="108" priority="54" operator="greaterThan">
      <formula>0</formula>
    </cfRule>
  </conditionalFormatting>
  <conditionalFormatting sqref="HS19">
    <cfRule type="cellIs" dxfId="107" priority="51" operator="lessThan">
      <formula>0</formula>
    </cfRule>
    <cfRule type="cellIs" dxfId="106" priority="52" operator="greaterThan">
      <formula>0</formula>
    </cfRule>
  </conditionalFormatting>
  <conditionalFormatting sqref="HS22">
    <cfRule type="cellIs" dxfId="105" priority="49" operator="lessThan">
      <formula>0</formula>
    </cfRule>
    <cfRule type="cellIs" dxfId="104" priority="50" operator="greaterThan">
      <formula>0</formula>
    </cfRule>
  </conditionalFormatting>
  <conditionalFormatting sqref="HS3">
    <cfRule type="cellIs" dxfId="103" priority="47" operator="lessThan">
      <formula>0</formula>
    </cfRule>
    <cfRule type="cellIs" dxfId="102" priority="48" operator="greaterThan">
      <formula>0</formula>
    </cfRule>
  </conditionalFormatting>
  <conditionalFormatting sqref="HU10">
    <cfRule type="cellIs" dxfId="101" priority="45" operator="lessThan">
      <formula>0</formula>
    </cfRule>
    <cfRule type="cellIs" dxfId="100" priority="46" operator="greaterThan">
      <formula>0</formula>
    </cfRule>
  </conditionalFormatting>
  <conditionalFormatting sqref="HU13">
    <cfRule type="cellIs" dxfId="99" priority="43" operator="lessThan">
      <formula>0</formula>
    </cfRule>
    <cfRule type="cellIs" dxfId="98" priority="44" operator="greaterThan">
      <formula>0</formula>
    </cfRule>
  </conditionalFormatting>
  <conditionalFormatting sqref="HU16">
    <cfRule type="cellIs" dxfId="97" priority="41" operator="lessThan">
      <formula>0</formula>
    </cfRule>
    <cfRule type="cellIs" dxfId="96" priority="42" operator="greaterThan">
      <formula>0</formula>
    </cfRule>
  </conditionalFormatting>
  <conditionalFormatting sqref="HU19">
    <cfRule type="cellIs" dxfId="95" priority="39" operator="lessThan">
      <formula>0</formula>
    </cfRule>
    <cfRule type="cellIs" dxfId="94" priority="40" operator="greaterThan">
      <formula>0</formula>
    </cfRule>
  </conditionalFormatting>
  <conditionalFormatting sqref="HU22">
    <cfRule type="cellIs" dxfId="93" priority="37" operator="lessThan">
      <formula>0</formula>
    </cfRule>
    <cfRule type="cellIs" dxfId="92" priority="38" operator="greaterThan">
      <formula>0</formula>
    </cfRule>
  </conditionalFormatting>
  <conditionalFormatting sqref="HU3">
    <cfRule type="cellIs" dxfId="91" priority="35" operator="lessThan">
      <formula>0</formula>
    </cfRule>
    <cfRule type="cellIs" dxfId="90" priority="36" operator="greaterThan">
      <formula>0</formula>
    </cfRule>
  </conditionalFormatting>
  <conditionalFormatting sqref="HW10">
    <cfRule type="cellIs" dxfId="89" priority="33" operator="lessThan">
      <formula>0</formula>
    </cfRule>
    <cfRule type="cellIs" dxfId="88" priority="34" operator="greaterThan">
      <formula>0</formula>
    </cfRule>
  </conditionalFormatting>
  <conditionalFormatting sqref="HW13">
    <cfRule type="cellIs" dxfId="87" priority="31" operator="lessThan">
      <formula>0</formula>
    </cfRule>
    <cfRule type="cellIs" dxfId="86" priority="32" operator="greaterThan">
      <formula>0</formula>
    </cfRule>
  </conditionalFormatting>
  <conditionalFormatting sqref="HW16">
    <cfRule type="cellIs" dxfId="85" priority="29" operator="lessThan">
      <formula>0</formula>
    </cfRule>
    <cfRule type="cellIs" dxfId="84" priority="30" operator="greaterThan">
      <formula>0</formula>
    </cfRule>
  </conditionalFormatting>
  <conditionalFormatting sqref="HW19">
    <cfRule type="cellIs" dxfId="83" priority="27" operator="lessThan">
      <formula>0</formula>
    </cfRule>
    <cfRule type="cellIs" dxfId="82" priority="28" operator="greaterThan">
      <formula>0</formula>
    </cfRule>
  </conditionalFormatting>
  <conditionalFormatting sqref="HW22">
    <cfRule type="cellIs" dxfId="81" priority="25" operator="lessThan">
      <formula>0</formula>
    </cfRule>
    <cfRule type="cellIs" dxfId="80" priority="26" operator="greaterThan">
      <formula>0</formula>
    </cfRule>
  </conditionalFormatting>
  <conditionalFormatting sqref="HW3">
    <cfRule type="cellIs" dxfId="79" priority="23" operator="lessThan">
      <formula>0</formula>
    </cfRule>
    <cfRule type="cellIs" dxfId="78" priority="24" operator="greaterThan">
      <formula>0</formula>
    </cfRule>
  </conditionalFormatting>
  <conditionalFormatting sqref="HY3">
    <cfRule type="cellIs" dxfId="77" priority="21" operator="lessThan">
      <formula>0</formula>
    </cfRule>
    <cfRule type="cellIs" dxfId="76" priority="22" operator="greaterThan">
      <formula>0</formula>
    </cfRule>
  </conditionalFormatting>
  <conditionalFormatting sqref="IA3">
    <cfRule type="cellIs" dxfId="19" priority="19" operator="lessThan">
      <formula>0</formula>
    </cfRule>
    <cfRule type="cellIs" dxfId="18" priority="20" operator="greaterThan">
      <formula>0</formula>
    </cfRule>
  </conditionalFormatting>
  <conditionalFormatting sqref="IC3">
    <cfRule type="cellIs" dxfId="17" priority="17" operator="lessThan">
      <formula>0</formula>
    </cfRule>
    <cfRule type="cellIs" dxfId="16" priority="18" operator="greaterThan">
      <formula>0</formula>
    </cfRule>
  </conditionalFormatting>
  <conditionalFormatting sqref="IE3">
    <cfRule type="cellIs" dxfId="15" priority="15" operator="lessThan">
      <formula>0</formula>
    </cfRule>
    <cfRule type="cellIs" dxfId="14" priority="16" operator="greaterThan">
      <formula>0</formula>
    </cfRule>
  </conditionalFormatting>
  <conditionalFormatting sqref="IG3">
    <cfRule type="cellIs" dxfId="13" priority="13" operator="lessThan">
      <formula>0</formula>
    </cfRule>
    <cfRule type="cellIs" dxfId="12" priority="14" operator="greaterThan">
      <formula>0</formula>
    </cfRule>
  </conditionalFormatting>
  <conditionalFormatting sqref="II3">
    <cfRule type="cellIs" dxfId="11" priority="11" operator="lessThan">
      <formula>0</formula>
    </cfRule>
    <cfRule type="cellIs" dxfId="10" priority="12" operator="greaterThan">
      <formula>0</formula>
    </cfRule>
  </conditionalFormatting>
  <conditionalFormatting sqref="IK3">
    <cfRule type="cellIs" dxfId="9" priority="9" operator="lessThan">
      <formula>0</formula>
    </cfRule>
    <cfRule type="cellIs" dxfId="8" priority="10" operator="greaterThan">
      <formula>0</formula>
    </cfRule>
  </conditionalFormatting>
  <conditionalFormatting sqref="HX27">
    <cfRule type="cellIs" dxfId="3" priority="3" operator="lessThan">
      <formula>0</formula>
    </cfRule>
    <cfRule type="cellIs" dxfId="2" priority="4" operator="greaterThan">
      <formula>0</formula>
    </cfRule>
  </conditionalFormatting>
  <conditionalFormatting sqref="HY27">
    <cfRule type="cellIs" dxfId="1" priority="1" operator="lessThan">
      <formula>0</formula>
    </cfRule>
    <cfRule type="cellIs" dxfId="0" priority="2" operator="greaterThan">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B937A-36BD-4574-83B1-38232801EF7D}">
  <sheetPr codeName="Hoja3"/>
  <dimension ref="AZ1:BS31"/>
  <sheetViews>
    <sheetView topLeftCell="AZ1" zoomScale="90" zoomScaleNormal="90" workbookViewId="0">
      <selection activeCell="BJ1" sqref="BJ1:BN2"/>
    </sheetView>
  </sheetViews>
  <sheetFormatPr baseColWidth="10" defaultRowHeight="15" x14ac:dyDescent="0.25"/>
  <cols>
    <col min="62" max="62" width="11.7109375" customWidth="1"/>
    <col min="63" max="63" width="11.85546875" customWidth="1"/>
  </cols>
  <sheetData>
    <row r="1" spans="52:71" x14ac:dyDescent="0.25">
      <c r="AZ1" s="64"/>
      <c r="BA1" s="65"/>
      <c r="BB1" s="65"/>
      <c r="BC1" s="64"/>
      <c r="BD1" s="65"/>
      <c r="BE1" s="65"/>
      <c r="BF1" s="65"/>
      <c r="BG1" s="35"/>
      <c r="BH1" s="35"/>
      <c r="BJ1" s="70" t="s">
        <v>21</v>
      </c>
      <c r="BK1" s="69" t="s">
        <v>19</v>
      </c>
      <c r="BL1" s="69" t="s">
        <v>20</v>
      </c>
      <c r="BM1" s="69" t="s">
        <v>22</v>
      </c>
      <c r="BN1" s="35" t="s">
        <v>23</v>
      </c>
      <c r="BO1" s="7" t="s">
        <v>27</v>
      </c>
      <c r="BP1" s="72" t="s">
        <v>19</v>
      </c>
      <c r="BQ1" s="72" t="s">
        <v>20</v>
      </c>
      <c r="BR1" s="72" t="s">
        <v>22</v>
      </c>
      <c r="BS1" s="35" t="s">
        <v>23</v>
      </c>
    </row>
    <row r="2" spans="52:71" x14ac:dyDescent="0.25">
      <c r="BA2" s="21"/>
      <c r="BB2" s="21"/>
      <c r="BD2" s="21"/>
      <c r="BE2" s="21"/>
      <c r="BF2" s="64"/>
      <c r="BG2" s="64"/>
      <c r="BH2" s="15"/>
      <c r="BJ2" s="2">
        <f>+BH2+BF2+BD2+BB2+AZ2+AX2+AV2+AT2+AR2+AP2+AN2+AL2+AJ2+AH2+AF2</f>
        <v>0</v>
      </c>
      <c r="BK2" s="21" t="e">
        <f>+(BI2+BG2+BE2+BC2+BA2+AY2+AW2+AU2+AS2+AQ2+AO2+AM2+AK2+AI2+AG2)/BN2</f>
        <v>#DIV/0!</v>
      </c>
      <c r="BL2" s="21" t="e">
        <f>+BM2/BN2</f>
        <v>#DIV/0!</v>
      </c>
      <c r="BM2" s="70">
        <f>+COUNTIF(AF2:BI2, "&gt;=0")-BN2</f>
        <v>0</v>
      </c>
      <c r="BN2" s="70">
        <f>+COUNT(AF2:BI2)/2</f>
        <v>0</v>
      </c>
      <c r="BO2" s="3">
        <f>+BH2+BF2+BD2+BB2+AZ2+AX2+AV2+AT2+AR2+AP2+AN2+AL2+AJ2+AH2+AF2+AD2+AB2+Z2+X2+V2+T2+R2+P2+N2+L2+J2+H2+F2+D2+B2</f>
        <v>0</v>
      </c>
      <c r="BP2" s="21" t="e">
        <f>+(BI2+BG2+BE2+BC2+BA2+AY2+AW2+AU2+AS2+AQ2+AO2+AM2+AK2+AI2+AG2+AE2+AC2+AA2+Y2+W2+U2+S2+Q2+O2+M2+K2+I2+G2+E2+C2)/BS2</f>
        <v>#DIV/0!</v>
      </c>
      <c r="BQ2" s="21" t="e">
        <f>+BR2/BS2</f>
        <v>#DIV/0!</v>
      </c>
      <c r="BR2" s="71">
        <f>+COUNTIF(B2:BI2, "&gt;=0")-BS2</f>
        <v>0</v>
      </c>
      <c r="BS2" s="71">
        <f>+COUNT(B2:BI2)/2</f>
        <v>0</v>
      </c>
    </row>
    <row r="3" spans="52:71" x14ac:dyDescent="0.25">
      <c r="BP3" s="21"/>
    </row>
    <row r="6" spans="52:71" x14ac:dyDescent="0.25">
      <c r="BJ6" s="181"/>
    </row>
    <row r="7" spans="52:71" x14ac:dyDescent="0.25">
      <c r="BJ7" s="181"/>
    </row>
    <row r="8" spans="52:71" x14ac:dyDescent="0.25">
      <c r="BJ8" s="181"/>
    </row>
    <row r="9" spans="52:71" x14ac:dyDescent="0.25">
      <c r="BJ9" s="181"/>
    </row>
    <row r="10" spans="52:71" x14ac:dyDescent="0.25">
      <c r="BJ10" s="181"/>
    </row>
    <row r="11" spans="52:71" x14ac:dyDescent="0.25">
      <c r="BJ11" s="181"/>
    </row>
    <row r="12" spans="52:71" x14ac:dyDescent="0.25">
      <c r="BJ12" s="181"/>
    </row>
    <row r="13" spans="52:71" x14ac:dyDescent="0.25">
      <c r="BJ13" s="181"/>
    </row>
    <row r="14" spans="52:71" x14ac:dyDescent="0.25">
      <c r="BJ14" s="181"/>
    </row>
    <row r="15" spans="52:71" x14ac:dyDescent="0.25">
      <c r="BJ15" s="181"/>
    </row>
    <row r="16" spans="52:71" x14ac:dyDescent="0.25">
      <c r="BJ16" s="181"/>
    </row>
    <row r="17" spans="62:63" x14ac:dyDescent="0.25">
      <c r="BJ17" s="181"/>
    </row>
    <row r="18" spans="62:63" x14ac:dyDescent="0.25">
      <c r="BJ18" s="181"/>
    </row>
    <row r="19" spans="62:63" x14ac:dyDescent="0.25">
      <c r="BJ19" s="181"/>
    </row>
    <row r="20" spans="62:63" x14ac:dyDescent="0.25">
      <c r="BJ20" s="181"/>
    </row>
    <row r="21" spans="62:63" x14ac:dyDescent="0.25">
      <c r="BJ21" s="181"/>
    </row>
    <row r="22" spans="62:63" x14ac:dyDescent="0.25">
      <c r="BJ22" s="181"/>
    </row>
    <row r="23" spans="62:63" x14ac:dyDescent="0.25">
      <c r="BJ23" s="181"/>
    </row>
    <row r="24" spans="62:63" x14ac:dyDescent="0.25">
      <c r="BJ24" s="181"/>
    </row>
    <row r="25" spans="62:63" x14ac:dyDescent="0.25">
      <c r="BJ25" s="181"/>
    </row>
    <row r="26" spans="62:63" x14ac:dyDescent="0.25">
      <c r="BJ26" s="181"/>
    </row>
    <row r="27" spans="62:63" x14ac:dyDescent="0.25">
      <c r="BJ27" s="181"/>
    </row>
    <row r="28" spans="62:63" x14ac:dyDescent="0.25">
      <c r="BJ28" s="181"/>
    </row>
    <row r="29" spans="62:63" x14ac:dyDescent="0.25">
      <c r="BJ29" s="181"/>
    </row>
    <row r="30" spans="62:63" x14ac:dyDescent="0.25">
      <c r="BJ30" s="342"/>
      <c r="BK30" s="343"/>
    </row>
    <row r="31" spans="62:63" x14ac:dyDescent="0.25">
      <c r="BK31" s="181"/>
    </row>
  </sheetData>
  <conditionalFormatting sqref="BD2:BE2">
    <cfRule type="cellIs" dxfId="75" priority="38" operator="greaterThan">
      <formula>0.5</formula>
    </cfRule>
  </conditionalFormatting>
  <conditionalFormatting sqref="BA2:BB2">
    <cfRule type="cellIs" dxfId="74" priority="48" operator="greaterThan">
      <formula>0.5</formula>
    </cfRule>
  </conditionalFormatting>
  <conditionalFormatting sqref="BJ2">
    <cfRule type="cellIs" dxfId="73" priority="26" operator="lessThan">
      <formula>0</formula>
    </cfRule>
    <cfRule type="cellIs" dxfId="72" priority="27" operator="greaterThan">
      <formula>0</formula>
    </cfRule>
  </conditionalFormatting>
  <conditionalFormatting sqref="BJ2">
    <cfRule type="cellIs" dxfId="71" priority="24" operator="lessThan">
      <formula>0</formula>
    </cfRule>
    <cfRule type="cellIs" dxfId="70" priority="25" operator="greaterThan">
      <formula>0</formula>
    </cfRule>
  </conditionalFormatting>
  <conditionalFormatting sqref="BK2:BL2">
    <cfRule type="cellIs" dxfId="69" priority="23" operator="greaterThan">
      <formula>0.5</formula>
    </cfRule>
  </conditionalFormatting>
  <conditionalFormatting sqref="BO2">
    <cfRule type="cellIs" dxfId="68" priority="6" operator="lessThan">
      <formula>0</formula>
    </cfRule>
    <cfRule type="cellIs" dxfId="67" priority="7" operator="greaterThan">
      <formula>0</formula>
    </cfRule>
  </conditionalFormatting>
  <conditionalFormatting sqref="BO2">
    <cfRule type="cellIs" dxfId="66" priority="4" operator="lessThan">
      <formula>0</formula>
    </cfRule>
    <cfRule type="cellIs" dxfId="65" priority="5" operator="greaterThan">
      <formula>0</formula>
    </cfRule>
  </conditionalFormatting>
  <conditionalFormatting sqref="BQ2">
    <cfRule type="cellIs" dxfId="64" priority="3" operator="greaterThan">
      <formula>0.5</formula>
    </cfRule>
  </conditionalFormatting>
  <conditionalFormatting sqref="BP3">
    <cfRule type="cellIs" dxfId="63" priority="2" operator="greaterThan">
      <formula>0.5</formula>
    </cfRule>
  </conditionalFormatting>
  <conditionalFormatting sqref="BP2">
    <cfRule type="cellIs" dxfId="62" priority="1" operator="greaterThan">
      <formula>0.5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Resumen</vt:lpstr>
      <vt:lpstr>AcomCE</vt:lpstr>
      <vt:lpstr>Real</vt:lpstr>
      <vt:lpstr>Plant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2018-11-02T18:49:01Z</dcterms:created>
  <dcterms:modified xsi:type="dcterms:W3CDTF">2021-02-17T00:26:29Z</dcterms:modified>
</cp:coreProperties>
</file>